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SCHMIDT\Desktop\A Desktop view 2024\CEPEJ\"/>
    </mc:Choice>
  </mc:AlternateContent>
  <xr:revisionPtr revIDLastSave="0" documentId="8_{9699A7B0-7D94-46E6-B250-44F8DA9C1110}" xr6:coauthVersionLast="47" xr6:coauthVersionMax="47" xr10:uidLastSave="{00000000-0000-0000-0000-000000000000}"/>
  <bookViews>
    <workbookView xWindow="-120" yWindow="-120" windowWidth="29040" windowHeight="15720" tabRatio="494" xr2:uid="{00000000-000D-0000-FFFF-FFFF00000000}"/>
  </bookViews>
  <sheets>
    <sheet name="Projects" sheetId="8" r:id="rId1"/>
    <sheet name="ProjectsFR" sheetId="12" r:id="rId2"/>
    <sheet name="Sheet1" sheetId="19" r:id="rId3"/>
    <sheet name="Data" sheetId="10" r:id="rId4"/>
    <sheet name="consultative tables" sheetId="5" r:id="rId5"/>
    <sheet name="TranslationScreens" sheetId="6" r:id="rId6"/>
    <sheet name="Tooltip(old)" sheetId="2" r:id="rId7"/>
    <sheet name="Land Register" sheetId="13" r:id="rId8"/>
    <sheet name="E-filing" sheetId="14" r:id="rId9"/>
    <sheet name="E-Auction" sheetId="15" r:id="rId10"/>
    <sheet name="Private providers" sheetId="16" r:id="rId11"/>
    <sheet name="Case law database" sheetId="17" r:id="rId12"/>
    <sheet name="Sources" sheetId="18" r:id="rId13"/>
  </sheets>
  <definedNames>
    <definedName name="_xlnm._FilterDatabase" localSheetId="4" hidden="1">'consultative tables'!$O$1:$R$50</definedName>
    <definedName name="_xlnm._FilterDatabase" localSheetId="9" hidden="1">'E-Auction'!$A$1:$W$2</definedName>
    <definedName name="_xlnm._FilterDatabase" localSheetId="8" hidden="1">'E-filing'!$A$1:$W$12</definedName>
    <definedName name="_xlnm._FilterDatabase" localSheetId="7" hidden="1">'Land Register'!$A$1:$W$4</definedName>
    <definedName name="_xlnm._FilterDatabase" localSheetId="10" hidden="1">'Private providers'!$A$1:$W$40</definedName>
    <definedName name="ExternalData_1" localSheetId="3" hidden="1">Data!$A$1:$P$929</definedName>
  </definedNam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2" l="1"/>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D2" i="12"/>
  <c r="A185" i="12"/>
  <c r="B185" i="12"/>
  <c r="C185" i="12"/>
  <c r="D185" i="12"/>
  <c r="E185" i="12"/>
  <c r="F185" i="12"/>
  <c r="G185" i="12"/>
  <c r="H185" i="12"/>
  <c r="I185" i="12"/>
  <c r="J185" i="12"/>
  <c r="K185" i="12"/>
  <c r="N185" i="12"/>
  <c r="O185" i="12"/>
  <c r="P185" i="12"/>
  <c r="Q185" i="12"/>
  <c r="R185" i="12"/>
  <c r="S185" i="12"/>
  <c r="T185" i="12"/>
  <c r="A186" i="12"/>
  <c r="B186" i="12"/>
  <c r="C186" i="12"/>
  <c r="D186" i="12"/>
  <c r="E186" i="12"/>
  <c r="F186" i="12"/>
  <c r="G186" i="12"/>
  <c r="H186" i="12"/>
  <c r="I186" i="12"/>
  <c r="J186" i="12"/>
  <c r="K186" i="12"/>
  <c r="N186" i="12"/>
  <c r="O186" i="12"/>
  <c r="P186" i="12"/>
  <c r="Q186" i="12"/>
  <c r="R186" i="12"/>
  <c r="S186" i="12"/>
  <c r="T186" i="12"/>
  <c r="R2" i="12"/>
  <c r="R3" i="12"/>
  <c r="R4" i="12"/>
  <c r="R5" i="12"/>
  <c r="R6" i="12"/>
  <c r="R7"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S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P119" i="12" l="1"/>
  <c r="A126" i="12"/>
  <c r="B126" i="12"/>
  <c r="C126" i="12"/>
  <c r="D126" i="12"/>
  <c r="E126" i="12"/>
  <c r="F126" i="12"/>
  <c r="G126" i="12"/>
  <c r="H126" i="12"/>
  <c r="I126" i="12"/>
  <c r="K126" i="12"/>
  <c r="N126" i="12"/>
  <c r="O126" i="12"/>
  <c r="P126" i="12"/>
  <c r="Q126" i="12"/>
  <c r="T126" i="12"/>
  <c r="A127" i="12"/>
  <c r="B127" i="12"/>
  <c r="C127" i="12"/>
  <c r="D127" i="12"/>
  <c r="E127" i="12"/>
  <c r="F127" i="12"/>
  <c r="G127" i="12"/>
  <c r="H127" i="12"/>
  <c r="I127" i="12"/>
  <c r="K127" i="12"/>
  <c r="N127" i="12"/>
  <c r="O127" i="12"/>
  <c r="P127" i="12"/>
  <c r="Q127" i="12"/>
  <c r="T127" i="12"/>
  <c r="A128" i="12"/>
  <c r="B128" i="12"/>
  <c r="C128" i="12"/>
  <c r="D128" i="12"/>
  <c r="E128" i="12"/>
  <c r="F128" i="12"/>
  <c r="G128" i="12"/>
  <c r="H128" i="12"/>
  <c r="I128" i="12"/>
  <c r="K128" i="12"/>
  <c r="N128" i="12"/>
  <c r="O128" i="12"/>
  <c r="P128" i="12"/>
  <c r="Q128" i="12"/>
  <c r="T128" i="12"/>
  <c r="B33" i="6" l="1"/>
  <c r="B34" i="6"/>
  <c r="B35" i="6"/>
  <c r="B32" i="6"/>
  <c r="A77" i="12" l="1"/>
  <c r="B77" i="12"/>
  <c r="C77" i="12"/>
  <c r="D77" i="12"/>
  <c r="E77" i="12"/>
  <c r="F77" i="12"/>
  <c r="G77" i="12"/>
  <c r="H77" i="12"/>
  <c r="I77" i="12"/>
  <c r="K77" i="12"/>
  <c r="N77" i="12"/>
  <c r="O77" i="12"/>
  <c r="P77" i="12"/>
  <c r="Q77" i="12"/>
  <c r="T77" i="12"/>
  <c r="A78" i="12"/>
  <c r="B78" i="12"/>
  <c r="C78" i="12"/>
  <c r="D78" i="12"/>
  <c r="E78" i="12"/>
  <c r="F78" i="12"/>
  <c r="G78" i="12"/>
  <c r="H78" i="12"/>
  <c r="I78" i="12"/>
  <c r="K78" i="12"/>
  <c r="N78" i="12"/>
  <c r="O78" i="12"/>
  <c r="P78" i="12"/>
  <c r="Q78" i="12"/>
  <c r="T78" i="12"/>
  <c r="A79" i="12"/>
  <c r="B79" i="12"/>
  <c r="C79" i="12"/>
  <c r="D79" i="12"/>
  <c r="E79" i="12"/>
  <c r="F79" i="12"/>
  <c r="G79" i="12"/>
  <c r="H79" i="12"/>
  <c r="I79" i="12"/>
  <c r="K79" i="12"/>
  <c r="N79" i="12"/>
  <c r="O79" i="12"/>
  <c r="P79" i="12"/>
  <c r="Q79" i="12"/>
  <c r="T79" i="12"/>
  <c r="A180" i="12"/>
  <c r="B180" i="12"/>
  <c r="C180" i="12"/>
  <c r="D180" i="12"/>
  <c r="E180" i="12"/>
  <c r="F180" i="12"/>
  <c r="G180" i="12"/>
  <c r="H180" i="12"/>
  <c r="I180" i="12"/>
  <c r="K180" i="12"/>
  <c r="N180" i="12"/>
  <c r="O180" i="12"/>
  <c r="P180" i="12"/>
  <c r="Q180" i="12"/>
  <c r="T180" i="12"/>
  <c r="A181" i="12"/>
  <c r="B181" i="12"/>
  <c r="C181" i="12"/>
  <c r="D181" i="12"/>
  <c r="E181" i="12"/>
  <c r="F181" i="12"/>
  <c r="G181" i="12"/>
  <c r="H181" i="12"/>
  <c r="I181" i="12"/>
  <c r="K181" i="12"/>
  <c r="N181" i="12"/>
  <c r="O181" i="12"/>
  <c r="P181" i="12"/>
  <c r="Q181" i="12"/>
  <c r="T181" i="12"/>
  <c r="A182" i="12"/>
  <c r="B182" i="12"/>
  <c r="C182" i="12"/>
  <c r="D182" i="12"/>
  <c r="E182" i="12"/>
  <c r="F182" i="12"/>
  <c r="G182" i="12"/>
  <c r="H182" i="12"/>
  <c r="I182" i="12"/>
  <c r="K182" i="12"/>
  <c r="N182" i="12"/>
  <c r="O182" i="12"/>
  <c r="P182" i="12"/>
  <c r="Q182" i="12"/>
  <c r="T182" i="12"/>
  <c r="A146" i="12"/>
  <c r="B146" i="12"/>
  <c r="C146" i="12"/>
  <c r="D146" i="12"/>
  <c r="E146" i="12"/>
  <c r="F146" i="12"/>
  <c r="G146" i="12"/>
  <c r="H146" i="12"/>
  <c r="I146" i="12"/>
  <c r="K146" i="12"/>
  <c r="N146" i="12"/>
  <c r="O146" i="12"/>
  <c r="P146" i="12"/>
  <c r="Q146" i="12"/>
  <c r="T146" i="12"/>
  <c r="A183" i="12"/>
  <c r="B183" i="12"/>
  <c r="C183" i="12"/>
  <c r="D183" i="12"/>
  <c r="E183" i="12"/>
  <c r="F183" i="12"/>
  <c r="G183" i="12"/>
  <c r="H183" i="12"/>
  <c r="I183" i="12"/>
  <c r="K183" i="12"/>
  <c r="N183" i="12"/>
  <c r="O183" i="12"/>
  <c r="P183" i="12"/>
  <c r="Q183" i="12"/>
  <c r="T183" i="12"/>
  <c r="A184" i="12"/>
  <c r="B184" i="12"/>
  <c r="C184" i="12"/>
  <c r="D184" i="12"/>
  <c r="E184" i="12"/>
  <c r="F184" i="12"/>
  <c r="G184" i="12"/>
  <c r="H184" i="12"/>
  <c r="I184" i="12"/>
  <c r="K184" i="12"/>
  <c r="N184" i="12"/>
  <c r="O184" i="12"/>
  <c r="P184" i="12"/>
  <c r="Q184" i="12"/>
  <c r="T184" i="12"/>
  <c r="A147" i="12"/>
  <c r="B147" i="12"/>
  <c r="C147" i="12"/>
  <c r="D147" i="12"/>
  <c r="E147" i="12"/>
  <c r="F147" i="12"/>
  <c r="G147" i="12"/>
  <c r="H147" i="12"/>
  <c r="I147" i="12"/>
  <c r="K147" i="12"/>
  <c r="N147" i="12"/>
  <c r="O147" i="12"/>
  <c r="P147" i="12"/>
  <c r="Q147" i="12"/>
  <c r="T147" i="12"/>
  <c r="A148" i="12"/>
  <c r="B148" i="12"/>
  <c r="C148" i="12"/>
  <c r="D148" i="12"/>
  <c r="E148" i="12"/>
  <c r="F148" i="12"/>
  <c r="G148" i="12"/>
  <c r="H148" i="12"/>
  <c r="I148" i="12"/>
  <c r="K148" i="12"/>
  <c r="N148" i="12"/>
  <c r="O148" i="12"/>
  <c r="P148" i="12"/>
  <c r="Q148" i="12"/>
  <c r="T148" i="12"/>
  <c r="A149" i="12"/>
  <c r="B149" i="12"/>
  <c r="C149" i="12"/>
  <c r="D149" i="12"/>
  <c r="E149" i="12"/>
  <c r="F149" i="12"/>
  <c r="G149" i="12"/>
  <c r="H149" i="12"/>
  <c r="I149" i="12"/>
  <c r="K149" i="12"/>
  <c r="N149" i="12"/>
  <c r="O149" i="12"/>
  <c r="P149" i="12"/>
  <c r="Q149" i="12"/>
  <c r="T149" i="12"/>
  <c r="A150" i="12"/>
  <c r="B150" i="12"/>
  <c r="C150" i="12"/>
  <c r="D150" i="12"/>
  <c r="E150" i="12"/>
  <c r="F150" i="12"/>
  <c r="G150" i="12"/>
  <c r="H150" i="12"/>
  <c r="I150" i="12"/>
  <c r="K150" i="12"/>
  <c r="N150" i="12"/>
  <c r="O150" i="12"/>
  <c r="P150" i="12"/>
  <c r="Q150" i="12"/>
  <c r="T150" i="12"/>
  <c r="A151" i="12"/>
  <c r="B151" i="12"/>
  <c r="C151" i="12"/>
  <c r="D151" i="12"/>
  <c r="E151" i="12"/>
  <c r="F151" i="12"/>
  <c r="G151" i="12"/>
  <c r="H151" i="12"/>
  <c r="I151" i="12"/>
  <c r="K151" i="12"/>
  <c r="N151" i="12"/>
  <c r="O151" i="12"/>
  <c r="P151" i="12"/>
  <c r="Q151" i="12"/>
  <c r="T151" i="12"/>
  <c r="A152" i="12"/>
  <c r="B152" i="12"/>
  <c r="C152" i="12"/>
  <c r="D152" i="12"/>
  <c r="E152" i="12"/>
  <c r="F152" i="12"/>
  <c r="G152" i="12"/>
  <c r="H152" i="12"/>
  <c r="I152" i="12"/>
  <c r="K152" i="12"/>
  <c r="N152" i="12"/>
  <c r="O152" i="12"/>
  <c r="P152" i="12"/>
  <c r="Q152" i="12"/>
  <c r="T152" i="12"/>
  <c r="A153" i="12"/>
  <c r="B153" i="12"/>
  <c r="C153" i="12"/>
  <c r="D153" i="12"/>
  <c r="E153" i="12"/>
  <c r="F153" i="12"/>
  <c r="G153" i="12"/>
  <c r="H153" i="12"/>
  <c r="I153" i="12"/>
  <c r="K153" i="12"/>
  <c r="N153" i="12"/>
  <c r="O153" i="12"/>
  <c r="P153" i="12"/>
  <c r="Q153" i="12"/>
  <c r="T153" i="12"/>
  <c r="A154" i="12"/>
  <c r="B154" i="12"/>
  <c r="C154" i="12"/>
  <c r="D154" i="12"/>
  <c r="E154" i="12"/>
  <c r="F154" i="12"/>
  <c r="G154" i="12"/>
  <c r="H154" i="12"/>
  <c r="I154" i="12"/>
  <c r="K154" i="12"/>
  <c r="N154" i="12"/>
  <c r="O154" i="12"/>
  <c r="P154" i="12"/>
  <c r="Q154" i="12"/>
  <c r="T154" i="12"/>
  <c r="A155" i="12"/>
  <c r="B155" i="12"/>
  <c r="C155" i="12"/>
  <c r="D155" i="12"/>
  <c r="E155" i="12"/>
  <c r="F155" i="12"/>
  <c r="G155" i="12"/>
  <c r="H155" i="12"/>
  <c r="I155" i="12"/>
  <c r="K155" i="12"/>
  <c r="N155" i="12"/>
  <c r="O155" i="12"/>
  <c r="P155" i="12"/>
  <c r="Q155" i="12"/>
  <c r="T155" i="12"/>
  <c r="A156" i="12"/>
  <c r="B156" i="12"/>
  <c r="C156" i="12"/>
  <c r="D156" i="12"/>
  <c r="E156" i="12"/>
  <c r="F156" i="12"/>
  <c r="G156" i="12"/>
  <c r="H156" i="12"/>
  <c r="I156" i="12"/>
  <c r="K156" i="12"/>
  <c r="N156" i="12"/>
  <c r="O156" i="12"/>
  <c r="P156" i="12"/>
  <c r="Q156" i="12"/>
  <c r="T156" i="12"/>
  <c r="A157" i="12"/>
  <c r="B157" i="12"/>
  <c r="C157" i="12"/>
  <c r="D157" i="12"/>
  <c r="E157" i="12"/>
  <c r="F157" i="12"/>
  <c r="G157" i="12"/>
  <c r="H157" i="12"/>
  <c r="I157" i="12"/>
  <c r="K157" i="12"/>
  <c r="N157" i="12"/>
  <c r="O157" i="12"/>
  <c r="P157" i="12"/>
  <c r="Q157" i="12"/>
  <c r="T157" i="12"/>
  <c r="A158" i="12"/>
  <c r="B158" i="12"/>
  <c r="C158" i="12"/>
  <c r="D158" i="12"/>
  <c r="E158" i="12"/>
  <c r="F158" i="12"/>
  <c r="G158" i="12"/>
  <c r="H158" i="12"/>
  <c r="I158" i="12"/>
  <c r="K158" i="12"/>
  <c r="N158" i="12"/>
  <c r="O158" i="12"/>
  <c r="P158" i="12"/>
  <c r="Q158" i="12"/>
  <c r="T158" i="12"/>
  <c r="A159" i="12"/>
  <c r="B159" i="12"/>
  <c r="C159" i="12"/>
  <c r="D159" i="12"/>
  <c r="E159" i="12"/>
  <c r="F159" i="12"/>
  <c r="G159" i="12"/>
  <c r="H159" i="12"/>
  <c r="I159" i="12"/>
  <c r="K159" i="12"/>
  <c r="N159" i="12"/>
  <c r="O159" i="12"/>
  <c r="P159" i="12"/>
  <c r="Q159" i="12"/>
  <c r="T159" i="12"/>
  <c r="A160" i="12"/>
  <c r="B160" i="12"/>
  <c r="C160" i="12"/>
  <c r="D160" i="12"/>
  <c r="E160" i="12"/>
  <c r="F160" i="12"/>
  <c r="G160" i="12"/>
  <c r="H160" i="12"/>
  <c r="I160" i="12"/>
  <c r="K160" i="12"/>
  <c r="N160" i="12"/>
  <c r="O160" i="12"/>
  <c r="P160" i="12"/>
  <c r="Q160" i="12"/>
  <c r="T160" i="12"/>
  <c r="A161" i="12"/>
  <c r="B161" i="12"/>
  <c r="C161" i="12"/>
  <c r="D161" i="12"/>
  <c r="E161" i="12"/>
  <c r="F161" i="12"/>
  <c r="G161" i="12"/>
  <c r="H161" i="12"/>
  <c r="I161" i="12"/>
  <c r="K161" i="12"/>
  <c r="N161" i="12"/>
  <c r="O161" i="12"/>
  <c r="P161" i="12"/>
  <c r="Q161" i="12"/>
  <c r="T161" i="12"/>
  <c r="A162" i="12"/>
  <c r="B162" i="12"/>
  <c r="C162" i="12"/>
  <c r="D162" i="12"/>
  <c r="E162" i="12"/>
  <c r="F162" i="12"/>
  <c r="G162" i="12"/>
  <c r="H162" i="12"/>
  <c r="I162" i="12"/>
  <c r="K162" i="12"/>
  <c r="N162" i="12"/>
  <c r="O162" i="12"/>
  <c r="P162" i="12"/>
  <c r="Q162" i="12"/>
  <c r="T162" i="12"/>
  <c r="A163" i="12"/>
  <c r="B163" i="12"/>
  <c r="C163" i="12"/>
  <c r="D163" i="12"/>
  <c r="E163" i="12"/>
  <c r="F163" i="12"/>
  <c r="G163" i="12"/>
  <c r="H163" i="12"/>
  <c r="I163" i="12"/>
  <c r="K163" i="12"/>
  <c r="N163" i="12"/>
  <c r="O163" i="12"/>
  <c r="P163" i="12"/>
  <c r="Q163" i="12"/>
  <c r="T163" i="12"/>
  <c r="A164" i="12"/>
  <c r="B164" i="12"/>
  <c r="C164" i="12"/>
  <c r="D164" i="12"/>
  <c r="E164" i="12"/>
  <c r="F164" i="12"/>
  <c r="G164" i="12"/>
  <c r="H164" i="12"/>
  <c r="I164" i="12"/>
  <c r="K164" i="12"/>
  <c r="N164" i="12"/>
  <c r="O164" i="12"/>
  <c r="P164" i="12"/>
  <c r="Q164" i="12"/>
  <c r="T164" i="12"/>
  <c r="A165" i="12"/>
  <c r="B165" i="12"/>
  <c r="C165" i="12"/>
  <c r="D165" i="12"/>
  <c r="E165" i="12"/>
  <c r="F165" i="12"/>
  <c r="G165" i="12"/>
  <c r="H165" i="12"/>
  <c r="I165" i="12"/>
  <c r="K165" i="12"/>
  <c r="N165" i="12"/>
  <c r="O165" i="12"/>
  <c r="P165" i="12"/>
  <c r="Q165" i="12"/>
  <c r="T165" i="12"/>
  <c r="A166" i="12"/>
  <c r="B166" i="12"/>
  <c r="C166" i="12"/>
  <c r="D166" i="12"/>
  <c r="E166" i="12"/>
  <c r="F166" i="12"/>
  <c r="G166" i="12"/>
  <c r="H166" i="12"/>
  <c r="I166" i="12"/>
  <c r="K166" i="12"/>
  <c r="N166" i="12"/>
  <c r="O166" i="12"/>
  <c r="P166" i="12"/>
  <c r="Q166" i="12"/>
  <c r="T166" i="12"/>
  <c r="A167" i="12"/>
  <c r="B167" i="12"/>
  <c r="C167" i="12"/>
  <c r="D167" i="12"/>
  <c r="E167" i="12"/>
  <c r="F167" i="12"/>
  <c r="G167" i="12"/>
  <c r="H167" i="12"/>
  <c r="I167" i="12"/>
  <c r="K167" i="12"/>
  <c r="N167" i="12"/>
  <c r="O167" i="12"/>
  <c r="P167" i="12"/>
  <c r="Q167" i="12"/>
  <c r="T167" i="12"/>
  <c r="A168" i="12"/>
  <c r="B168" i="12"/>
  <c r="C168" i="12"/>
  <c r="D168" i="12"/>
  <c r="E168" i="12"/>
  <c r="F168" i="12"/>
  <c r="G168" i="12"/>
  <c r="H168" i="12"/>
  <c r="I168" i="12"/>
  <c r="K168" i="12"/>
  <c r="N168" i="12"/>
  <c r="O168" i="12"/>
  <c r="P168" i="12"/>
  <c r="Q168" i="12"/>
  <c r="T168" i="12"/>
  <c r="A169" i="12"/>
  <c r="B169" i="12"/>
  <c r="C169" i="12"/>
  <c r="D169" i="12"/>
  <c r="E169" i="12"/>
  <c r="F169" i="12"/>
  <c r="G169" i="12"/>
  <c r="H169" i="12"/>
  <c r="I169" i="12"/>
  <c r="K169" i="12"/>
  <c r="N169" i="12"/>
  <c r="O169" i="12"/>
  <c r="P169" i="12"/>
  <c r="Q169" i="12"/>
  <c r="T169" i="12"/>
  <c r="A80" i="12"/>
  <c r="B80" i="12"/>
  <c r="C80" i="12"/>
  <c r="D80" i="12"/>
  <c r="E80" i="12"/>
  <c r="F80" i="12"/>
  <c r="G80" i="12"/>
  <c r="H80" i="12"/>
  <c r="I80" i="12"/>
  <c r="K80" i="12"/>
  <c r="N80" i="12"/>
  <c r="O80" i="12"/>
  <c r="P80" i="12"/>
  <c r="Q80" i="12"/>
  <c r="T80" i="12"/>
  <c r="A81" i="12"/>
  <c r="B81" i="12"/>
  <c r="C81" i="12"/>
  <c r="D81" i="12"/>
  <c r="E81" i="12"/>
  <c r="F81" i="12"/>
  <c r="G81" i="12"/>
  <c r="H81" i="12"/>
  <c r="I81" i="12"/>
  <c r="K81" i="12"/>
  <c r="N81" i="12"/>
  <c r="O81" i="12"/>
  <c r="P81" i="12"/>
  <c r="Q81" i="12"/>
  <c r="T81" i="12"/>
  <c r="A170" i="12"/>
  <c r="B170" i="12"/>
  <c r="C170" i="12"/>
  <c r="D170" i="12"/>
  <c r="E170" i="12"/>
  <c r="F170" i="12"/>
  <c r="G170" i="12"/>
  <c r="H170" i="12"/>
  <c r="I170" i="12"/>
  <c r="K170" i="12"/>
  <c r="N170" i="12"/>
  <c r="O170" i="12"/>
  <c r="P170" i="12"/>
  <c r="Q170" i="12"/>
  <c r="T170" i="12"/>
  <c r="A171" i="12"/>
  <c r="B171" i="12"/>
  <c r="C171" i="12"/>
  <c r="D171" i="12"/>
  <c r="E171" i="12"/>
  <c r="F171" i="12"/>
  <c r="G171" i="12"/>
  <c r="H171" i="12"/>
  <c r="I171" i="12"/>
  <c r="K171" i="12"/>
  <c r="N171" i="12"/>
  <c r="O171" i="12"/>
  <c r="P171" i="12"/>
  <c r="Q171" i="12"/>
  <c r="T171" i="12"/>
  <c r="A82" i="12"/>
  <c r="B82" i="12"/>
  <c r="C82" i="12"/>
  <c r="D82" i="12"/>
  <c r="E82" i="12"/>
  <c r="F82" i="12"/>
  <c r="G82" i="12"/>
  <c r="H82" i="12"/>
  <c r="I82" i="12"/>
  <c r="K82" i="12"/>
  <c r="N82" i="12"/>
  <c r="O82" i="12"/>
  <c r="P82" i="12"/>
  <c r="Q82" i="12"/>
  <c r="T82" i="12"/>
  <c r="A83" i="12"/>
  <c r="B83" i="12"/>
  <c r="C83" i="12"/>
  <c r="D83" i="12"/>
  <c r="E83" i="12"/>
  <c r="F83" i="12"/>
  <c r="G83" i="12"/>
  <c r="H83" i="12"/>
  <c r="I83" i="12"/>
  <c r="K83" i="12"/>
  <c r="N83" i="12"/>
  <c r="O83" i="12"/>
  <c r="P83" i="12"/>
  <c r="Q83" i="12"/>
  <c r="T83" i="12"/>
  <c r="A7" i="12"/>
  <c r="B7" i="12"/>
  <c r="C7" i="12"/>
  <c r="D7" i="12"/>
  <c r="E7" i="12"/>
  <c r="F7" i="12"/>
  <c r="G7" i="12"/>
  <c r="H7" i="12"/>
  <c r="I7" i="12"/>
  <c r="K7" i="12"/>
  <c r="N7" i="12"/>
  <c r="O7" i="12"/>
  <c r="P7" i="12"/>
  <c r="Q7" i="12"/>
  <c r="T7" i="12"/>
  <c r="A8" i="12"/>
  <c r="B8" i="12"/>
  <c r="C8" i="12"/>
  <c r="D8" i="12"/>
  <c r="E8" i="12"/>
  <c r="F8" i="12"/>
  <c r="G8" i="12"/>
  <c r="H8" i="12"/>
  <c r="I8" i="12"/>
  <c r="K8" i="12"/>
  <c r="N8" i="12"/>
  <c r="O8" i="12"/>
  <c r="P8" i="12"/>
  <c r="Q8" i="12"/>
  <c r="T8" i="12"/>
  <c r="A9" i="12"/>
  <c r="B9" i="12"/>
  <c r="C9" i="12"/>
  <c r="D9" i="12"/>
  <c r="E9" i="12"/>
  <c r="F9" i="12"/>
  <c r="G9" i="12"/>
  <c r="H9" i="12"/>
  <c r="I9" i="12"/>
  <c r="K9" i="12"/>
  <c r="N9" i="12"/>
  <c r="O9" i="12"/>
  <c r="P9" i="12"/>
  <c r="Q9" i="12"/>
  <c r="T9" i="12"/>
  <c r="A10" i="12"/>
  <c r="B10" i="12"/>
  <c r="C10" i="12"/>
  <c r="D10" i="12"/>
  <c r="E10" i="12"/>
  <c r="F10" i="12"/>
  <c r="G10" i="12"/>
  <c r="H10" i="12"/>
  <c r="I10" i="12"/>
  <c r="K10" i="12"/>
  <c r="N10" i="12"/>
  <c r="O10" i="12"/>
  <c r="P10" i="12"/>
  <c r="Q10" i="12"/>
  <c r="T10" i="12"/>
  <c r="A11" i="12"/>
  <c r="B11" i="12"/>
  <c r="C11" i="12"/>
  <c r="D11" i="12"/>
  <c r="E11" i="12"/>
  <c r="F11" i="12"/>
  <c r="G11" i="12"/>
  <c r="H11" i="12"/>
  <c r="I11" i="12"/>
  <c r="K11" i="12"/>
  <c r="N11" i="12"/>
  <c r="O11" i="12"/>
  <c r="P11" i="12"/>
  <c r="Q11" i="12"/>
  <c r="T11" i="12"/>
  <c r="A12" i="12"/>
  <c r="B12" i="12"/>
  <c r="C12" i="12"/>
  <c r="D12" i="12"/>
  <c r="E12" i="12"/>
  <c r="F12" i="12"/>
  <c r="G12" i="12"/>
  <c r="H12" i="12"/>
  <c r="I12" i="12"/>
  <c r="K12" i="12"/>
  <c r="N12" i="12"/>
  <c r="O12" i="12"/>
  <c r="P12" i="12"/>
  <c r="Q12" i="12"/>
  <c r="T12" i="12"/>
  <c r="A13" i="12"/>
  <c r="B13" i="12"/>
  <c r="C13" i="12"/>
  <c r="D13" i="12"/>
  <c r="E13" i="12"/>
  <c r="F13" i="12"/>
  <c r="G13" i="12"/>
  <c r="H13" i="12"/>
  <c r="I13" i="12"/>
  <c r="K13" i="12"/>
  <c r="N13" i="12"/>
  <c r="O13" i="12"/>
  <c r="P13" i="12"/>
  <c r="Q13" i="12"/>
  <c r="T13" i="12"/>
  <c r="A14" i="12"/>
  <c r="B14" i="12"/>
  <c r="C14" i="12"/>
  <c r="D14" i="12"/>
  <c r="E14" i="12"/>
  <c r="F14" i="12"/>
  <c r="G14" i="12"/>
  <c r="H14" i="12"/>
  <c r="I14" i="12"/>
  <c r="K14" i="12"/>
  <c r="N14" i="12"/>
  <c r="O14" i="12"/>
  <c r="P14" i="12"/>
  <c r="Q14" i="12"/>
  <c r="T14" i="12"/>
  <c r="A84" i="12"/>
  <c r="B84" i="12"/>
  <c r="C84" i="12"/>
  <c r="D84" i="12"/>
  <c r="E84" i="12"/>
  <c r="F84" i="12"/>
  <c r="G84" i="12"/>
  <c r="H84" i="12"/>
  <c r="I84" i="12"/>
  <c r="K84" i="12"/>
  <c r="N84" i="12"/>
  <c r="O84" i="12"/>
  <c r="P84" i="12"/>
  <c r="Q84" i="12"/>
  <c r="T84" i="12"/>
  <c r="A85" i="12"/>
  <c r="B85" i="12"/>
  <c r="C85" i="12"/>
  <c r="D85" i="12"/>
  <c r="E85" i="12"/>
  <c r="F85" i="12"/>
  <c r="G85" i="12"/>
  <c r="H85" i="12"/>
  <c r="I85" i="12"/>
  <c r="K85" i="12"/>
  <c r="N85" i="12"/>
  <c r="O85" i="12"/>
  <c r="P85" i="12"/>
  <c r="Q85" i="12"/>
  <c r="T85" i="12"/>
  <c r="A86" i="12"/>
  <c r="B86" i="12"/>
  <c r="C86" i="12"/>
  <c r="D86" i="12"/>
  <c r="E86" i="12"/>
  <c r="F86" i="12"/>
  <c r="G86" i="12"/>
  <c r="H86" i="12"/>
  <c r="I86" i="12"/>
  <c r="K86" i="12"/>
  <c r="N86" i="12"/>
  <c r="O86" i="12"/>
  <c r="P86" i="12"/>
  <c r="Q86" i="12"/>
  <c r="T86" i="12"/>
  <c r="A87" i="12"/>
  <c r="B87" i="12"/>
  <c r="C87" i="12"/>
  <c r="D87" i="12"/>
  <c r="E87" i="12"/>
  <c r="F87" i="12"/>
  <c r="G87" i="12"/>
  <c r="H87" i="12"/>
  <c r="I87" i="12"/>
  <c r="K87" i="12"/>
  <c r="N87" i="12"/>
  <c r="O87" i="12"/>
  <c r="P87" i="12"/>
  <c r="Q87" i="12"/>
  <c r="T87" i="12"/>
  <c r="A88" i="12"/>
  <c r="B88" i="12"/>
  <c r="C88" i="12"/>
  <c r="D88" i="12"/>
  <c r="E88" i="12"/>
  <c r="F88" i="12"/>
  <c r="G88" i="12"/>
  <c r="H88" i="12"/>
  <c r="I88" i="12"/>
  <c r="K88" i="12"/>
  <c r="N88" i="12"/>
  <c r="O88" i="12"/>
  <c r="P88" i="12"/>
  <c r="Q88" i="12"/>
  <c r="T88" i="12"/>
  <c r="A89" i="12"/>
  <c r="B89" i="12"/>
  <c r="C89" i="12"/>
  <c r="D89" i="12"/>
  <c r="E89" i="12"/>
  <c r="F89" i="12"/>
  <c r="G89" i="12"/>
  <c r="H89" i="12"/>
  <c r="I89" i="12"/>
  <c r="K89" i="12"/>
  <c r="N89" i="12"/>
  <c r="O89" i="12"/>
  <c r="P89" i="12"/>
  <c r="Q89" i="12"/>
  <c r="T89" i="12"/>
  <c r="A90" i="12"/>
  <c r="B90" i="12"/>
  <c r="C90" i="12"/>
  <c r="D90" i="12"/>
  <c r="E90" i="12"/>
  <c r="F90" i="12"/>
  <c r="G90" i="12"/>
  <c r="H90" i="12"/>
  <c r="I90" i="12"/>
  <c r="K90" i="12"/>
  <c r="N90" i="12"/>
  <c r="O90" i="12"/>
  <c r="P90" i="12"/>
  <c r="Q90" i="12"/>
  <c r="T90" i="12"/>
  <c r="A91" i="12"/>
  <c r="B91" i="12"/>
  <c r="C91" i="12"/>
  <c r="D91" i="12"/>
  <c r="E91" i="12"/>
  <c r="F91" i="12"/>
  <c r="G91" i="12"/>
  <c r="H91" i="12"/>
  <c r="I91" i="12"/>
  <c r="K91" i="12"/>
  <c r="N91" i="12"/>
  <c r="O91" i="12"/>
  <c r="P91" i="12"/>
  <c r="Q91" i="12"/>
  <c r="T91" i="12"/>
  <c r="A92" i="12"/>
  <c r="B92" i="12"/>
  <c r="C92" i="12"/>
  <c r="D92" i="12"/>
  <c r="E92" i="12"/>
  <c r="F92" i="12"/>
  <c r="G92" i="12"/>
  <c r="H92" i="12"/>
  <c r="I92" i="12"/>
  <c r="K92" i="12"/>
  <c r="N92" i="12"/>
  <c r="O92" i="12"/>
  <c r="P92" i="12"/>
  <c r="Q92" i="12"/>
  <c r="T92" i="12"/>
  <c r="A93" i="12"/>
  <c r="B93" i="12"/>
  <c r="C93" i="12"/>
  <c r="D93" i="12"/>
  <c r="E93" i="12"/>
  <c r="F93" i="12"/>
  <c r="G93" i="12"/>
  <c r="H93" i="12"/>
  <c r="I93" i="12"/>
  <c r="K93" i="12"/>
  <c r="N93" i="12"/>
  <c r="O93" i="12"/>
  <c r="P93" i="12"/>
  <c r="Q93" i="12"/>
  <c r="T93" i="12"/>
  <c r="A94" i="12"/>
  <c r="B94" i="12"/>
  <c r="C94" i="12"/>
  <c r="D94" i="12"/>
  <c r="E94" i="12"/>
  <c r="F94" i="12"/>
  <c r="G94" i="12"/>
  <c r="H94" i="12"/>
  <c r="I94" i="12"/>
  <c r="K94" i="12"/>
  <c r="N94" i="12"/>
  <c r="O94" i="12"/>
  <c r="P94" i="12"/>
  <c r="Q94" i="12"/>
  <c r="T94" i="12"/>
  <c r="A95" i="12"/>
  <c r="B95" i="12"/>
  <c r="C95" i="12"/>
  <c r="D95" i="12"/>
  <c r="E95" i="12"/>
  <c r="F95" i="12"/>
  <c r="G95" i="12"/>
  <c r="H95" i="12"/>
  <c r="I95" i="12"/>
  <c r="K95" i="12"/>
  <c r="N95" i="12"/>
  <c r="O95" i="12"/>
  <c r="P95" i="12"/>
  <c r="Q95" i="12"/>
  <c r="T95" i="12"/>
  <c r="A96" i="12"/>
  <c r="B96" i="12"/>
  <c r="C96" i="12"/>
  <c r="D96" i="12"/>
  <c r="E96" i="12"/>
  <c r="F96" i="12"/>
  <c r="G96" i="12"/>
  <c r="H96" i="12"/>
  <c r="I96" i="12"/>
  <c r="K96" i="12"/>
  <c r="N96" i="12"/>
  <c r="O96" i="12"/>
  <c r="P96" i="12"/>
  <c r="Q96" i="12"/>
  <c r="T96" i="12"/>
  <c r="A97" i="12"/>
  <c r="B97" i="12"/>
  <c r="C97" i="12"/>
  <c r="D97" i="12"/>
  <c r="E97" i="12"/>
  <c r="F97" i="12"/>
  <c r="G97" i="12"/>
  <c r="H97" i="12"/>
  <c r="I97" i="12"/>
  <c r="K97" i="12"/>
  <c r="N97" i="12"/>
  <c r="O97" i="12"/>
  <c r="P97" i="12"/>
  <c r="Q97" i="12"/>
  <c r="T97" i="12"/>
  <c r="A98" i="12"/>
  <c r="B98" i="12"/>
  <c r="C98" i="12"/>
  <c r="D98" i="12"/>
  <c r="E98" i="12"/>
  <c r="F98" i="12"/>
  <c r="G98" i="12"/>
  <c r="H98" i="12"/>
  <c r="I98" i="12"/>
  <c r="K98" i="12"/>
  <c r="N98" i="12"/>
  <c r="O98" i="12"/>
  <c r="P98" i="12"/>
  <c r="Q98" i="12"/>
  <c r="T98" i="12"/>
  <c r="A99" i="12"/>
  <c r="B99" i="12"/>
  <c r="C99" i="12"/>
  <c r="D99" i="12"/>
  <c r="E99" i="12"/>
  <c r="F99" i="12"/>
  <c r="G99" i="12"/>
  <c r="H99" i="12"/>
  <c r="I99" i="12"/>
  <c r="K99" i="12"/>
  <c r="N99" i="12"/>
  <c r="O99" i="12"/>
  <c r="P99" i="12"/>
  <c r="Q99" i="12"/>
  <c r="T99" i="12"/>
  <c r="A100" i="12"/>
  <c r="B100" i="12"/>
  <c r="C100" i="12"/>
  <c r="D100" i="12"/>
  <c r="E100" i="12"/>
  <c r="F100" i="12"/>
  <c r="G100" i="12"/>
  <c r="H100" i="12"/>
  <c r="I100" i="12"/>
  <c r="K100" i="12"/>
  <c r="N100" i="12"/>
  <c r="O100" i="12"/>
  <c r="P100" i="12"/>
  <c r="Q100" i="12"/>
  <c r="T100" i="12"/>
  <c r="A101" i="12"/>
  <c r="B101" i="12"/>
  <c r="C101" i="12"/>
  <c r="D101" i="12"/>
  <c r="E101" i="12"/>
  <c r="F101" i="12"/>
  <c r="G101" i="12"/>
  <c r="H101" i="12"/>
  <c r="I101" i="12"/>
  <c r="K101" i="12"/>
  <c r="N101" i="12"/>
  <c r="O101" i="12"/>
  <c r="P101" i="12"/>
  <c r="Q101" i="12"/>
  <c r="T101" i="12"/>
  <c r="A102" i="12"/>
  <c r="B102" i="12"/>
  <c r="C102" i="12"/>
  <c r="D102" i="12"/>
  <c r="E102" i="12"/>
  <c r="F102" i="12"/>
  <c r="G102" i="12"/>
  <c r="H102" i="12"/>
  <c r="I102" i="12"/>
  <c r="K102" i="12"/>
  <c r="N102" i="12"/>
  <c r="O102" i="12"/>
  <c r="P102" i="12"/>
  <c r="Q102" i="12"/>
  <c r="T102" i="12"/>
  <c r="A103" i="12"/>
  <c r="B103" i="12"/>
  <c r="C103" i="12"/>
  <c r="D103" i="12"/>
  <c r="E103" i="12"/>
  <c r="F103" i="12"/>
  <c r="G103" i="12"/>
  <c r="H103" i="12"/>
  <c r="I103" i="12"/>
  <c r="K103" i="12"/>
  <c r="N103" i="12"/>
  <c r="O103" i="12"/>
  <c r="P103" i="12"/>
  <c r="Q103" i="12"/>
  <c r="T103" i="12"/>
  <c r="A104" i="12"/>
  <c r="B104" i="12"/>
  <c r="C104" i="12"/>
  <c r="D104" i="12"/>
  <c r="E104" i="12"/>
  <c r="F104" i="12"/>
  <c r="G104" i="12"/>
  <c r="H104" i="12"/>
  <c r="I104" i="12"/>
  <c r="K104" i="12"/>
  <c r="N104" i="12"/>
  <c r="O104" i="12"/>
  <c r="P104" i="12"/>
  <c r="Q104" i="12"/>
  <c r="T104" i="12"/>
  <c r="A105" i="12"/>
  <c r="B105" i="12"/>
  <c r="C105" i="12"/>
  <c r="D105" i="12"/>
  <c r="E105" i="12"/>
  <c r="F105" i="12"/>
  <c r="G105" i="12"/>
  <c r="H105" i="12"/>
  <c r="I105" i="12"/>
  <c r="K105" i="12"/>
  <c r="N105" i="12"/>
  <c r="O105" i="12"/>
  <c r="P105" i="12"/>
  <c r="Q105" i="12"/>
  <c r="T105" i="12"/>
  <c r="A106" i="12"/>
  <c r="B106" i="12"/>
  <c r="C106" i="12"/>
  <c r="D106" i="12"/>
  <c r="E106" i="12"/>
  <c r="F106" i="12"/>
  <c r="G106" i="12"/>
  <c r="H106" i="12"/>
  <c r="I106" i="12"/>
  <c r="K106" i="12"/>
  <c r="N106" i="12"/>
  <c r="O106" i="12"/>
  <c r="P106" i="12"/>
  <c r="Q106" i="12"/>
  <c r="T106" i="12"/>
  <c r="A107" i="12"/>
  <c r="B107" i="12"/>
  <c r="C107" i="12"/>
  <c r="D107" i="12"/>
  <c r="E107" i="12"/>
  <c r="F107" i="12"/>
  <c r="G107" i="12"/>
  <c r="H107" i="12"/>
  <c r="I107" i="12"/>
  <c r="K107" i="12"/>
  <c r="N107" i="12"/>
  <c r="O107" i="12"/>
  <c r="P107" i="12"/>
  <c r="Q107" i="12"/>
  <c r="T107" i="12"/>
  <c r="A108" i="12"/>
  <c r="B108" i="12"/>
  <c r="C108" i="12"/>
  <c r="D108" i="12"/>
  <c r="E108" i="12"/>
  <c r="F108" i="12"/>
  <c r="G108" i="12"/>
  <c r="H108" i="12"/>
  <c r="I108" i="12"/>
  <c r="K108" i="12"/>
  <c r="N108" i="12"/>
  <c r="O108" i="12"/>
  <c r="P108" i="12"/>
  <c r="Q108" i="12"/>
  <c r="T108" i="12"/>
  <c r="A109" i="12"/>
  <c r="B109" i="12"/>
  <c r="C109" i="12"/>
  <c r="D109" i="12"/>
  <c r="E109" i="12"/>
  <c r="F109" i="12"/>
  <c r="G109" i="12"/>
  <c r="H109" i="12"/>
  <c r="I109" i="12"/>
  <c r="K109" i="12"/>
  <c r="N109" i="12"/>
  <c r="O109" i="12"/>
  <c r="P109" i="12"/>
  <c r="Q109" i="12"/>
  <c r="T109" i="12"/>
  <c r="A110" i="12"/>
  <c r="B110" i="12"/>
  <c r="C110" i="12"/>
  <c r="D110" i="12"/>
  <c r="E110" i="12"/>
  <c r="F110" i="12"/>
  <c r="G110" i="12"/>
  <c r="H110" i="12"/>
  <c r="I110" i="12"/>
  <c r="K110" i="12"/>
  <c r="N110" i="12"/>
  <c r="O110" i="12"/>
  <c r="P110" i="12"/>
  <c r="Q110" i="12"/>
  <c r="T110" i="12"/>
  <c r="A111" i="12"/>
  <c r="B111" i="12"/>
  <c r="C111" i="12"/>
  <c r="D111" i="12"/>
  <c r="E111" i="12"/>
  <c r="F111" i="12"/>
  <c r="G111" i="12"/>
  <c r="H111" i="12"/>
  <c r="I111" i="12"/>
  <c r="K111" i="12"/>
  <c r="N111" i="12"/>
  <c r="O111" i="12"/>
  <c r="P111" i="12"/>
  <c r="Q111" i="12"/>
  <c r="T111" i="12"/>
  <c r="A112" i="12"/>
  <c r="B112" i="12"/>
  <c r="C112" i="12"/>
  <c r="D112" i="12"/>
  <c r="E112" i="12"/>
  <c r="F112" i="12"/>
  <c r="G112" i="12"/>
  <c r="H112" i="12"/>
  <c r="I112" i="12"/>
  <c r="K112" i="12"/>
  <c r="N112" i="12"/>
  <c r="O112" i="12"/>
  <c r="P112" i="12"/>
  <c r="Q112" i="12"/>
  <c r="T112" i="12"/>
  <c r="A113" i="12"/>
  <c r="B113" i="12"/>
  <c r="C113" i="12"/>
  <c r="D113" i="12"/>
  <c r="E113" i="12"/>
  <c r="F113" i="12"/>
  <c r="G113" i="12"/>
  <c r="H113" i="12"/>
  <c r="I113" i="12"/>
  <c r="K113" i="12"/>
  <c r="N113" i="12"/>
  <c r="O113" i="12"/>
  <c r="P113" i="12"/>
  <c r="Q113" i="12"/>
  <c r="T113" i="12"/>
  <c r="A114" i="12"/>
  <c r="B114" i="12"/>
  <c r="C114" i="12"/>
  <c r="D114" i="12"/>
  <c r="E114" i="12"/>
  <c r="F114" i="12"/>
  <c r="G114" i="12"/>
  <c r="H114" i="12"/>
  <c r="I114" i="12"/>
  <c r="K114" i="12"/>
  <c r="N114" i="12"/>
  <c r="O114" i="12"/>
  <c r="P114" i="12"/>
  <c r="Q114" i="12"/>
  <c r="T114" i="12"/>
  <c r="A115" i="12"/>
  <c r="B115" i="12"/>
  <c r="C115" i="12"/>
  <c r="D115" i="12"/>
  <c r="E115" i="12"/>
  <c r="F115" i="12"/>
  <c r="G115" i="12"/>
  <c r="H115" i="12"/>
  <c r="I115" i="12"/>
  <c r="K115" i="12"/>
  <c r="N115" i="12"/>
  <c r="O115" i="12"/>
  <c r="P115" i="12"/>
  <c r="Q115" i="12"/>
  <c r="T115" i="12"/>
  <c r="A116" i="12"/>
  <c r="B116" i="12"/>
  <c r="C116" i="12"/>
  <c r="D116" i="12"/>
  <c r="E116" i="12"/>
  <c r="F116" i="12"/>
  <c r="G116" i="12"/>
  <c r="H116" i="12"/>
  <c r="I116" i="12"/>
  <c r="K116" i="12"/>
  <c r="N116" i="12"/>
  <c r="O116" i="12"/>
  <c r="P116" i="12"/>
  <c r="Q116" i="12"/>
  <c r="T116" i="12"/>
  <c r="A117" i="12"/>
  <c r="B117" i="12"/>
  <c r="C117" i="12"/>
  <c r="D117" i="12"/>
  <c r="E117" i="12"/>
  <c r="F117" i="12"/>
  <c r="G117" i="12"/>
  <c r="H117" i="12"/>
  <c r="I117" i="12"/>
  <c r="K117" i="12"/>
  <c r="N117" i="12"/>
  <c r="O117" i="12"/>
  <c r="P117" i="12"/>
  <c r="Q117" i="12"/>
  <c r="T117" i="12"/>
  <c r="A118" i="12"/>
  <c r="B118" i="12"/>
  <c r="C118" i="12"/>
  <c r="D118" i="12"/>
  <c r="E118" i="12"/>
  <c r="F118" i="12"/>
  <c r="G118" i="12"/>
  <c r="H118" i="12"/>
  <c r="I118" i="12"/>
  <c r="K118" i="12"/>
  <c r="N118" i="12"/>
  <c r="O118" i="12"/>
  <c r="P118" i="12"/>
  <c r="Q118" i="12"/>
  <c r="T118" i="12"/>
  <c r="A119" i="12"/>
  <c r="B119" i="12"/>
  <c r="C119" i="12"/>
  <c r="D119" i="12"/>
  <c r="E119" i="12"/>
  <c r="F119" i="12"/>
  <c r="G119" i="12"/>
  <c r="H119" i="12"/>
  <c r="I119" i="12"/>
  <c r="K119" i="12"/>
  <c r="N119" i="12"/>
  <c r="O119" i="12"/>
  <c r="Q119" i="12"/>
  <c r="T119" i="12"/>
  <c r="A120" i="12"/>
  <c r="B120" i="12"/>
  <c r="C120" i="12"/>
  <c r="D120" i="12"/>
  <c r="E120" i="12"/>
  <c r="F120" i="12"/>
  <c r="G120" i="12"/>
  <c r="H120" i="12"/>
  <c r="I120" i="12"/>
  <c r="K120" i="12"/>
  <c r="N120" i="12"/>
  <c r="O120" i="12"/>
  <c r="P120" i="12"/>
  <c r="Q120" i="12"/>
  <c r="T120" i="12"/>
  <c r="A121" i="12"/>
  <c r="B121" i="12"/>
  <c r="C121" i="12"/>
  <c r="D121" i="12"/>
  <c r="E121" i="12"/>
  <c r="F121" i="12"/>
  <c r="G121" i="12"/>
  <c r="H121" i="12"/>
  <c r="I121" i="12"/>
  <c r="K121" i="12"/>
  <c r="N121" i="12"/>
  <c r="O121" i="12"/>
  <c r="P121" i="12"/>
  <c r="Q121" i="12"/>
  <c r="T121" i="12"/>
  <c r="A122" i="12"/>
  <c r="B122" i="12"/>
  <c r="C122" i="12"/>
  <c r="D122" i="12"/>
  <c r="E122" i="12"/>
  <c r="F122" i="12"/>
  <c r="G122" i="12"/>
  <c r="H122" i="12"/>
  <c r="I122" i="12"/>
  <c r="K122" i="12"/>
  <c r="N122" i="12"/>
  <c r="O122" i="12"/>
  <c r="P122" i="12"/>
  <c r="Q122" i="12"/>
  <c r="T122" i="12"/>
  <c r="A123" i="12"/>
  <c r="B123" i="12"/>
  <c r="C123" i="12"/>
  <c r="D123" i="12"/>
  <c r="E123" i="12"/>
  <c r="F123" i="12"/>
  <c r="G123" i="12"/>
  <c r="H123" i="12"/>
  <c r="I123" i="12"/>
  <c r="K123" i="12"/>
  <c r="N123" i="12"/>
  <c r="O123" i="12"/>
  <c r="P123" i="12"/>
  <c r="Q123" i="12"/>
  <c r="T123" i="12"/>
  <c r="A124" i="12"/>
  <c r="B124" i="12"/>
  <c r="C124" i="12"/>
  <c r="D124" i="12"/>
  <c r="E124" i="12"/>
  <c r="F124" i="12"/>
  <c r="G124" i="12"/>
  <c r="H124" i="12"/>
  <c r="I124" i="12"/>
  <c r="K124" i="12"/>
  <c r="N124" i="12"/>
  <c r="O124" i="12"/>
  <c r="P124" i="12"/>
  <c r="Q124" i="12"/>
  <c r="T124" i="12"/>
  <c r="A125" i="12"/>
  <c r="B125" i="12"/>
  <c r="C125" i="12"/>
  <c r="D125" i="12"/>
  <c r="E125" i="12"/>
  <c r="F125" i="12"/>
  <c r="G125" i="12"/>
  <c r="H125" i="12"/>
  <c r="I125" i="12"/>
  <c r="K125" i="12"/>
  <c r="N125" i="12"/>
  <c r="O125" i="12"/>
  <c r="P125" i="12"/>
  <c r="Q125" i="12"/>
  <c r="T125" i="12"/>
  <c r="G59" i="12"/>
  <c r="B16" i="12"/>
  <c r="B2" i="12"/>
  <c r="B17" i="12"/>
  <c r="B18" i="12"/>
  <c r="B19" i="12"/>
  <c r="B20" i="12"/>
  <c r="B21" i="12"/>
  <c r="B22" i="12"/>
  <c r="B23" i="12"/>
  <c r="B24" i="12"/>
  <c r="B25" i="12"/>
  <c r="B26" i="12"/>
  <c r="B27" i="12"/>
  <c r="B28" i="12"/>
  <c r="B29" i="12"/>
  <c r="B30" i="12"/>
  <c r="B31" i="12"/>
  <c r="B32" i="12"/>
  <c r="B33" i="12"/>
  <c r="B34" i="12"/>
  <c r="B35" i="12"/>
  <c r="B3" i="12"/>
  <c r="B4" i="12"/>
  <c r="B36" i="12"/>
  <c r="B37" i="12"/>
  <c r="B38" i="12"/>
  <c r="B39" i="12"/>
  <c r="B40" i="12"/>
  <c r="B41" i="12"/>
  <c r="B42" i="12"/>
  <c r="B129" i="12"/>
  <c r="B130" i="12"/>
  <c r="B43" i="12"/>
  <c r="B44" i="12"/>
  <c r="B131" i="12"/>
  <c r="B132" i="12"/>
  <c r="B137" i="12"/>
  <c r="B138" i="12"/>
  <c r="B45" i="12"/>
  <c r="B46" i="12"/>
  <c r="B5" i="12"/>
  <c r="B139" i="12"/>
  <c r="B47" i="12"/>
  <c r="B140" i="12"/>
  <c r="B48" i="12"/>
  <c r="B49" i="12"/>
  <c r="B50" i="12"/>
  <c r="B51" i="12"/>
  <c r="B52" i="12"/>
  <c r="B53" i="12"/>
  <c r="B54" i="12"/>
  <c r="B133" i="12"/>
  <c r="B55" i="12"/>
  <c r="B56" i="12"/>
  <c r="B57" i="12"/>
  <c r="B141" i="12"/>
  <c r="B58" i="12"/>
  <c r="B6" i="12"/>
  <c r="B142" i="12"/>
  <c r="B143" i="12"/>
  <c r="B144" i="12"/>
  <c r="B145" i="12"/>
  <c r="B59" i="12"/>
  <c r="B134" i="12"/>
  <c r="B60" i="12"/>
  <c r="B61" i="12"/>
  <c r="B135" i="12"/>
  <c r="B62" i="12"/>
  <c r="B136" i="12"/>
  <c r="B63" i="12"/>
  <c r="B64" i="12"/>
  <c r="B65" i="12"/>
  <c r="B66" i="12"/>
  <c r="B67" i="12"/>
  <c r="B172" i="12"/>
  <c r="B173" i="12"/>
  <c r="B174" i="12"/>
  <c r="B175" i="12"/>
  <c r="B176" i="12"/>
  <c r="B177" i="12"/>
  <c r="B178" i="12"/>
  <c r="B179" i="12"/>
  <c r="B68" i="12"/>
  <c r="B69" i="12"/>
  <c r="B70" i="12"/>
  <c r="B71" i="12"/>
  <c r="B72" i="12"/>
  <c r="B73" i="12"/>
  <c r="B74" i="12"/>
  <c r="B75" i="12"/>
  <c r="B76" i="12"/>
  <c r="B15" i="12"/>
  <c r="C15" i="12"/>
  <c r="C16" i="12"/>
  <c r="C2" i="12"/>
  <c r="C17" i="12"/>
  <c r="C18" i="12"/>
  <c r="C19" i="12"/>
  <c r="C20" i="12"/>
  <c r="C21" i="12"/>
  <c r="C22" i="12"/>
  <c r="C23" i="12"/>
  <c r="C24" i="12"/>
  <c r="C25" i="12"/>
  <c r="C26" i="12"/>
  <c r="C27" i="12"/>
  <c r="C28" i="12"/>
  <c r="C29" i="12"/>
  <c r="C30" i="12"/>
  <c r="C31" i="12"/>
  <c r="C32" i="12"/>
  <c r="C33" i="12"/>
  <c r="C34" i="12"/>
  <c r="C35" i="12"/>
  <c r="C3" i="12"/>
  <c r="C4" i="12"/>
  <c r="C36" i="12"/>
  <c r="C37" i="12"/>
  <c r="C38" i="12"/>
  <c r="C39" i="12"/>
  <c r="C40" i="12"/>
  <c r="C41" i="12"/>
  <c r="C42" i="12"/>
  <c r="C129" i="12"/>
  <c r="C130" i="12"/>
  <c r="C43" i="12"/>
  <c r="C44" i="12"/>
  <c r="C131" i="12"/>
  <c r="C132" i="12"/>
  <c r="C137" i="12"/>
  <c r="C138" i="12"/>
  <c r="C45" i="12"/>
  <c r="C46" i="12"/>
  <c r="C5" i="12"/>
  <c r="C139" i="12"/>
  <c r="C47" i="12"/>
  <c r="C140" i="12"/>
  <c r="C48" i="12"/>
  <c r="C49" i="12"/>
  <c r="C50" i="12"/>
  <c r="C51" i="12"/>
  <c r="C52" i="12"/>
  <c r="C53" i="12"/>
  <c r="C54" i="12"/>
  <c r="C133" i="12"/>
  <c r="C55" i="12"/>
  <c r="C56" i="12"/>
  <c r="C57" i="12"/>
  <c r="C141" i="12"/>
  <c r="C58" i="12"/>
  <c r="C6" i="12"/>
  <c r="C142" i="12"/>
  <c r="C143" i="12"/>
  <c r="C144" i="12"/>
  <c r="C145" i="12"/>
  <c r="C59" i="12"/>
  <c r="C134" i="12"/>
  <c r="C60" i="12"/>
  <c r="C61" i="12"/>
  <c r="C135" i="12"/>
  <c r="C62" i="12"/>
  <c r="C136" i="12"/>
  <c r="C63" i="12"/>
  <c r="C64" i="12"/>
  <c r="C65" i="12"/>
  <c r="C66" i="12"/>
  <c r="C67" i="12"/>
  <c r="C172" i="12"/>
  <c r="C173" i="12"/>
  <c r="C174" i="12"/>
  <c r="C175" i="12"/>
  <c r="C176" i="12"/>
  <c r="C177" i="12"/>
  <c r="C178" i="12"/>
  <c r="C179" i="12"/>
  <c r="C68" i="12"/>
  <c r="C69" i="12"/>
  <c r="C70" i="12"/>
  <c r="C71" i="12"/>
  <c r="C72" i="12"/>
  <c r="C73" i="12"/>
  <c r="C74" i="12"/>
  <c r="C75" i="12"/>
  <c r="C76" i="12"/>
  <c r="F15" i="12"/>
  <c r="F16" i="12"/>
  <c r="F2" i="12"/>
  <c r="F17" i="12"/>
  <c r="F18" i="12"/>
  <c r="F19" i="12"/>
  <c r="F20" i="12"/>
  <c r="F21" i="12"/>
  <c r="F22" i="12"/>
  <c r="F23" i="12"/>
  <c r="F24" i="12"/>
  <c r="F25" i="12"/>
  <c r="F26" i="12"/>
  <c r="F27" i="12"/>
  <c r="F28" i="12"/>
  <c r="F29" i="12"/>
  <c r="F30" i="12"/>
  <c r="F31" i="12"/>
  <c r="F32" i="12"/>
  <c r="F33" i="12"/>
  <c r="F34" i="12"/>
  <c r="F35" i="12"/>
  <c r="F3" i="12"/>
  <c r="F4" i="12"/>
  <c r="F36" i="12"/>
  <c r="F37" i="12"/>
  <c r="F38" i="12"/>
  <c r="F39" i="12"/>
  <c r="F40" i="12"/>
  <c r="F41" i="12"/>
  <c r="F42" i="12"/>
  <c r="F129" i="12"/>
  <c r="F130" i="12"/>
  <c r="F43" i="12"/>
  <c r="F44" i="12"/>
  <c r="F131" i="12"/>
  <c r="F132" i="12"/>
  <c r="F137" i="12"/>
  <c r="F138" i="12"/>
  <c r="F45" i="12"/>
  <c r="F46" i="12"/>
  <c r="F5" i="12"/>
  <c r="F139" i="12"/>
  <c r="F47" i="12"/>
  <c r="F140" i="12"/>
  <c r="F48" i="12"/>
  <c r="F49" i="12"/>
  <c r="F50" i="12"/>
  <c r="F51" i="12"/>
  <c r="F52" i="12"/>
  <c r="F53" i="12"/>
  <c r="F54" i="12"/>
  <c r="F133" i="12"/>
  <c r="F55" i="12"/>
  <c r="F56" i="12"/>
  <c r="F57" i="12"/>
  <c r="F141" i="12"/>
  <c r="F58" i="12"/>
  <c r="F6" i="12"/>
  <c r="F142" i="12"/>
  <c r="F143" i="12"/>
  <c r="F144" i="12"/>
  <c r="F145" i="12"/>
  <c r="F59" i="12"/>
  <c r="F134" i="12"/>
  <c r="F60" i="12"/>
  <c r="F61" i="12"/>
  <c r="F135" i="12"/>
  <c r="F62" i="12"/>
  <c r="F136" i="12"/>
  <c r="F63" i="12"/>
  <c r="F64" i="12"/>
  <c r="F65" i="12"/>
  <c r="F66" i="12"/>
  <c r="F67" i="12"/>
  <c r="F172" i="12"/>
  <c r="F173" i="12"/>
  <c r="F174" i="12"/>
  <c r="F175" i="12"/>
  <c r="F176" i="12"/>
  <c r="F177" i="12"/>
  <c r="F178" i="12"/>
  <c r="F179" i="12"/>
  <c r="F68" i="12"/>
  <c r="F69" i="12"/>
  <c r="F70" i="12"/>
  <c r="F71" i="12"/>
  <c r="F72" i="12"/>
  <c r="F73" i="12"/>
  <c r="F74" i="12"/>
  <c r="F75" i="12"/>
  <c r="F76" i="12"/>
  <c r="H15" i="12"/>
  <c r="H16" i="12"/>
  <c r="H2" i="12"/>
  <c r="H17" i="12"/>
  <c r="H18" i="12"/>
  <c r="H19" i="12"/>
  <c r="H20" i="12"/>
  <c r="H21" i="12"/>
  <c r="H22" i="12"/>
  <c r="H23" i="12"/>
  <c r="H24" i="12"/>
  <c r="H25" i="12"/>
  <c r="H26" i="12"/>
  <c r="H27" i="12"/>
  <c r="H28" i="12"/>
  <c r="H29" i="12"/>
  <c r="H30" i="12"/>
  <c r="H31" i="12"/>
  <c r="H32" i="12"/>
  <c r="H33" i="12"/>
  <c r="H34" i="12"/>
  <c r="H35" i="12"/>
  <c r="H3" i="12"/>
  <c r="H4" i="12"/>
  <c r="H36" i="12"/>
  <c r="H37" i="12"/>
  <c r="H38" i="12"/>
  <c r="H39" i="12"/>
  <c r="H40" i="12"/>
  <c r="H41" i="12"/>
  <c r="H42" i="12"/>
  <c r="H129" i="12"/>
  <c r="H130" i="12"/>
  <c r="H43" i="12"/>
  <c r="H44" i="12"/>
  <c r="H131" i="12"/>
  <c r="H132" i="12"/>
  <c r="H137" i="12"/>
  <c r="H138" i="12"/>
  <c r="H45" i="12"/>
  <c r="H46" i="12"/>
  <c r="H5" i="12"/>
  <c r="H139" i="12"/>
  <c r="H47" i="12"/>
  <c r="H140" i="12"/>
  <c r="H48" i="12"/>
  <c r="H49" i="12"/>
  <c r="H50" i="12"/>
  <c r="H51" i="12"/>
  <c r="H52" i="12"/>
  <c r="H53" i="12"/>
  <c r="H54" i="12"/>
  <c r="H133" i="12"/>
  <c r="H55" i="12"/>
  <c r="H56" i="12"/>
  <c r="H57" i="12"/>
  <c r="H141" i="12"/>
  <c r="H58" i="12"/>
  <c r="H6" i="12"/>
  <c r="H142" i="12"/>
  <c r="H143" i="12"/>
  <c r="H144" i="12"/>
  <c r="H145" i="12"/>
  <c r="H59" i="12"/>
  <c r="H134" i="12"/>
  <c r="H60" i="12"/>
  <c r="H61" i="12"/>
  <c r="H135" i="12"/>
  <c r="H62" i="12"/>
  <c r="H136" i="12"/>
  <c r="H63" i="12"/>
  <c r="H64" i="12"/>
  <c r="H65" i="12"/>
  <c r="H66" i="12"/>
  <c r="H67" i="12"/>
  <c r="H172" i="12"/>
  <c r="H173" i="12"/>
  <c r="H174" i="12"/>
  <c r="H175" i="12"/>
  <c r="H176" i="12"/>
  <c r="H177" i="12"/>
  <c r="H178" i="12"/>
  <c r="H179" i="12"/>
  <c r="H68" i="12"/>
  <c r="H69" i="12"/>
  <c r="H70" i="12"/>
  <c r="H71" i="12"/>
  <c r="H72" i="12"/>
  <c r="H73" i="12"/>
  <c r="H74" i="12"/>
  <c r="H75" i="12"/>
  <c r="H76" i="12"/>
  <c r="I15" i="12"/>
  <c r="I16" i="12"/>
  <c r="I2" i="12"/>
  <c r="I17" i="12"/>
  <c r="I18" i="12"/>
  <c r="I19" i="12"/>
  <c r="I20" i="12"/>
  <c r="I21" i="12"/>
  <c r="I22" i="12"/>
  <c r="I23" i="12"/>
  <c r="I24" i="12"/>
  <c r="I25" i="12"/>
  <c r="I26" i="12"/>
  <c r="I27" i="12"/>
  <c r="I28" i="12"/>
  <c r="I29" i="12"/>
  <c r="I30" i="12"/>
  <c r="I31" i="12"/>
  <c r="I32" i="12"/>
  <c r="I33" i="12"/>
  <c r="I34" i="12"/>
  <c r="I35" i="12"/>
  <c r="I3" i="12"/>
  <c r="I4" i="12"/>
  <c r="I36" i="12"/>
  <c r="I37" i="12"/>
  <c r="I38" i="12"/>
  <c r="I39" i="12"/>
  <c r="I40" i="12"/>
  <c r="I41" i="12"/>
  <c r="I42" i="12"/>
  <c r="I129" i="12"/>
  <c r="I130" i="12"/>
  <c r="I43" i="12"/>
  <c r="I44" i="12"/>
  <c r="I131" i="12"/>
  <c r="I132" i="12"/>
  <c r="I137" i="12"/>
  <c r="I138" i="12"/>
  <c r="I45" i="12"/>
  <c r="I46" i="12"/>
  <c r="I5" i="12"/>
  <c r="I139" i="12"/>
  <c r="I47" i="12"/>
  <c r="I140" i="12"/>
  <c r="I48" i="12"/>
  <c r="I49" i="12"/>
  <c r="I50" i="12"/>
  <c r="I51" i="12"/>
  <c r="I52" i="12"/>
  <c r="I53" i="12"/>
  <c r="I54" i="12"/>
  <c r="I133" i="12"/>
  <c r="I55" i="12"/>
  <c r="I56" i="12"/>
  <c r="I57" i="12"/>
  <c r="I141" i="12"/>
  <c r="I58" i="12"/>
  <c r="I6" i="12"/>
  <c r="I142" i="12"/>
  <c r="I143" i="12"/>
  <c r="I144" i="12"/>
  <c r="I145" i="12"/>
  <c r="I59" i="12"/>
  <c r="I134" i="12"/>
  <c r="I60" i="12"/>
  <c r="I61" i="12"/>
  <c r="I135" i="12"/>
  <c r="I62" i="12"/>
  <c r="I136" i="12"/>
  <c r="I63" i="12"/>
  <c r="I64" i="12"/>
  <c r="I65" i="12"/>
  <c r="I66" i="12"/>
  <c r="I67" i="12"/>
  <c r="I172" i="12"/>
  <c r="I173" i="12"/>
  <c r="I174" i="12"/>
  <c r="I175" i="12"/>
  <c r="I176" i="12"/>
  <c r="I177" i="12"/>
  <c r="I178" i="12"/>
  <c r="I179" i="12"/>
  <c r="I68" i="12"/>
  <c r="I69" i="12"/>
  <c r="I70" i="12"/>
  <c r="I71" i="12"/>
  <c r="I72" i="12"/>
  <c r="I73" i="12"/>
  <c r="I74" i="12"/>
  <c r="I75" i="12"/>
  <c r="I76" i="12"/>
  <c r="T15" i="12"/>
  <c r="T16" i="12"/>
  <c r="T2" i="12"/>
  <c r="T17" i="12"/>
  <c r="T18" i="12"/>
  <c r="T19" i="12"/>
  <c r="T20" i="12"/>
  <c r="T21" i="12"/>
  <c r="T22" i="12"/>
  <c r="T23" i="12"/>
  <c r="T24" i="12"/>
  <c r="T25" i="12"/>
  <c r="T26" i="12"/>
  <c r="T27" i="12"/>
  <c r="T28" i="12"/>
  <c r="T29" i="12"/>
  <c r="T30" i="12"/>
  <c r="T31" i="12"/>
  <c r="T32" i="12"/>
  <c r="T33" i="12"/>
  <c r="T34" i="12"/>
  <c r="T35" i="12"/>
  <c r="T3" i="12"/>
  <c r="T4" i="12"/>
  <c r="T36" i="12"/>
  <c r="T37" i="12"/>
  <c r="T38" i="12"/>
  <c r="T39" i="12"/>
  <c r="T40" i="12"/>
  <c r="T41" i="12"/>
  <c r="T42" i="12"/>
  <c r="T129" i="12"/>
  <c r="T130" i="12"/>
  <c r="T43" i="12"/>
  <c r="T44" i="12"/>
  <c r="T131" i="12"/>
  <c r="T132" i="12"/>
  <c r="T137" i="12"/>
  <c r="T138" i="12"/>
  <c r="T45" i="12"/>
  <c r="T46" i="12"/>
  <c r="T5" i="12"/>
  <c r="T139" i="12"/>
  <c r="T47" i="12"/>
  <c r="T140" i="12"/>
  <c r="T48" i="12"/>
  <c r="T49" i="12"/>
  <c r="T50" i="12"/>
  <c r="T51" i="12"/>
  <c r="T52" i="12"/>
  <c r="T53" i="12"/>
  <c r="T54" i="12"/>
  <c r="T133" i="12"/>
  <c r="T55" i="12"/>
  <c r="T56" i="12"/>
  <c r="T57" i="12"/>
  <c r="T141" i="12"/>
  <c r="T58" i="12"/>
  <c r="T6" i="12"/>
  <c r="T142" i="12"/>
  <c r="T143" i="12"/>
  <c r="T144" i="12"/>
  <c r="T145" i="12"/>
  <c r="T59" i="12"/>
  <c r="T134" i="12"/>
  <c r="T60" i="12"/>
  <c r="T61" i="12"/>
  <c r="T135" i="12"/>
  <c r="T62" i="12"/>
  <c r="T136" i="12"/>
  <c r="T63" i="12"/>
  <c r="T64" i="12"/>
  <c r="T65" i="12"/>
  <c r="T66" i="12"/>
  <c r="T67" i="12"/>
  <c r="T172" i="12"/>
  <c r="T173" i="12"/>
  <c r="T174" i="12"/>
  <c r="T175" i="12"/>
  <c r="T176" i="12"/>
  <c r="T177" i="12"/>
  <c r="T178" i="12"/>
  <c r="T179" i="12"/>
  <c r="T68" i="12"/>
  <c r="T69" i="12"/>
  <c r="T70" i="12"/>
  <c r="T71" i="12"/>
  <c r="T72" i="12"/>
  <c r="T73" i="12"/>
  <c r="T74" i="12"/>
  <c r="T75" i="12"/>
  <c r="T76" i="12"/>
  <c r="K52" i="12"/>
  <c r="N52" i="12"/>
  <c r="O52" i="12"/>
  <c r="P52" i="12"/>
  <c r="Q52" i="12"/>
  <c r="K53" i="12"/>
  <c r="N53" i="12"/>
  <c r="O53" i="12"/>
  <c r="P53" i="12"/>
  <c r="Q53" i="12"/>
  <c r="K54" i="12"/>
  <c r="N54" i="12"/>
  <c r="O54" i="12"/>
  <c r="P54" i="12"/>
  <c r="Q54" i="12"/>
  <c r="K133" i="12"/>
  <c r="N133" i="12"/>
  <c r="O133" i="12"/>
  <c r="P133" i="12"/>
  <c r="Q133" i="12"/>
  <c r="K55" i="12"/>
  <c r="N55" i="12"/>
  <c r="O55" i="12"/>
  <c r="P55" i="12"/>
  <c r="Q55" i="12"/>
  <c r="K56" i="12"/>
  <c r="N56" i="12"/>
  <c r="O56" i="12"/>
  <c r="P56" i="12"/>
  <c r="Q56" i="12"/>
  <c r="K57" i="12"/>
  <c r="N57" i="12"/>
  <c r="O57" i="12"/>
  <c r="P57" i="12"/>
  <c r="Q57" i="12"/>
  <c r="K141" i="12"/>
  <c r="N141" i="12"/>
  <c r="O141" i="12"/>
  <c r="P141" i="12"/>
  <c r="Q141" i="12"/>
  <c r="K58" i="12"/>
  <c r="N58" i="12"/>
  <c r="O58" i="12"/>
  <c r="P58" i="12"/>
  <c r="Q58" i="12"/>
  <c r="K6" i="12"/>
  <c r="N6" i="12"/>
  <c r="O6" i="12"/>
  <c r="P6" i="12"/>
  <c r="Q6" i="12"/>
  <c r="K142" i="12"/>
  <c r="N142" i="12"/>
  <c r="O142" i="12"/>
  <c r="P142" i="12"/>
  <c r="Q142" i="12"/>
  <c r="K143" i="12"/>
  <c r="N143" i="12"/>
  <c r="O143" i="12"/>
  <c r="P143" i="12"/>
  <c r="Q143" i="12"/>
  <c r="K144" i="12"/>
  <c r="N144" i="12"/>
  <c r="O144" i="12"/>
  <c r="P144" i="12"/>
  <c r="Q144" i="12"/>
  <c r="K145" i="12"/>
  <c r="N145" i="12"/>
  <c r="O145" i="12"/>
  <c r="P145" i="12"/>
  <c r="Q145" i="12"/>
  <c r="K59" i="12"/>
  <c r="N59" i="12"/>
  <c r="O59" i="12"/>
  <c r="P59" i="12"/>
  <c r="Q59" i="12"/>
  <c r="K134" i="12"/>
  <c r="N134" i="12"/>
  <c r="O134" i="12"/>
  <c r="P134" i="12"/>
  <c r="Q134" i="12"/>
  <c r="K60" i="12"/>
  <c r="N60" i="12"/>
  <c r="O60" i="12"/>
  <c r="P60" i="12"/>
  <c r="Q60" i="12"/>
  <c r="K61" i="12"/>
  <c r="N61" i="12"/>
  <c r="O61" i="12"/>
  <c r="P61" i="12"/>
  <c r="Q61" i="12"/>
  <c r="K135" i="12"/>
  <c r="N135" i="12"/>
  <c r="O135" i="12"/>
  <c r="P135" i="12"/>
  <c r="Q135" i="12"/>
  <c r="K62" i="12"/>
  <c r="N62" i="12"/>
  <c r="O62" i="12"/>
  <c r="P62" i="12"/>
  <c r="Q62" i="12"/>
  <c r="K136" i="12"/>
  <c r="N136" i="12"/>
  <c r="O136" i="12"/>
  <c r="P136" i="12"/>
  <c r="Q136" i="12"/>
  <c r="K63" i="12"/>
  <c r="N63" i="12"/>
  <c r="O63" i="12"/>
  <c r="P63" i="12"/>
  <c r="Q63" i="12"/>
  <c r="K64" i="12"/>
  <c r="N64" i="12"/>
  <c r="O64" i="12"/>
  <c r="P64" i="12"/>
  <c r="Q64" i="12"/>
  <c r="K65" i="12"/>
  <c r="N65" i="12"/>
  <c r="O65" i="12"/>
  <c r="P65" i="12"/>
  <c r="Q65" i="12"/>
  <c r="K66" i="12"/>
  <c r="N66" i="12"/>
  <c r="O66" i="12"/>
  <c r="P66" i="12"/>
  <c r="Q66" i="12"/>
  <c r="K67" i="12"/>
  <c r="N67" i="12"/>
  <c r="O67" i="12"/>
  <c r="P67" i="12"/>
  <c r="Q67" i="12"/>
  <c r="K172" i="12"/>
  <c r="N172" i="12"/>
  <c r="O172" i="12"/>
  <c r="P172" i="12"/>
  <c r="Q172" i="12"/>
  <c r="K173" i="12"/>
  <c r="N173" i="12"/>
  <c r="O173" i="12"/>
  <c r="P173" i="12"/>
  <c r="Q173" i="12"/>
  <c r="K174" i="12"/>
  <c r="N174" i="12"/>
  <c r="O174" i="12"/>
  <c r="P174" i="12"/>
  <c r="Q174" i="12"/>
  <c r="K175" i="12"/>
  <c r="N175" i="12"/>
  <c r="O175" i="12"/>
  <c r="P175" i="12"/>
  <c r="Q175" i="12"/>
  <c r="K176" i="12"/>
  <c r="N176" i="12"/>
  <c r="O176" i="12"/>
  <c r="P176" i="12"/>
  <c r="Q176" i="12"/>
  <c r="K177" i="12"/>
  <c r="N177" i="12"/>
  <c r="O177" i="12"/>
  <c r="P177" i="12"/>
  <c r="Q177" i="12"/>
  <c r="K178" i="12"/>
  <c r="N178" i="12"/>
  <c r="O178" i="12"/>
  <c r="P178" i="12"/>
  <c r="Q178" i="12"/>
  <c r="K179" i="12"/>
  <c r="N179" i="12"/>
  <c r="O179" i="12"/>
  <c r="P179" i="12"/>
  <c r="Q179" i="12"/>
  <c r="K68" i="12"/>
  <c r="N68" i="12"/>
  <c r="O68" i="12"/>
  <c r="P68" i="12"/>
  <c r="Q68" i="12"/>
  <c r="K69" i="12"/>
  <c r="N69" i="12"/>
  <c r="O69" i="12"/>
  <c r="P69" i="12"/>
  <c r="Q69" i="12"/>
  <c r="K70" i="12"/>
  <c r="N70" i="12"/>
  <c r="O70" i="12"/>
  <c r="P70" i="12"/>
  <c r="Q70" i="12"/>
  <c r="K71" i="12"/>
  <c r="N71" i="12"/>
  <c r="O71" i="12"/>
  <c r="P71" i="12"/>
  <c r="Q71" i="12"/>
  <c r="K72" i="12"/>
  <c r="N72" i="12"/>
  <c r="O72" i="12"/>
  <c r="P72" i="12"/>
  <c r="Q72" i="12"/>
  <c r="K73" i="12"/>
  <c r="N73" i="12"/>
  <c r="O73" i="12"/>
  <c r="P73" i="12"/>
  <c r="Q73" i="12"/>
  <c r="K74" i="12"/>
  <c r="N74" i="12"/>
  <c r="O74" i="12"/>
  <c r="P74" i="12"/>
  <c r="Q74" i="12"/>
  <c r="K75" i="12"/>
  <c r="N75" i="12"/>
  <c r="O75" i="12"/>
  <c r="P75" i="12"/>
  <c r="Q75" i="12"/>
  <c r="K76" i="12"/>
  <c r="N76" i="12"/>
  <c r="O76" i="12"/>
  <c r="P76" i="12"/>
  <c r="Q76" i="12"/>
  <c r="K16" i="12"/>
  <c r="N16" i="12"/>
  <c r="O16" i="12"/>
  <c r="P16" i="12"/>
  <c r="Q16" i="12"/>
  <c r="K2" i="12"/>
  <c r="N2" i="12"/>
  <c r="O2" i="12"/>
  <c r="P2" i="12"/>
  <c r="Q2" i="12"/>
  <c r="K17" i="12"/>
  <c r="N17" i="12"/>
  <c r="O17" i="12"/>
  <c r="P17" i="12"/>
  <c r="Q17" i="12"/>
  <c r="K18" i="12"/>
  <c r="N18" i="12"/>
  <c r="O18" i="12"/>
  <c r="P18" i="12"/>
  <c r="Q18" i="12"/>
  <c r="K19" i="12"/>
  <c r="N19" i="12"/>
  <c r="O19" i="12"/>
  <c r="P19" i="12"/>
  <c r="Q19" i="12"/>
  <c r="K20" i="12"/>
  <c r="N20" i="12"/>
  <c r="O20" i="12"/>
  <c r="P20" i="12"/>
  <c r="Q20" i="12"/>
  <c r="K21" i="12"/>
  <c r="N21" i="12"/>
  <c r="O21" i="12"/>
  <c r="P21" i="12"/>
  <c r="Q21" i="12"/>
  <c r="K22" i="12"/>
  <c r="N22" i="12"/>
  <c r="O22" i="12"/>
  <c r="P22" i="12"/>
  <c r="Q22" i="12"/>
  <c r="K23" i="12"/>
  <c r="N23" i="12"/>
  <c r="O23" i="12"/>
  <c r="P23" i="12"/>
  <c r="Q23" i="12"/>
  <c r="K24" i="12"/>
  <c r="N24" i="12"/>
  <c r="O24" i="12"/>
  <c r="P24" i="12"/>
  <c r="Q24" i="12"/>
  <c r="K25" i="12"/>
  <c r="N25" i="12"/>
  <c r="O25" i="12"/>
  <c r="P25" i="12"/>
  <c r="Q25" i="12"/>
  <c r="K26" i="12"/>
  <c r="N26" i="12"/>
  <c r="O26" i="12"/>
  <c r="P26" i="12"/>
  <c r="Q26" i="12"/>
  <c r="K27" i="12"/>
  <c r="N27" i="12"/>
  <c r="O27" i="12"/>
  <c r="P27" i="12"/>
  <c r="Q27" i="12"/>
  <c r="K28" i="12"/>
  <c r="N28" i="12"/>
  <c r="O28" i="12"/>
  <c r="P28" i="12"/>
  <c r="Q28" i="12"/>
  <c r="K29" i="12"/>
  <c r="N29" i="12"/>
  <c r="O29" i="12"/>
  <c r="P29" i="12"/>
  <c r="Q29" i="12"/>
  <c r="K30" i="12"/>
  <c r="N30" i="12"/>
  <c r="O30" i="12"/>
  <c r="P30" i="12"/>
  <c r="Q30" i="12"/>
  <c r="K31" i="12"/>
  <c r="N31" i="12"/>
  <c r="O31" i="12"/>
  <c r="P31" i="12"/>
  <c r="Q31" i="12"/>
  <c r="K32" i="12"/>
  <c r="N32" i="12"/>
  <c r="O32" i="12"/>
  <c r="P32" i="12"/>
  <c r="Q32" i="12"/>
  <c r="K33" i="12"/>
  <c r="N33" i="12"/>
  <c r="O33" i="12"/>
  <c r="P33" i="12"/>
  <c r="Q33" i="12"/>
  <c r="K34" i="12"/>
  <c r="N34" i="12"/>
  <c r="O34" i="12"/>
  <c r="P34" i="12"/>
  <c r="Q34" i="12"/>
  <c r="K35" i="12"/>
  <c r="N35" i="12"/>
  <c r="O35" i="12"/>
  <c r="P35" i="12"/>
  <c r="Q35" i="12"/>
  <c r="K3" i="12"/>
  <c r="N3" i="12"/>
  <c r="O3" i="12"/>
  <c r="P3" i="12"/>
  <c r="Q3" i="12"/>
  <c r="K4" i="12"/>
  <c r="N4" i="12"/>
  <c r="O4" i="12"/>
  <c r="P4" i="12"/>
  <c r="Q4" i="12"/>
  <c r="K36" i="12"/>
  <c r="N36" i="12"/>
  <c r="O36" i="12"/>
  <c r="P36" i="12"/>
  <c r="Q36" i="12"/>
  <c r="K37" i="12"/>
  <c r="N37" i="12"/>
  <c r="O37" i="12"/>
  <c r="P37" i="12"/>
  <c r="Q37" i="12"/>
  <c r="K38" i="12"/>
  <c r="N38" i="12"/>
  <c r="O38" i="12"/>
  <c r="P38" i="12"/>
  <c r="Q38" i="12"/>
  <c r="K39" i="12"/>
  <c r="N39" i="12"/>
  <c r="O39" i="12"/>
  <c r="P39" i="12"/>
  <c r="Q39" i="12"/>
  <c r="K40" i="12"/>
  <c r="N40" i="12"/>
  <c r="O40" i="12"/>
  <c r="P40" i="12"/>
  <c r="Q40" i="12"/>
  <c r="K41" i="12"/>
  <c r="N41" i="12"/>
  <c r="O41" i="12"/>
  <c r="P41" i="12"/>
  <c r="Q41" i="12"/>
  <c r="K42" i="12"/>
  <c r="N42" i="12"/>
  <c r="O42" i="12"/>
  <c r="P42" i="12"/>
  <c r="Q42" i="12"/>
  <c r="K129" i="12"/>
  <c r="N129" i="12"/>
  <c r="O129" i="12"/>
  <c r="P129" i="12"/>
  <c r="Q129" i="12"/>
  <c r="K130" i="12"/>
  <c r="N130" i="12"/>
  <c r="O130" i="12"/>
  <c r="P130" i="12"/>
  <c r="Q130" i="12"/>
  <c r="K43" i="12"/>
  <c r="N43" i="12"/>
  <c r="O43" i="12"/>
  <c r="P43" i="12"/>
  <c r="Q43" i="12"/>
  <c r="K44" i="12"/>
  <c r="N44" i="12"/>
  <c r="O44" i="12"/>
  <c r="P44" i="12"/>
  <c r="Q44" i="12"/>
  <c r="K131" i="12"/>
  <c r="N131" i="12"/>
  <c r="O131" i="12"/>
  <c r="P131" i="12"/>
  <c r="Q131" i="12"/>
  <c r="K132" i="12"/>
  <c r="N132" i="12"/>
  <c r="O132" i="12"/>
  <c r="P132" i="12"/>
  <c r="Q132" i="12"/>
  <c r="K137" i="12"/>
  <c r="N137" i="12"/>
  <c r="O137" i="12"/>
  <c r="P137" i="12"/>
  <c r="Q137" i="12"/>
  <c r="K138" i="12"/>
  <c r="N138" i="12"/>
  <c r="O138" i="12"/>
  <c r="P138" i="12"/>
  <c r="Q138" i="12"/>
  <c r="K45" i="12"/>
  <c r="N45" i="12"/>
  <c r="O45" i="12"/>
  <c r="P45" i="12"/>
  <c r="Q45" i="12"/>
  <c r="K46" i="12"/>
  <c r="N46" i="12"/>
  <c r="O46" i="12"/>
  <c r="P46" i="12"/>
  <c r="Q46" i="12"/>
  <c r="K5" i="12"/>
  <c r="N5" i="12"/>
  <c r="O5" i="12"/>
  <c r="P5" i="12"/>
  <c r="Q5" i="12"/>
  <c r="K139" i="12"/>
  <c r="N139" i="12"/>
  <c r="O139" i="12"/>
  <c r="P139" i="12"/>
  <c r="Q139" i="12"/>
  <c r="K47" i="12"/>
  <c r="N47" i="12"/>
  <c r="O47" i="12"/>
  <c r="P47" i="12"/>
  <c r="Q47" i="12"/>
  <c r="K140" i="12"/>
  <c r="N140" i="12"/>
  <c r="O140" i="12"/>
  <c r="P140" i="12"/>
  <c r="Q140" i="12"/>
  <c r="K48" i="12"/>
  <c r="N48" i="12"/>
  <c r="O48" i="12"/>
  <c r="P48" i="12"/>
  <c r="Q48" i="12"/>
  <c r="K49" i="12"/>
  <c r="N49" i="12"/>
  <c r="O49" i="12"/>
  <c r="P49" i="12"/>
  <c r="Q49" i="12"/>
  <c r="K50" i="12"/>
  <c r="N50" i="12"/>
  <c r="O50" i="12"/>
  <c r="P50" i="12"/>
  <c r="Q50" i="12"/>
  <c r="K51" i="12"/>
  <c r="N51" i="12"/>
  <c r="O51" i="12"/>
  <c r="P51" i="12"/>
  <c r="Q51" i="12"/>
  <c r="E16" i="12"/>
  <c r="G16" i="12"/>
  <c r="E2" i="12"/>
  <c r="G2" i="12"/>
  <c r="E17" i="12"/>
  <c r="G17" i="12"/>
  <c r="E18" i="12"/>
  <c r="G18" i="12"/>
  <c r="E19" i="12"/>
  <c r="G19" i="12"/>
  <c r="E20" i="12"/>
  <c r="G20" i="12"/>
  <c r="E21" i="12"/>
  <c r="G21" i="12"/>
  <c r="E22" i="12"/>
  <c r="G22" i="12"/>
  <c r="E23" i="12"/>
  <c r="G23" i="12"/>
  <c r="E24" i="12"/>
  <c r="G24" i="12"/>
  <c r="E25" i="12"/>
  <c r="G25" i="12"/>
  <c r="E26" i="12"/>
  <c r="G26" i="12"/>
  <c r="E27" i="12"/>
  <c r="G27" i="12"/>
  <c r="E28" i="12"/>
  <c r="G28" i="12"/>
  <c r="E29" i="12"/>
  <c r="G29" i="12"/>
  <c r="E30" i="12"/>
  <c r="G30" i="12"/>
  <c r="E31" i="12"/>
  <c r="G31" i="12"/>
  <c r="E32" i="12"/>
  <c r="G32" i="12"/>
  <c r="E33" i="12"/>
  <c r="G33" i="12"/>
  <c r="E34" i="12"/>
  <c r="G34" i="12"/>
  <c r="E35" i="12"/>
  <c r="G35" i="12"/>
  <c r="E3" i="12"/>
  <c r="G3" i="12"/>
  <c r="E4" i="12"/>
  <c r="G4" i="12"/>
  <c r="E36" i="12"/>
  <c r="G36" i="12"/>
  <c r="E37" i="12"/>
  <c r="G37" i="12"/>
  <c r="E38" i="12"/>
  <c r="G38" i="12"/>
  <c r="E39" i="12"/>
  <c r="G39" i="12"/>
  <c r="E40" i="12"/>
  <c r="G40" i="12"/>
  <c r="E41" i="12"/>
  <c r="G41" i="12"/>
  <c r="E42" i="12"/>
  <c r="G42" i="12"/>
  <c r="E129" i="12"/>
  <c r="G129" i="12"/>
  <c r="E130" i="12"/>
  <c r="G130" i="12"/>
  <c r="E43" i="12"/>
  <c r="G43" i="12"/>
  <c r="E44" i="12"/>
  <c r="G44" i="12"/>
  <c r="E131" i="12"/>
  <c r="G131" i="12"/>
  <c r="E132" i="12"/>
  <c r="G132" i="12"/>
  <c r="E137" i="12"/>
  <c r="G137" i="12"/>
  <c r="E138" i="12"/>
  <c r="G138" i="12"/>
  <c r="E45" i="12"/>
  <c r="G45" i="12"/>
  <c r="E46" i="12"/>
  <c r="G46" i="12"/>
  <c r="E5" i="12"/>
  <c r="G5" i="12"/>
  <c r="E139" i="12"/>
  <c r="G139" i="12"/>
  <c r="E47" i="12"/>
  <c r="G47" i="12"/>
  <c r="E140" i="12"/>
  <c r="G140" i="12"/>
  <c r="E48" i="12"/>
  <c r="G48" i="12"/>
  <c r="E49" i="12"/>
  <c r="G49" i="12"/>
  <c r="E50" i="12"/>
  <c r="G50" i="12"/>
  <c r="E51" i="12"/>
  <c r="G51" i="12"/>
  <c r="E52" i="12"/>
  <c r="G52" i="12"/>
  <c r="E53" i="12"/>
  <c r="G53" i="12"/>
  <c r="E54" i="12"/>
  <c r="G54" i="12"/>
  <c r="E133" i="12"/>
  <c r="G133" i="12"/>
  <c r="E55" i="12"/>
  <c r="G55" i="12"/>
  <c r="E56" i="12"/>
  <c r="G56" i="12"/>
  <c r="E57" i="12"/>
  <c r="G57" i="12"/>
  <c r="E141" i="12"/>
  <c r="G141" i="12"/>
  <c r="E58" i="12"/>
  <c r="G58" i="12"/>
  <c r="E6" i="12"/>
  <c r="G6" i="12"/>
  <c r="E142" i="12"/>
  <c r="G142" i="12"/>
  <c r="E143" i="12"/>
  <c r="G143" i="12"/>
  <c r="E144" i="12"/>
  <c r="G144" i="12"/>
  <c r="E145" i="12"/>
  <c r="G145" i="12"/>
  <c r="E59" i="12"/>
  <c r="E134" i="12"/>
  <c r="G134" i="12"/>
  <c r="E60" i="12"/>
  <c r="G60" i="12"/>
  <c r="E61" i="12"/>
  <c r="G61" i="12"/>
  <c r="E135" i="12"/>
  <c r="G135" i="12"/>
  <c r="E62" i="12"/>
  <c r="G62" i="12"/>
  <c r="E136" i="12"/>
  <c r="G136" i="12"/>
  <c r="E63" i="12"/>
  <c r="G63" i="12"/>
  <c r="E64" i="12"/>
  <c r="G64" i="12"/>
  <c r="E65" i="12"/>
  <c r="G65" i="12"/>
  <c r="E66" i="12"/>
  <c r="G66" i="12"/>
  <c r="E67" i="12"/>
  <c r="G67" i="12"/>
  <c r="E172" i="12"/>
  <c r="G172" i="12"/>
  <c r="E173" i="12"/>
  <c r="G173" i="12"/>
  <c r="E174" i="12"/>
  <c r="G174" i="12"/>
  <c r="E175" i="12"/>
  <c r="G175" i="12"/>
  <c r="E176" i="12"/>
  <c r="G176" i="12"/>
  <c r="E177" i="12"/>
  <c r="G177" i="12"/>
  <c r="E178" i="12"/>
  <c r="G178" i="12"/>
  <c r="E179" i="12"/>
  <c r="G179" i="12"/>
  <c r="E68" i="12"/>
  <c r="G68" i="12"/>
  <c r="E69" i="12"/>
  <c r="G69" i="12"/>
  <c r="E70" i="12"/>
  <c r="G70" i="12"/>
  <c r="E71" i="12"/>
  <c r="G71" i="12"/>
  <c r="E72" i="12"/>
  <c r="G72" i="12"/>
  <c r="E73" i="12"/>
  <c r="G73" i="12"/>
  <c r="E74" i="12"/>
  <c r="G74" i="12"/>
  <c r="E75" i="12"/>
  <c r="G75" i="12"/>
  <c r="E76" i="12"/>
  <c r="G76" i="12"/>
  <c r="D16" i="12"/>
  <c r="D17" i="12"/>
  <c r="D18" i="12"/>
  <c r="D19" i="12"/>
  <c r="D20" i="12"/>
  <c r="D21" i="12"/>
  <c r="D22" i="12"/>
  <c r="D23" i="12"/>
  <c r="D24" i="12"/>
  <c r="D25" i="12"/>
  <c r="D26" i="12"/>
  <c r="D27" i="12"/>
  <c r="D28" i="12"/>
  <c r="D29" i="12"/>
  <c r="D30" i="12"/>
  <c r="D31" i="12"/>
  <c r="D32" i="12"/>
  <c r="D33" i="12"/>
  <c r="D34" i="12"/>
  <c r="D35" i="12"/>
  <c r="D3" i="12"/>
  <c r="D4" i="12"/>
  <c r="D36" i="12"/>
  <c r="D37" i="12"/>
  <c r="D38" i="12"/>
  <c r="D39" i="12"/>
  <c r="D40" i="12"/>
  <c r="D41" i="12"/>
  <c r="D42" i="12"/>
  <c r="D129" i="12"/>
  <c r="D130" i="12"/>
  <c r="D43" i="12"/>
  <c r="D44" i="12"/>
  <c r="D131" i="12"/>
  <c r="D132" i="12"/>
  <c r="D137" i="12"/>
  <c r="D138" i="12"/>
  <c r="D45" i="12"/>
  <c r="D46" i="12"/>
  <c r="D5" i="12"/>
  <c r="D139" i="12"/>
  <c r="D47" i="12"/>
  <c r="D140" i="12"/>
  <c r="D48" i="12"/>
  <c r="D49" i="12"/>
  <c r="D50" i="12"/>
  <c r="D51" i="12"/>
  <c r="D52" i="12"/>
  <c r="D53" i="12"/>
  <c r="D54" i="12"/>
  <c r="D133" i="12"/>
  <c r="D55" i="12"/>
  <c r="D56" i="12"/>
  <c r="D57" i="12"/>
  <c r="D141" i="12"/>
  <c r="D58" i="12"/>
  <c r="D6" i="12"/>
  <c r="D142" i="12"/>
  <c r="D143" i="12"/>
  <c r="D144" i="12"/>
  <c r="D145" i="12"/>
  <c r="D59" i="12"/>
  <c r="D134" i="12"/>
  <c r="D60" i="12"/>
  <c r="D61" i="12"/>
  <c r="D135" i="12"/>
  <c r="D62" i="12"/>
  <c r="D136" i="12"/>
  <c r="D63" i="12"/>
  <c r="D64" i="12"/>
  <c r="D65" i="12"/>
  <c r="D66" i="12"/>
  <c r="D67" i="12"/>
  <c r="D172" i="12"/>
  <c r="D173" i="12"/>
  <c r="D174" i="12"/>
  <c r="D175" i="12"/>
  <c r="D176" i="12"/>
  <c r="D177" i="12"/>
  <c r="D178" i="12"/>
  <c r="D179" i="12"/>
  <c r="D68" i="12"/>
  <c r="D69" i="12"/>
  <c r="D70" i="12"/>
  <c r="D71" i="12"/>
  <c r="D72" i="12"/>
  <c r="D73" i="12"/>
  <c r="D74" i="12"/>
  <c r="D75" i="12"/>
  <c r="D76" i="12"/>
  <c r="D15" i="12"/>
  <c r="E15" i="12"/>
  <c r="G15" i="12"/>
  <c r="N15" i="12"/>
  <c r="Q15" i="12"/>
  <c r="P15" i="12"/>
  <c r="O15" i="12"/>
  <c r="K15" i="12"/>
  <c r="A15" i="12" l="1"/>
  <c r="A16" i="12" l="1"/>
  <c r="A2" i="12" l="1"/>
  <c r="A17" i="12" l="1"/>
  <c r="A18" i="12" l="1"/>
  <c r="A19" i="12" l="1"/>
  <c r="A20" i="12" l="1"/>
  <c r="A21" i="12" l="1"/>
  <c r="A22" i="12" l="1"/>
  <c r="A23" i="12" l="1"/>
  <c r="A24" i="12" l="1"/>
  <c r="A25" i="12" l="1"/>
  <c r="A26" i="12" l="1"/>
  <c r="A27" i="12" l="1"/>
  <c r="A28" i="12" l="1"/>
  <c r="A29" i="12" l="1"/>
  <c r="A30" i="12" l="1"/>
  <c r="A31" i="12" l="1"/>
  <c r="A32" i="12" l="1"/>
  <c r="A33" i="12" l="1"/>
  <c r="A34" i="12" l="1"/>
  <c r="A35" i="12" l="1"/>
  <c r="A3" i="12" l="1"/>
  <c r="A4" i="12" l="1"/>
  <c r="A36" i="12" l="1"/>
  <c r="A37" i="12" l="1"/>
  <c r="A38" i="12" l="1"/>
  <c r="A39" i="12" l="1"/>
  <c r="A40" i="12" l="1"/>
  <c r="A41" i="12" l="1"/>
  <c r="A42" i="12" l="1"/>
  <c r="A129" i="12" l="1"/>
  <c r="A130" i="12" l="1"/>
  <c r="A43" i="12" l="1"/>
  <c r="A44" i="12" l="1"/>
  <c r="A131" i="12" l="1"/>
  <c r="A132" i="12" l="1"/>
  <c r="A137" i="12" l="1"/>
  <c r="A138" i="12" l="1"/>
  <c r="A45" i="12" l="1"/>
  <c r="A46" i="12" l="1"/>
  <c r="A5" i="12" l="1"/>
  <c r="A139" i="12" l="1"/>
  <c r="A47" i="12" l="1"/>
  <c r="A140" i="12" l="1"/>
  <c r="A48" i="12" l="1"/>
  <c r="A49" i="12" l="1"/>
  <c r="A50" i="12" l="1"/>
  <c r="A51" i="12" l="1"/>
  <c r="A52" i="12" l="1"/>
  <c r="A53" i="12" l="1"/>
  <c r="A54" i="12" l="1"/>
  <c r="A133" i="12" l="1"/>
  <c r="A55" i="12" l="1"/>
  <c r="A56" i="12" l="1"/>
  <c r="A57" i="12" l="1"/>
  <c r="A141" i="12" l="1"/>
  <c r="A58" i="12" l="1"/>
  <c r="A6" i="12" l="1"/>
  <c r="A142" i="12" l="1"/>
  <c r="A143" i="12" l="1"/>
  <c r="A144" i="12" l="1"/>
  <c r="A145" i="12" l="1"/>
  <c r="A59" i="12" l="1"/>
  <c r="A134" i="12" l="1"/>
  <c r="A60" i="12" l="1"/>
  <c r="A61" i="12" l="1"/>
  <c r="A135" i="12" l="1"/>
  <c r="A62" i="12" l="1"/>
  <c r="A136" i="12" l="1"/>
  <c r="A63" i="12" l="1"/>
  <c r="A64" i="12" l="1"/>
  <c r="A65" i="12" l="1"/>
  <c r="A66" i="12" l="1"/>
  <c r="A67" i="12" l="1"/>
  <c r="A172" i="12" l="1"/>
  <c r="A173" i="12" l="1"/>
  <c r="A174" i="12" l="1"/>
  <c r="A175" i="12" l="1"/>
  <c r="A176" i="12" l="1"/>
  <c r="A177" i="12" l="1"/>
  <c r="A178" i="12" l="1"/>
  <c r="A179" i="12" l="1"/>
  <c r="A68" i="12" l="1"/>
  <c r="A69" i="12" l="1"/>
  <c r="A70" i="12" l="1"/>
  <c r="A71" i="12" l="1"/>
  <c r="A72" i="12" l="1"/>
  <c r="A73" i="12" l="1"/>
  <c r="A74" i="12" l="1"/>
  <c r="A75" i="12" l="1"/>
  <c r="A76"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26" authorId="0" shapeId="0" xr:uid="{CE3B5FF8-DE84-4A50-A355-C059F8118415}">
      <text>
        <r>
          <rPr>
            <sz val="11"/>
            <color rgb="FF000000"/>
            <rFont val="Calibri"/>
            <family val="2"/>
          </rPr>
          <t xml:space="preserve">======
</t>
        </r>
        <r>
          <rPr>
            <sz val="11"/>
            <color rgb="FF000000"/>
            <rFont val="Calibri"/>
            <family val="2"/>
          </rPr>
          <t xml:space="preserve">ID#AAAAsnlePD8
</t>
        </r>
        <r>
          <rPr>
            <sz val="11"/>
            <color rgb="FF000000"/>
            <rFont val="Calibri"/>
            <family val="2"/>
          </rPr>
          <t xml:space="preserve">Marek Swierczynski    (2023-03-09 09:20:15)
</t>
        </r>
        <r>
          <rPr>
            <sz val="11"/>
            <color rgb="FF000000"/>
            <rFont val="Calibri"/>
            <family val="2"/>
          </rPr>
          <t>This is link to media article. Is the system functional? Is there direct webpage of the system to be indicated?</t>
        </r>
      </text>
    </comment>
    <comment ref="K218" authorId="0" shapeId="0" xr:uid="{04905C0C-C26A-46A8-BBA6-B3245972C6DD}">
      <text>
        <r>
          <rPr>
            <sz val="11"/>
            <color rgb="FF000000"/>
            <rFont val="Calibri"/>
            <family val="2"/>
          </rPr>
          <t xml:space="preserve">======
</t>
        </r>
        <r>
          <rPr>
            <sz val="11"/>
            <color rgb="FF000000"/>
            <rFont val="Calibri"/>
            <family val="2"/>
          </rPr>
          <t xml:space="preserve">ID#AAAAsnlePEY
</t>
        </r>
        <r>
          <rPr>
            <sz val="11"/>
            <color rgb="FF000000"/>
            <rFont val="Calibri"/>
            <family val="2"/>
          </rPr>
          <t xml:space="preserve">Marek Swierczynski    (2023-03-09 09:26:18)
</t>
        </r>
        <r>
          <rPr>
            <sz val="11"/>
            <color rgb="FF000000"/>
            <rFont val="Calibri"/>
            <family val="2"/>
          </rPr>
          <t>Same as above. Replace it with link to the system.</t>
        </r>
      </text>
    </comment>
    <comment ref="K235" authorId="0" shapeId="0" xr:uid="{1BBC2BAC-9AC6-4A19-AEFD-69DCE0EADD7D}">
      <text>
        <r>
          <rPr>
            <sz val="11"/>
            <color rgb="FF000000"/>
            <rFont val="Calibri"/>
            <family val="2"/>
          </rPr>
          <t xml:space="preserve">======
</t>
        </r>
        <r>
          <rPr>
            <sz val="11"/>
            <color rgb="FF000000"/>
            <rFont val="Calibri"/>
            <family val="2"/>
          </rPr>
          <t xml:space="preserve">ID#AAAAsnlePEQ
</t>
        </r>
        <r>
          <rPr>
            <sz val="11"/>
            <color rgb="FF000000"/>
            <rFont val="Calibri"/>
            <family val="2"/>
          </rPr>
          <t xml:space="preserve">Marek Swierczynski    (2023-03-09 09:24:05)
</t>
        </r>
        <r>
          <rPr>
            <sz val="11"/>
            <color rgb="FF000000"/>
            <rFont val="Calibri"/>
            <family val="2"/>
          </rPr>
          <t>This link leads to a general report and could be replaced with direct reference to the system webpage.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2" authorId="0" shapeId="0" xr:uid="{0399FD0A-6A2E-439F-8B00-093069F0A138}">
      <text>
        <r>
          <rPr>
            <sz val="11"/>
            <color rgb="FF000000"/>
            <rFont val="Calibri"/>
            <family val="2"/>
            <scheme val="minor"/>
          </rPr>
          <t>======
ID#AAAAsnlePEA
Marek Swierczynski    (2023-03-09 09:21:03)
Can it be replaced with direct link such as https://www.zemesgramata.lv/?</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J2" authorId="0" shapeId="0" xr:uid="{ECD108BA-0E3F-4702-9A5C-AEA602D8ECE1}">
      <text>
        <r>
          <rPr>
            <sz val="11"/>
            <color rgb="FF000000"/>
            <rFont val="Calibri"/>
            <family val="2"/>
          </rPr>
          <t xml:space="preserve">======
</t>
        </r>
        <r>
          <rPr>
            <sz val="11"/>
            <color rgb="FF000000"/>
            <rFont val="Calibri"/>
            <family val="2"/>
          </rPr>
          <t xml:space="preserve">ID#AAAAsnlePDU
</t>
        </r>
        <r>
          <rPr>
            <sz val="11"/>
            <color rgb="FF000000"/>
            <rFont val="Calibri"/>
            <family val="2"/>
          </rPr>
          <t xml:space="preserve">Marek Swierczynski    (2023-03-09 08:58:50)
</t>
        </r>
        <r>
          <rPr>
            <sz val="11"/>
            <color rgb="FF000000"/>
            <rFont val="Calibri"/>
            <family val="2"/>
          </rPr>
          <t>Is it still functional? I tried to set in and failed.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3C89C1-6EAD-4473-A9DC-A916EB9FC32B}" keepAlive="1" name="Query - Area" description="Connection to the 'Area' query in the workbook." type="5" refreshedVersion="0" background="1">
    <dbPr connection="Provider=Microsoft.Mashup.OleDb.1;Data Source=$Workbook$;Location=Area;Extended Properties=&quot;&quot;" command="SELECT * FROM [Area]"/>
  </connection>
  <connection id="2" xr16:uid="{B3240C9F-AAC9-4242-B625-61D3144E5A21}" keepAlive="1" name="Query - Country" description="Connection to the 'Country' query in the workbook." type="5" refreshedVersion="0" background="1">
    <dbPr connection="Provider=Microsoft.Mashup.OleDb.1;Data Source=$Workbook$;Location=Country;Extended Properties=&quot;&quot;" command="SELECT * FROM [Country]"/>
  </connection>
  <connection id="3" xr16:uid="{137B7F3B-0E64-4804-80D3-4CF9870E5CD2}" keepAlive="1" name="Query - Coverage" description="Connection to the 'Coverage' query in the workbook." type="5" refreshedVersion="0" background="1">
    <dbPr connection="Provider=Microsoft.Mashup.OleDb.1;Data Source=$Workbook$;Location=Coverage;Extended Properties=&quot;&quot;" command="SELECT * FROM [Coverage]"/>
  </connection>
  <connection id="4" xr16:uid="{0BAD9FA8-A2B9-4BC9-8AEB-F0E54343B6BB}"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5" xr16:uid="{8FD20F10-D54A-4CA0-BA99-A9CC3C1E7A1F}" keepAlive="1" name="Query - DataEN" description="Connection to the 'DataEN' query in the workbook." type="5" refreshedVersion="7" background="1" saveData="1">
    <dbPr connection="Provider=Microsoft.Mashup.OleDb.1;Data Source=$Workbook$;Location=DataEN;Extended Properties=&quot;&quot;" command="SELECT * FROM [DataEN]"/>
  </connection>
  <connection id="6" xr16:uid="{17ABEBEE-915F-43B4-9070-AED7C1BC9106}" keepAlive="1" name="Query - DataFR" description="Connection to the 'DataFR' query in the workbook." type="5" refreshedVersion="0" background="1">
    <dbPr connection="Provider=Microsoft.Mashup.OleDb.1;Data Source=$Workbook$;Location=DataFR;Extended Properties=&quot;&quot;" command="SELECT * FROM [DataFR]"/>
  </connection>
  <connection id="7" xr16:uid="{C2E85029-9EAB-4852-8212-9C99A8EDECED}" keepAlive="1" name="Query - DataFR2" description="Connection to the 'DataFR2' query in the workbook." type="5" refreshedVersion="0" background="1">
    <dbPr connection="Provider=Microsoft.Mashup.OleDb.1;Data Source=$Workbook$;Location=DataFR2;Extended Properties=&quot;&quot;" command="SELECT * FROM [DataFR2]"/>
  </connection>
  <connection id="8" xr16:uid="{EDF3261C-3C8B-435C-A7E7-5EC6FF4366D7}" keepAlive="1" name="Query - Implemented" description="Connection to the 'Implemented' query in the workbook." type="5" refreshedVersion="0" background="1">
    <dbPr connection="Provider=Microsoft.Mashup.OleDb.1;Data Source=$Workbook$;Location=Implemented;Extended Properties=&quot;&quot;" command="SELECT * FROM [Implemented]"/>
  </connection>
  <connection id="9" xr16:uid="{3BCAC616-90F9-4E8A-ACC2-B2CF657E9B33}" keepAlive="1" name="Query - Status" description="Connection to the 'Status' query in the workbook." type="5" refreshedVersion="0" background="1">
    <dbPr connection="Provider=Microsoft.Mashup.OleDb.1;Data Source=$Workbook$;Location=Status;Extended Properties=&quot;&quot;" command="SELECT * FROM [Status]"/>
  </connection>
  <connection id="10" xr16:uid="{099A2F7E-5F2E-4D70-B2BC-68DDE18D3915}" keepAlive="1" name="Query - Target" description="Connection to the 'Target' query in the workbook." type="5" refreshedVersion="0" background="1">
    <dbPr connection="Provider=Microsoft.Mashup.OleDb.1;Data Source=$Workbook$;Location=Target;Extended Properties=&quot;&quot;" command="SELECT * FROM [Target]"/>
  </connection>
</connections>
</file>

<file path=xl/sharedStrings.xml><?xml version="1.0" encoding="utf-8"?>
<sst xmlns="http://schemas.openxmlformats.org/spreadsheetml/2006/main" count="18284" uniqueCount="1716">
  <si>
    <t>NR</t>
  </si>
  <si>
    <t>AI Relevance</t>
  </si>
  <si>
    <t>Target audience</t>
  </si>
  <si>
    <t>Status</t>
  </si>
  <si>
    <t>Coverage</t>
  </si>
  <si>
    <t>International</t>
  </si>
  <si>
    <t>Lawyers</t>
  </si>
  <si>
    <t>National</t>
  </si>
  <si>
    <t>AI</t>
  </si>
  <si>
    <t xml:space="preserve">Document search, review and Large-scale Discovery </t>
  </si>
  <si>
    <t>E-Filing</t>
  </si>
  <si>
    <t>Decision-Support and Decision-Making</t>
  </si>
  <si>
    <t>Automated Online Dispute Resolution</t>
  </si>
  <si>
    <t>Prediction of Litigation Outcomes</t>
  </si>
  <si>
    <t>Implemented since (year)</t>
  </si>
  <si>
    <t>Implemented by</t>
  </si>
  <si>
    <t xml:space="preserve">Entry last update on </t>
  </si>
  <si>
    <t>Entered by</t>
  </si>
  <si>
    <t>Court users (general public)</t>
  </si>
  <si>
    <t>Natural Language Processing</t>
  </si>
  <si>
    <t>CLAUDETTE is a web server for the automatic detection of potentially unfair clauses in Terms of Service documents, developed and maintained for research purposes only.</t>
  </si>
  <si>
    <t>http://claudette.eui.eu/demo/</t>
  </si>
  <si>
    <t>Private provider</t>
  </si>
  <si>
    <t xml:space="preserve">Daniel </t>
  </si>
  <si>
    <t>Triaging, allocation and workflow automation</t>
  </si>
  <si>
    <t xml:space="preserve">Anonymization </t>
  </si>
  <si>
    <t>Information/assistance services</t>
  </si>
  <si>
    <t>These solutions cover technologies used for the resolution of disputes between parties with limited human intervention, which can be achieved through hardware and/or software</t>
  </si>
  <si>
    <t>These solutions learn from large datasets to identify patterns in the data that are consequently used to visualise, simulate or predict new litigation outcomes</t>
  </si>
  <si>
    <t>These solutions facilitate or fully automate decision making processes in the justice systems</t>
  </si>
  <si>
    <t>These solutions provide individuals with information on services available in the justice systems and links individuals to the services and opportunities that are available</t>
  </si>
  <si>
    <t>These solutions cover electronic filing system that allows individuals and businesses to file their legal documents over the internet</t>
  </si>
  <si>
    <t>These solutions are used for removing identifying information such as personal data of court users</t>
  </si>
  <si>
    <t>Public authority</t>
  </si>
  <si>
    <t>Privé</t>
  </si>
  <si>
    <t xml:space="preserve">Publique </t>
  </si>
  <si>
    <t>Usagers des tribunaux (Grand public)</t>
  </si>
  <si>
    <t>Fonctionnel</t>
  </si>
  <si>
    <t>Traitement du langage naturel</t>
  </si>
  <si>
    <t>Prévision des résultats des litiges</t>
  </si>
  <si>
    <t>Triage, attribution et automatisation des flux de travail</t>
  </si>
  <si>
    <t>Résolution automatisée des litiges en ligne</t>
  </si>
  <si>
    <t>Aide à la décision et prise de décision</t>
  </si>
  <si>
    <t xml:space="preserve">Anonymisation </t>
  </si>
  <si>
    <t>Dépôt électronique</t>
  </si>
  <si>
    <t>Services d'information/assistance</t>
  </si>
  <si>
    <t>Recherche documentaire</t>
  </si>
  <si>
    <t>Ces solutions sont capables de reconnaître et d'analyser la parole, le texte écrit et de communiquer en retour.</t>
  </si>
  <si>
    <t>Ces solutions sont utilisées pour mener à bien certaines tâches et activités, sans intervention humaine, comme l'attribution de niveaux de priorité à des tâches ou à des individus afin de déterminer l'ordre le plus efficace pour les traiter.</t>
  </si>
  <si>
    <t>Ces solutions facilitent ou automatisent entièrement les processus de prise de décision dans les systèmes judiciaires.</t>
  </si>
  <si>
    <t>Ces solutions couvrent les systèmes d'archivage électronique qui permettent aux particuliers et aux entreprises de déposer leurs documents juridiques sur l'internet.</t>
  </si>
  <si>
    <t>Ces solutions fournissent aux individus des informations sur les services disponibles dans les systèmes de justice et les mettent en relation avec les services et les opportunités disponibles.</t>
  </si>
  <si>
    <t>Ces solutions apprennent à partir de grands ensembles de données pour créer des modèles qui sont ensuite utilisés pour visualiser, simuler ou prédire de nouveaux résultats de litiges.</t>
  </si>
  <si>
    <t>Ces solutions comprennent des logiciels ou des bases de données en ligne consultabls. Elles regroupent des descriptions de cas, des textes juridiques et d'autres informations à partager avec des experts juridiques pour une analyse plus approfondie.</t>
  </si>
  <si>
    <t>Ces solutions couvrent les technologies utilisées pour la résolution des litiges entre les parties, avec une intervention humaine limitée.</t>
  </si>
  <si>
    <t>Ces solutions sont utilisées pour supprimer les informations permettant d'identifier un individu telles que les données personnelles des utilisateurs des tribunaux.</t>
  </si>
  <si>
    <t>Language</t>
  </si>
  <si>
    <t>EN</t>
  </si>
  <si>
    <t>Functional</t>
  </si>
  <si>
    <t>Matthieu</t>
  </si>
  <si>
    <t>non-AI</t>
  </si>
  <si>
    <t>https://www.gov.pl/web/sprawiedliwosc/algorytm</t>
  </si>
  <si>
    <t>Marek</t>
  </si>
  <si>
    <t xml:space="preserve">Automated allocation and processing of incoming documents </t>
  </si>
  <si>
    <t>Giampiero</t>
  </si>
  <si>
    <t>Speech-to-Text</t>
  </si>
  <si>
    <t>Giulio</t>
  </si>
  <si>
    <t>These solutions create a searchable collection of case descriptions, legal text and other insights to be shared with legal experts for further analysis and large-scale discovery on high volumes of electronic documents</t>
  </si>
  <si>
    <t>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individuals to determine the most effective order in which to deal with them</t>
  </si>
  <si>
    <t>These solutions are capable of recognizing and analysing speech, written text and communicating back. Their main use for courts is in voice/speech recognition and (hearing) transcription of court proceedings</t>
  </si>
  <si>
    <t>Country</t>
  </si>
  <si>
    <t>Pays</t>
  </si>
  <si>
    <t>Etats-Unis</t>
  </si>
  <si>
    <t>Austria</t>
  </si>
  <si>
    <t>Italy</t>
  </si>
  <si>
    <t>Italie</t>
  </si>
  <si>
    <t>France</t>
  </si>
  <si>
    <t>Netherlands</t>
  </si>
  <si>
    <t>Pays-Bas</t>
  </si>
  <si>
    <t>Poland</t>
  </si>
  <si>
    <t>USA</t>
  </si>
  <si>
    <t>Croatia</t>
  </si>
  <si>
    <t>Croatie</t>
  </si>
  <si>
    <t>England and Wales</t>
  </si>
  <si>
    <t>Angleterre et Pays de Galles</t>
  </si>
  <si>
    <t xml:space="preserve">Outside CoE </t>
  </si>
  <si>
    <t xml:space="preserve">Externe CoE </t>
  </si>
  <si>
    <t xml:space="preserve">Interne CoE </t>
  </si>
  <si>
    <t xml:space="preserve">Inside CoE </t>
  </si>
  <si>
    <t>Pologne</t>
  </si>
  <si>
    <t>Avocats</t>
  </si>
  <si>
    <t>ImplementedFR</t>
  </si>
  <si>
    <t>Target audienceFR</t>
  </si>
  <si>
    <t>StatusFR</t>
  </si>
  <si>
    <t>CoverageFR</t>
  </si>
  <si>
    <t>Location</t>
  </si>
  <si>
    <t>LocationFR</t>
  </si>
  <si>
    <t>Title</t>
  </si>
  <si>
    <t>Target audience2</t>
  </si>
  <si>
    <t>Area2</t>
  </si>
  <si>
    <t>Target audience3</t>
  </si>
  <si>
    <t>Target audience4</t>
  </si>
  <si>
    <t>Target audience5</t>
  </si>
  <si>
    <t>Area</t>
  </si>
  <si>
    <t>AreaDescription</t>
  </si>
  <si>
    <t>FRArea</t>
  </si>
  <si>
    <t>FRAreaDescription</t>
  </si>
  <si>
    <t>Area1</t>
  </si>
  <si>
    <t>Year</t>
  </si>
  <si>
    <t>Description</t>
  </si>
  <si>
    <t>Link</t>
  </si>
  <si>
    <t>Target</t>
  </si>
  <si>
    <t>7</t>
  </si>
  <si>
    <t>9</t>
  </si>
  <si>
    <t>11</t>
  </si>
  <si>
    <t>12</t>
  </si>
  <si>
    <t>FR</t>
  </si>
  <si>
    <t>DescriptionFR</t>
  </si>
  <si>
    <t>Item</t>
  </si>
  <si>
    <t>text</t>
  </si>
  <si>
    <t>ID</t>
  </si>
  <si>
    <t>Albania</t>
  </si>
  <si>
    <t>Albanie</t>
  </si>
  <si>
    <t>Andorra</t>
  </si>
  <si>
    <t>Andorre</t>
  </si>
  <si>
    <t>Armenia</t>
  </si>
  <si>
    <t>Arménie</t>
  </si>
  <si>
    <t>Autriche</t>
  </si>
  <si>
    <t>Azerbaijan</t>
  </si>
  <si>
    <t>Azerbaïjan</t>
  </si>
  <si>
    <t>Belgium</t>
  </si>
  <si>
    <t>Belgique</t>
  </si>
  <si>
    <t>Bosnia and Herzegovina</t>
  </si>
  <si>
    <t>Bosnie-Herzégovine</t>
  </si>
  <si>
    <t>Bulgaria</t>
  </si>
  <si>
    <t>Bulgarie</t>
  </si>
  <si>
    <t>Cyprus</t>
  </si>
  <si>
    <t>Chypre</t>
  </si>
  <si>
    <t>Czech Republic</t>
  </si>
  <si>
    <t>République tchèque</t>
  </si>
  <si>
    <t>Denmark</t>
  </si>
  <si>
    <t>Danemark</t>
  </si>
  <si>
    <t>Estonia</t>
  </si>
  <si>
    <t>Estonie</t>
  </si>
  <si>
    <t>Finland</t>
  </si>
  <si>
    <t>Finlande</t>
  </si>
  <si>
    <t>Georgia</t>
  </si>
  <si>
    <t>Géorgie</t>
  </si>
  <si>
    <t>Germany</t>
  </si>
  <si>
    <t>Allemagne</t>
  </si>
  <si>
    <t>Greece</t>
  </si>
  <si>
    <t>Grèce</t>
  </si>
  <si>
    <t>Hungary</t>
  </si>
  <si>
    <t>Hongrie</t>
  </si>
  <si>
    <t>Iceland</t>
  </si>
  <si>
    <t>Islande</t>
  </si>
  <si>
    <t>Ireland</t>
  </si>
  <si>
    <t>Irlande</t>
  </si>
  <si>
    <t>Latvia</t>
  </si>
  <si>
    <t>Lettonie</t>
  </si>
  <si>
    <t>Lithuania</t>
  </si>
  <si>
    <t>Lituanie</t>
  </si>
  <si>
    <t>Luxembourg</t>
  </si>
  <si>
    <t>Malta</t>
  </si>
  <si>
    <t>Malte</t>
  </si>
  <si>
    <t>Republic of Moldova</t>
  </si>
  <si>
    <t>République de Moldova</t>
  </si>
  <si>
    <t>Monaco</t>
  </si>
  <si>
    <t>Montenegro</t>
  </si>
  <si>
    <t>Monténégro</t>
  </si>
  <si>
    <t>North Macedonia</t>
  </si>
  <si>
    <t>Macédoine du Nord</t>
  </si>
  <si>
    <t>Norway</t>
  </si>
  <si>
    <t>Norvège</t>
  </si>
  <si>
    <t>Portugal</t>
  </si>
  <si>
    <t>Romania</t>
  </si>
  <si>
    <t>Roumanie</t>
  </si>
  <si>
    <t>Serbia</t>
  </si>
  <si>
    <t>Serbie</t>
  </si>
  <si>
    <t>Slovak Republic</t>
  </si>
  <si>
    <t>République slovaque</t>
  </si>
  <si>
    <t>Slovenia</t>
  </si>
  <si>
    <t>Slovénie</t>
  </si>
  <si>
    <t>Spain</t>
  </si>
  <si>
    <t>Espagne</t>
  </si>
  <si>
    <t>Sweden</t>
  </si>
  <si>
    <t>Suède</t>
  </si>
  <si>
    <t>Switzerland</t>
  </si>
  <si>
    <t>Suisse</t>
  </si>
  <si>
    <t>Ukraine</t>
  </si>
  <si>
    <t>Türkiye</t>
  </si>
  <si>
    <t>United Kingdom</t>
  </si>
  <si>
    <t>Royaume Uni</t>
  </si>
  <si>
    <t>China</t>
  </si>
  <si>
    <t>Japan</t>
  </si>
  <si>
    <t>Canada</t>
  </si>
  <si>
    <t>Chine</t>
  </si>
  <si>
    <t>Japon</t>
  </si>
  <si>
    <t>Israel</t>
  </si>
  <si>
    <t>Israël</t>
  </si>
  <si>
    <t>Kazakhstan</t>
  </si>
  <si>
    <t>Morocco</t>
  </si>
  <si>
    <t>Maroc</t>
  </si>
  <si>
    <t>Regional</t>
  </si>
  <si>
    <t>Régional</t>
  </si>
  <si>
    <t>Mixed</t>
  </si>
  <si>
    <t>Mixte</t>
  </si>
  <si>
    <t xml:space="preserve">Anca </t>
  </si>
  <si>
    <t>https://reyestr.court.gov.ua</t>
  </si>
  <si>
    <t xml:space="preserve">AI in the entrance area </t>
  </si>
  <si>
    <t>AI in file processing</t>
  </si>
  <si>
    <t xml:space="preserve">AI to anonymize decisions </t>
  </si>
  <si>
    <t>AI in the Analysis of Investigation Data</t>
  </si>
  <si>
    <t xml:space="preserve">Information and navigation support for legal seekers. Application areas: natural language understanding as part of the Digital Service Platform Justice Online; definition and navigation support; support for registration. </t>
  </si>
  <si>
    <t>https://justizonline.gv.at/jop/web/home</t>
  </si>
  <si>
    <t xml:space="preserve">E-case / Document management system </t>
  </si>
  <si>
    <t xml:space="preserve">Information System for Payment Order Procedure (MKMKIS) allows to largely automatize the payment order procedure. </t>
  </si>
  <si>
    <t>Voice Recording and Transcription Software</t>
  </si>
  <si>
    <t xml:space="preserve">https://pst.giustizia.it/PST/it/homepage.page# </t>
  </si>
  <si>
    <t>Automated Creation of Decision Templates</t>
  </si>
  <si>
    <t>Anonymization of Civil Decisions</t>
  </si>
  <si>
    <t>Automated Assignment of Criminal Cases</t>
  </si>
  <si>
    <t xml:space="preserve">https://giustiziapredittiva.unibs.it </t>
  </si>
  <si>
    <t>Tiesu informatīvā sistēma / Court Information System</t>
  </si>
  <si>
    <t>Elektroniskās maksātnespējas uzskaites sistēma (Electronic Insolvency Accounting System) /  Tiesu informatīvā sistēma (Court Information System)</t>
  </si>
  <si>
    <t>Bylų skirsymo modulis / Case Allocation Module</t>
  </si>
  <si>
    <t>Dataanalys för verksamhetsutveckling / Process mining</t>
  </si>
  <si>
    <t xml:space="preserve">ANOM / Anonymization </t>
  </si>
  <si>
    <t>23/02/2023</t>
  </si>
  <si>
    <t xml:space="preserve">Interlex </t>
  </si>
  <si>
    <t xml:space="preserve">Analysis, classification and extraction of metadata from any form of data, as well as recognition of correlations and communications sequences. It allows judges to find articles of all kinds on relevant legal issues. The advantage: capacity to recognize synonyms and to develop a certain 'understanding' of the context in the course of the learning phase based on the training data. </t>
  </si>
  <si>
    <t>The anonymization tool automatically detects specified personal and private data in court decisions. It anonymizes this data and ensures the publication of anonymized court decisions. In-house development, rule-based AI.</t>
  </si>
  <si>
    <t>https://sudovi.hr/en/citizens/e-case</t>
  </si>
  <si>
    <t>MKMKIS / Information System for Payment Order Procedure</t>
  </si>
  <si>
    <t>VICTOR</t>
  </si>
  <si>
    <t xml:space="preserve">JURI says </t>
  </si>
  <si>
    <t>https://jurisays.com</t>
  </si>
  <si>
    <t>EIS / e-Enforcement Information System</t>
  </si>
  <si>
    <t>https://rm.coe.int/recommendations-on-ict-solutions-in-enforcement-eng/1680a31561</t>
  </si>
  <si>
    <t>https://interlex-portal.eu/en/index.html</t>
  </si>
  <si>
    <t>24/02/2023</t>
  </si>
  <si>
    <t>ADELE / Analytics for DEcision of LEgal Cases</t>
  </si>
  <si>
    <t xml:space="preserve">Civil Resolution Tribunal / CRT </t>
  </si>
  <si>
    <t>https://civilresolutionbc.ca/</t>
  </si>
  <si>
    <t>https://www.equivant.com/wp-content/uploads/Practitioners-Guide-to-COMPAS-Core-040419.pdf</t>
  </si>
  <si>
    <t>COMPAS / Correctional Offender Management Profiling for Alternative Sanctions</t>
  </si>
  <si>
    <t>HART /Harm Assessment Risk Tool</t>
  </si>
  <si>
    <t>https://www.durham.police.uk/News/News-Articles/2022/January/AI-can-predict-reoffending-university-study-finds.aspx</t>
  </si>
  <si>
    <t>OASys/ Offender Assessment and Sentence Management</t>
  </si>
  <si>
    <t>https://assets.publishing.service.gov.uk/government/uploads/system/uploads/attachment_data/file/491688/oasys-methodology.pdf</t>
  </si>
  <si>
    <t>RITA (Riski-ja tarvearvio) / Finnish Risk and Needs Assessment Form</t>
  </si>
  <si>
    <t>https://journals.sagepub.com/doi/10.1177/0093854819848793</t>
  </si>
  <si>
    <t>https://www.cep-probation.org/risk-assessment-the-dutch-way-a-scalable-easy-to-use-tool-for-probation-reports/</t>
  </si>
  <si>
    <t xml:space="preserve">OxRec / Oxford Risk of Recidivism Tool </t>
  </si>
  <si>
    <t>https://oxrisk.com/home-2-2/</t>
  </si>
  <si>
    <t xml:space="preserve">https://onlinelibrary.wiley.com/doi/abs/10.1002/9781119184256.ch13 </t>
  </si>
  <si>
    <t>ANOPPI</t>
  </si>
  <si>
    <t xml:space="preserve">A pseudonymization tool for legal documents for linked data publication and use on the semantic web. </t>
  </si>
  <si>
    <t>https://seco.cs.aalto.fi/publications/2022/oksanen-et-al-anoppi-2022.pdf</t>
  </si>
  <si>
    <t>24</t>
  </si>
  <si>
    <t>26</t>
  </si>
  <si>
    <t>28</t>
  </si>
  <si>
    <t>31</t>
  </si>
  <si>
    <t>33</t>
  </si>
  <si>
    <t>35</t>
  </si>
  <si>
    <t>45</t>
  </si>
  <si>
    <t>47</t>
  </si>
  <si>
    <t>To publish</t>
  </si>
  <si>
    <t>Assegnazione Automatica Contenzioso Civile e Volontaria Giurisdizione / Automatic civil case assignment to judges</t>
  </si>
  <si>
    <t>Algorithme développé par le ministère de la Justice pour l'attribution des dossiers civils aux juges, selon les exigences suivantes : attribution aléatoire, distribution équitable des affaires, tant en termes quantitatifs que qualitatifs. En fonction des critères d'attribution définis par des paramètres de configuration spécifiques, l'algorithme est personnalisable par chaque tribunal.</t>
  </si>
  <si>
    <t>https://www.tribunale.napolinord.giustizia.it/documentazione/D_59023.pdf</t>
  </si>
  <si>
    <t>CLAUDETTE / An Automated Detector for Potentially Unfair Clauses</t>
  </si>
  <si>
    <t>CLAUDETTE est un serveur web pour la détection automatique de clauses potentiellement abusives dans les documents de conditions d'utilisation, développé et maintenu à des fins de recherche uniquement.</t>
  </si>
  <si>
    <t>Academic</t>
  </si>
  <si>
    <t>LEXIQ / Case Law Engine</t>
  </si>
  <si>
    <t>https://www.lexiq.nl</t>
  </si>
  <si>
    <t>SLPS / Random Case Allocation System</t>
  </si>
  <si>
    <t xml:space="preserve">Automated recognition of metadata in court decisions with the aim of anonymizing party data for expanding the publication of decisions (Art. 15 (4) OGHG). This includes, in particular names, addresses, and if necessary, other place and area designations, but not judges and party representatives. </t>
  </si>
  <si>
    <t xml:space="preserve">Reconnaissance automatisée des métadonnées contenues dans les décisions de justice dans le but d'anonymiser les données relatives aux parties afin d'étendre la publication des décisions (article 15, paragraphe 4, de l'OGHG). Il s'agit en particulier des noms, des adresses et, le cas échéant, d'autres désignations de lieux et de régions, mais pas des juges et des représentants des parties. </t>
  </si>
  <si>
    <t>Analyse, classification et extraction de métadonnées à partir de n'importe quelle forme de données, ainsi que reconnaissance de corrélations et de séquences de communication. Il permet aux juges de trouver des articles de toutes sortes sur des questions juridiques pertinentes. L'avantage : la capacité de reconnaître des synonymes et de développer une certaine "compréhension" du contexte au cours de la phase d'apprentissage basée sur les données d'entraînement.</t>
  </si>
  <si>
    <t xml:space="preserve">Information et aide à la navigation pour les demandeurs d'aide juridique. Domaines d'application : compréhension du langage naturel dans le cadre de la plateforme de services numériques Justice Online ; définition et aide à la navigation ; aide à l'enregistrement. </t>
  </si>
  <si>
    <t xml:space="preserve">KIS / Court Information System </t>
  </si>
  <si>
    <t>https://www.rik.ee/en/international/court-information-system</t>
  </si>
  <si>
    <t>L'outil de recherche de la jurisprudence a été enrichi d'un module de recherche avancée qui reconnaît les modèles et les résultats de recherche avec des termes qui apparaissent fréquemment dans un contexte similaire.</t>
  </si>
  <si>
    <t>https://www.vk.sud.rs/sr-lat/baza-sudske-prakse-suda</t>
  </si>
  <si>
    <t>Le système PCT permet de créer des modèles personnalisables qui sont partiellement auto-remplis à l'aide des métadonnées saisies dans le registre électronique.</t>
  </si>
  <si>
    <t>https://www.mkd.gov.lv/en/information-about-emus</t>
  </si>
  <si>
    <t>https://www.teismai.lt/data/public/uploads/2022/03/teismai2022-taisytas.pdf</t>
  </si>
  <si>
    <t>Victor est un système d'intelligence artificielle appliqué aux affaires pendantes devant la Cour suprême fédérale du Brésil. Il vise à faciliter le processus d'identification de ce que l'on appelle la répercussion générale (seules les questions réellement pertinentes pour la société brésilienne sont entendues par la Cour), contribuant ainsi à accroître les performances et l'efficacité dans les phases de traitement des appels extraordinaires.</t>
  </si>
  <si>
    <t xml:space="preserve">Le système d'information e-Enforcement est le système unique de gestion des dossiers pour tous les agents d'exécution, et il est géré par le ministère de la Justice au niveau central. Il est cofinancé par le ministère de la justice et la Banque mondiale. </t>
  </si>
  <si>
    <t xml:space="preserve">Un outil de pseudonymisation des documents juridiques pour la publication et l'utilisation de données liées sur le web sémantique. </t>
  </si>
  <si>
    <t xml:space="preserve">Socrates </t>
  </si>
  <si>
    <t>Alexandra</t>
  </si>
  <si>
    <t>SIGMA</t>
  </si>
  <si>
    <t>SIGMA is an intelligent system for the use of models towards producing drafts of decisions. It is designed to assist in preparing reports, decisions, and judgments in the TRF3 Electronic Judicial Process (PJe) system. The system sorts stored texts, comparing information extracted from procedural documents with how each unit uses its models, and generates inputs for the report’s writing. Observing the procedural documents suggests models already used for the same type of process, accelerating magistrates and civil servants’ productivity to avoid conflicting decisions.</t>
  </si>
  <si>
    <t>Salme</t>
  </si>
  <si>
    <t>https://e-estonia.com/introducing-salme-estonian-courts-speech-recognition-assistant/</t>
  </si>
  <si>
    <t xml:space="preserve">Le système d'information pour la procédure d'ordre de paiement (MKMKIS) permet d'automatiser en grande partie la procédure d'ordre de paiement.  </t>
  </si>
  <si>
    <t>https://www.justiz.gv.at/file/2c94848b6ff7074f017493349cf54406.de.0/it-anwendungen%20in%20der%20%C3%B6sterreichischen%20justiz%20stand%20august%202020.pdf?forcedownload=true</t>
  </si>
  <si>
    <t>https://www.diktiranje.hr/newton-dictate/</t>
  </si>
  <si>
    <t>Le registre des décisions de justice offre un accès public en ligne à toutes les décisions de justice en Ukraine. Les données personnelles et les autres types d'informations définis par la loi doivent être anonymisés dans le cadre de l'accès public. L'anonymisation est automatisée depuis 2018 et supervisée.</t>
  </si>
  <si>
    <t>https://ris.bka.gv.at/Jus/</t>
  </si>
  <si>
    <t>Giustizia Predittiva (Brescia) / Predictive Justice</t>
  </si>
  <si>
    <t>The Electronic Insolvency Accounting System is a single electronic platform for all persons involved in insolvency proceedings and institutions. It ensures the circulation of information between parties involved, as well as the random and proportional distribution of administrators' queue(s).</t>
  </si>
  <si>
    <t>Victor is an AI system applied to cases pending before the Brazilian Federal Supreme Court and seeks to facilitate the process of identifying the so-called general repercussion (only questions that are considered relevant to Brazilian society are heard by the court), contributing to increased performance and efficiency in the processing stages of extraordinary appeals.</t>
  </si>
  <si>
    <t xml:space="preserve">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t>
  </si>
  <si>
    <t xml:space="preserve">JURI lit les documents publiés les années précédentes et les décisions des affaires jugées par la Cour européenne des droits de l'homme et prédit les décisions que la Cour prendra. Le système apprend chaque mois de ses erreurs. </t>
  </si>
  <si>
    <t xml:space="preserve">The Civil Resolution Tribunal is located in British Columbia, Canada. It has been created to help people without lawyers resolve certain types of disputes quickly. It deals with: small claims in civil matters worth under $5,000, condo disputes, motor vehicle injury claims up to $50,000, and societies and cooperative association disputes. Its decisions can be appealed either before the Provincial Court or the Supreme Court for Judicial Review, depending on the type of issue. </t>
  </si>
  <si>
    <t>https://seco-cs-aalto-fi.translate.goog/projects/anoppi/?_x_tr_sl=fi&amp;_x_tr_tl=en&amp;_x_tr_hl=fi</t>
  </si>
  <si>
    <t>domsdatabasen.dk</t>
  </si>
  <si>
    <t>Link1</t>
  </si>
  <si>
    <t>2</t>
  </si>
  <si>
    <t>16</t>
  </si>
  <si>
    <t>13</t>
  </si>
  <si>
    <t>14</t>
  </si>
  <si>
    <t>15</t>
  </si>
  <si>
    <t>17</t>
  </si>
  <si>
    <t>3</t>
  </si>
  <si>
    <t>5</t>
  </si>
  <si>
    <t>32</t>
  </si>
  <si>
    <t>44</t>
  </si>
  <si>
    <t>Recherche/Universitaire</t>
  </si>
  <si>
    <t>Welcome text</t>
  </si>
  <si>
    <t>Welcome text bottom</t>
  </si>
  <si>
    <t>filter1</t>
  </si>
  <si>
    <t>filter2</t>
  </si>
  <si>
    <t>filter3</t>
  </si>
  <si>
    <t>filter4</t>
  </si>
  <si>
    <t>filter5</t>
  </si>
  <si>
    <t>filter6</t>
  </si>
  <si>
    <t>filter7</t>
  </si>
  <si>
    <t>filter8</t>
  </si>
  <si>
    <t>filter9</t>
  </si>
  <si>
    <t>filter10</t>
  </si>
  <si>
    <t>RESOURCE CENTRE ON CYBERJUSTICE AND ARTIFICIAL INTELLIGENCE</t>
  </si>
  <si>
    <t>CENTRE DE RESSOURCES SUR LA CYBERJUSTICE ET L'INTELLIGENCE ARTIFICIELLE</t>
  </si>
  <si>
    <t>IA / Non IA</t>
  </si>
  <si>
    <t>Public visé</t>
  </si>
  <si>
    <t>Couverture</t>
  </si>
  <si>
    <t>Implementation Year</t>
  </si>
  <si>
    <t>Statut</t>
  </si>
  <si>
    <t>Entry last update on</t>
  </si>
  <si>
    <t>Dernière saisie</t>
  </si>
  <si>
    <t>SYSTEMS LIST (Click on a tool to open the associated web page)</t>
  </si>
  <si>
    <t>1</t>
  </si>
  <si>
    <t>36</t>
  </si>
  <si>
    <t>38</t>
  </si>
  <si>
    <t>39</t>
  </si>
  <si>
    <t>40</t>
  </si>
  <si>
    <t>41</t>
  </si>
  <si>
    <t>42</t>
  </si>
  <si>
    <t>43</t>
  </si>
  <si>
    <t>46</t>
  </si>
  <si>
    <t>Aarea</t>
  </si>
  <si>
    <t/>
  </si>
  <si>
    <t>Check</t>
  </si>
  <si>
    <t>filter11</t>
  </si>
  <si>
    <t>Domaines d'application</t>
  </si>
  <si>
    <t>Areas of application</t>
  </si>
  <si>
    <t>Number of systems</t>
  </si>
  <si>
    <t>Nombre des systèmes</t>
  </si>
  <si>
    <t>Liste des systèmes (Cliquer sur un outil pour ouvrir la page web associée)</t>
  </si>
  <si>
    <t>Sélectionner</t>
  </si>
  <si>
    <t>Select</t>
  </si>
  <si>
    <t>filter12</t>
  </si>
  <si>
    <t>3 - Prediction of Litigation Outcomes</t>
  </si>
  <si>
    <t>6 - E-Filing</t>
  </si>
  <si>
    <t>1 - Recherche documentaire</t>
  </si>
  <si>
    <t>3 - Prévision des résultats des litiges</t>
  </si>
  <si>
    <t>6 - Dépôt électronique</t>
  </si>
  <si>
    <t>1 - Document search, review and Large-scale Discovery</t>
  </si>
  <si>
    <t xml:space="preserve">1 - Recherche documentaire; </t>
  </si>
  <si>
    <t xml:space="preserve">3 - Prévision des résultats des litiges; </t>
  </si>
  <si>
    <t xml:space="preserve">Fully automated allocation and processing of incoming documents from electronic channels and/or scanned documents; the extraction of metadata and identification of case numbers with NLP, the categorisation and titling of documents; as well as the recognition of the type of proceedings of new incoming cases. It aims to solve the problem of time-consuming manual document management. The digital filing system also provides other (small) AI tools, e.g. suggests workflows or tasks to the judge (e.g. treating the costs of proceedings). The solution is based on machine learning. </t>
  </si>
  <si>
    <t xml:space="preserve">L'attribution et le traitement entièrement automatisés des documents entrants provenant de canaux électroniques et/ou de documents scannés ; l'extraction de métadonnées et l'identification des numéros de dossier grâce au traitement du langage naturel, la catégorisation et le titrage des documents ; ainsi que la reconnaissance du type d’affaires des nouveaux dossiers entrants. Il vise à résoudre le problème de la gestion manuelle des documents, qui prend beaucoup de temps. Le système de dépôt numérique fournit également d'autres (petits) outils d'IA, par exemple en suggérant des flux de travail ou des tâches au juge (par exemple le traitement des frais de procédure). La solution est basée sur l'apprentissage automatique. </t>
  </si>
  <si>
    <t xml:space="preserve">LexIQ a développé un moteur de jurisprudence pour le ministère public néerlandais, afin d'aider les procureurs et les chercheurs dans leur travail quotidien de recherche, d'analyse et d'utilisation des informations relatives aux affaires pénales. Son principal objectif est de faire gagner du temps aux utilisateurs et de leur donner une indication de l'issue possible de l'affaire devant le tribunal. En outre, il les aide à découvrir des informations cachées. L'utilisation d'algorithmes d'apprentissage automatique et de fonctionnalités telles que la visualisation des données et la recherche intuitive offre une nouvelle approche de la surcharge d'informations existantes. </t>
  </si>
  <si>
    <t>Le système d'attribution aléatoire des juges (abréviation polonaise : SLPS) est une application web utilisée pour attribuer aléatoirement des affaires à des juges. Il est configuré de manière à ce qu'il n'y ait aucune possibilité d'interférence dans le processus aléatoire, qui est effectué automatiquement - sans la participation de l'utilisateur. Le système offre aux juges une garantie d'uniformité des règles relatives à la charge de travail au sein du tribunal. Il permet de préserver les spécialisations existantes des juges et prend en compte l'exercice des fonctions d'un juge, comme celles de président de département ou de juge visiteur, garantit une charge de travail correcte pour le juge et donne la possibilité de ne pas attribuer d'affaires à un juge qui traite une affaire exceptionnellement lourde.</t>
  </si>
  <si>
    <t xml:space="preserve">La synthèse vocale vise à générer des documents (par exemple, les procès-verbaux des réunions et les décisions des tribunaux et des parquets). Il vise à faciliter les processus opérationnels des tribunaux et des parquets. Son algorithme s'appuie sur une solution existante (basée sur un fournisseur : Newton Technology Adria (NTA)), qui est ensuite adaptée au vocabulaire et à l'usage de la langue croate, ainsi qu'aux demandes et besoins spécifiques du secteur judiciaire. L’instrument est formé à la transcription de la parole dans un document texte. Il peut être utilisé dans divers contextes, tels que la transcription de procès-verbaux de réunions ou l'enregistrement d'une décision de justice. </t>
  </si>
  <si>
    <t>L'utilisation de l'IA concerne principalement la reconnaissance des responsabilités judiciaires internes. La base d'une attribution par le système d’IA est la répartition fixe des affaires, conformément à l'article 87, paragraphe 3, du Code civil autrichien. Sur la base de la demande adressée au tribunal et des informations qu'elle contient, le système d’IA reconnaît le juge responsable de l'acte en question. Des extensions de cette solution sont prévues et concernent le déroulement des procédures et leur gestion par le pouvoir judiciaire dans son ensemble (cartographie complète de certaines étapes de la procédure).</t>
  </si>
  <si>
    <t xml:space="preserve">L'accès public aux données de base sur les affaires judiciaires est un service public gratuit pour les parties, les avocats et les autres personnes intéressées et impliquées dans les procédures judiciaires. La recherche par juridiction et par numéro de dossier permet au visiteur d'être informé de l'évolution et de l’avancement de la résolution des affaires, tant dans les procédures ordinaires que dans les procédures d'appel. Étant donné que le système actualise quotidiennement les données relatives aux affaires, les parties ont accès à l'état actuel de leur affaire, et les tribunaux sont ainsi déchargés de ces demandes et peuvent consacrer plus de temps à la résolution efficace des affaires. </t>
  </si>
  <si>
    <t xml:space="preserve">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t>
  </si>
  <si>
    <t>Par une simple commande, le système supprime automatiquement toutes les références aux parties impliquées dans le procès, aux lieux et aux dates de la procédure. Ceci est possible parce que ces éléments d’information sont insérés dans la décision en tant que méta-données / caractères génériques. L'anonymisation est affinée par un opérateur humain.</t>
  </si>
  <si>
    <t>GIADA permet l'attribution des procès aux juges pénaux, ainsi que l'organisation de la première audience, en prévoyant un système de répartition à la fois objectif et équitable. En outre, il détermine le poids des affaires (par exemple, 2 difficile - homicide involontaire, ..., 5 facile, 3 avec des prisonniers, 2 urgent, 2 avec prescription).</t>
  </si>
  <si>
    <t>Le système comptable électronique pour l'insolvabilité est une plateforme électronique unique pour toutes les personnes impliquées dans les procédures d'insolvabilité et les institutions. Il assure la circulation des informations entre les parties concernées, ainsi que la répartition aléatoire et proportionnelle de la file d'attente des administrateurs pour la prise en charge des dossiers.</t>
  </si>
  <si>
    <t>Cet outil a été développé pour la répartition aléatoire des affaires entre les juges, sur la base de caractéristiques telles que : le type d'affaire, le nombre d'affaires reçues par le tribunal au cours d'une période donnée, le facteur aléatoire, la spécialisation, les affaires reçues par un juge au cours d'une période donnée.</t>
  </si>
  <si>
    <t xml:space="preserve">Sócrates prévoit un examen automatisé de chaque recours envoyé à la Cour supérieure de justice du Brésil (STJ) et des décisions intervenues antérieurement dans la procédure, recommande des sources normatives et des précédents juridiques, et fournit une recommandation d'action ; la décision finale est toujours prise par le ministre de la STJ. Le projet se concentre sur la classification des données, en mettant en œuvre des techniques de traitement du langage naturel et d'apprentissage automatique non supervisé qui utilisent comme données d'entraînement les requêtes et décisions antérieures. </t>
  </si>
  <si>
    <t>These solutions are capable of recognizing and analysing speech, written text and communicating back. Their main use for courts is in speech recognition and transcription of court proceedings.</t>
  </si>
  <si>
    <t xml:space="preserve"> </t>
  </si>
  <si>
    <t>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t>
  </si>
  <si>
    <t>Ces instruments couvrent les technologies utilisées pour la résolution des litiges entre les parties, avec une intervention humaine limitée, ce qui peut être réalisé par l’intermédiaire de matériel informatique et/ou de logiciel.</t>
  </si>
  <si>
    <t>Ces instruments apprennent à partir de grands ensembles de données pour créer des modèles qui sont ensuite utilisés pour visualiser, simuler ou prédire de nouveaux résultats de litiges.</t>
  </si>
  <si>
    <t>Ces instruments facilitent ou automatisent entièrement les processus de prise de décision dans les systèmes judiciaires.</t>
  </si>
  <si>
    <t>Ces instruments sont utilisées pour supprimer les informations permettant d'identifier un individu telles que les données personnelles des utilisateurs des tribunaux.</t>
  </si>
  <si>
    <t>Ces instruments couvrent les systèmes de dépôt électronique qui permettent aux particuliers et aux entreprises de déposer leurs documents juridiques par le biais d’internet.</t>
  </si>
  <si>
    <t>Ces instruments fournissent aux individus des informations sur les services disponibles dans les systèmes de justice et les mettent en relation avec les services et les opportunités appropriés.</t>
  </si>
  <si>
    <t>Le Centre de ressources constitue un point central accessible au public pour obtenir des informations structurées et fiables sur les systèmes d’IA et d’autres outils clés de cyberjustice appliqués dans la transformation numérique du système judiciaire.
Le Centre de ressources devrait :
- aider les autorités chargées de la planification et de la mise en œuvre de la numérisation de la justice à obtenir une vue d’ensemble des systèmes clés appliqués et à échanger sur les cas d’utilisation; 
- fournir un point de départ à un examen plus approfondi des systèmes clés et à une discussion sur leurs risques et leurs avantages au regard de l’efficacité et de la qualité de la justice; 
- fournir aux professionnels et aux utilisateurs finaux des informations sur la conformité des principaux systèmes qu’ils utilisent ou auxquels ils sont exposés à la « Charte éthique européenne sur l’utilisation de l’intelligence artificielle dans les systèmes judiciaires et leur environnement</t>
  </si>
  <si>
    <t>Le Centre de ressources constitue un point central accessible au public pour obtenir des informations structurées et fiables sur les systèmes d’IA et d’autres outils clés de cyberjustice appliqués dans la transformation numérique du système judiciaire.
Le Centre de ressources devrait :
- aider les autorités chargées de la planification et de la mise en œuvre de la numérisation de la justice à obtenir une vue d’ensemble des systèmes clés appliqués et à échanger sur les cas d’utilisation; 
- fournir un point de départ à un examen plus approfondi des systèmes clés et à une discussion sur leurs risques et leurs avantages au regard de l’efficacité et de la qualité de la justice; 
- fournir aux professionnels et aux utilisateurs finaux des informations sur la conformité des principaux systèmes qu’ils utilisent ou auxquels ils sont exposés à la « Charte éthique européenne sur l’utilisation de l’intelligence artificielle dans les systèmes judiciaires et leur environnement »</t>
  </si>
  <si>
    <t>The Resource Centre shall serve as a publicly accessible focal point for structured and reliable information on AI systems and other key cyberjustice tools applied in the digital transformation of the judiciary and:
- help authorities tasked with the planning and implementation of digitalisation of justice to gain an overview of applied key systems and exchange on the use cases; 
- provide a starting point for further examination of key systems and discussion on their risks and benefits; 
- provide professional and end-users with information on key systems they are using or are exposed to, in line with the “European ethical Charter on the use of AI in judicial systems and their environment”.</t>
  </si>
  <si>
    <t>Le Centre de ressources ne doit pas être interprété comme la reconnaissance d’une affiliation quelconque ou comme émettant, au nom de la CEPEJ ou du Conseil de l'Europe, une approbation ou une recommandation, quelle qu’elle soit, des systèmes présentés.
Si vous souhaitez proposer d’autres systèmes d’IA qui devraient figurer dans le Centre de ressources ou si vous pensez avoir repéré une erreur dans l’une des entrées, veuillez contacter le secrétariat de la CEPEJ CEPEJ@coe.int</t>
  </si>
  <si>
    <t>The Resource Centre is neither exhaustive nor does it imply any affiliation, endorsement or recommendation of the presented systems by the CEPEJ or the Councill of Europe in any form whatsoever.
Should you want to propose other AI systems that should be featured in the Resource Centre or do you think you spotted a mistake in one of the entries, please contact the CEPEJ secretariat CEPEJ@coe.int</t>
  </si>
  <si>
    <t>Date de mise en place</t>
  </si>
  <si>
    <t>Mis en place par</t>
  </si>
  <si>
    <t>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t>
  </si>
  <si>
    <t>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t>
  </si>
  <si>
    <t>Ces instruments sont capables de reconnaître et d'analyser la parole, le texte écrit et de communiquer en retour. Leur principale utilisation pour les tribunaux est la reconnaissance de la parole et la transcription des procédures judiciaires.</t>
  </si>
  <si>
    <t>Le « Civil Resolution Tribunal » est situé en Colombie-Britannique, au Canada. Il a été créé pour aider les personnes qui n'ont pas d'avocat à résoudre rapidement certains types de litiges. Il s'occupe des petites réclamations en matière civile d'une valeur inférieure à 5 000 dollars, des litiges entre copropriétaires, des réclamations pour dommages corporels causés par des véhicules à moteur jusqu'à 50 000 dollars, et des litiges entre sociétés et associations coopératives. Ses décisions peuvent faire l'objet d'un appel devant la Cour provinciale ou la Cour suprême de révision judiciaire, selon le type de problème.</t>
  </si>
  <si>
    <t>A tool for collecting data from IT-systems to analyze processes. Creates objective statistics in order to develop and change the courts' workflow.</t>
  </si>
  <si>
    <t xml:space="preserve">Attribution et préparation entièrement automatisées des documents entrants, sans intervention du bureau d'entrée ou du cabinet d’avocats. It is used for documents' analysis including extraction of metadata, then categorisation and direct allocation, as well as follow up of documents' lifecycle.  </t>
  </si>
  <si>
    <t xml:space="preserve">The use of AI primarily concerns the recognition of internal judicial responsibilities. The basis for an allocation by the AI system is the fixed distribution of business, as required by Art. 87 (3) B-VG. Based on the submission to the court and the information contained therein, the AI system recognizes which judge is responsible for the specific act. Extensions to this solution are planned and they concern the course of proceedings and their management by the judiciary as a whole (complete mapping of selected procedural steps). </t>
  </si>
  <si>
    <t>Batch1</t>
  </si>
  <si>
    <t>Brazil</t>
  </si>
  <si>
    <t>Brésil</t>
  </si>
  <si>
    <t>JUSTITIA / Judicial chatbot</t>
  </si>
  <si>
    <t>Software zur Bekämpfung von Kinderpornografie / Software to combat child pornography</t>
  </si>
  <si>
    <t>The system is intended to make it possible to examine data volumes obtained in the course of investigative activities, some of which are considerable, for child pornography material that may be contained therein.</t>
  </si>
  <si>
    <t xml:space="preserve">Split-Up </t>
  </si>
  <si>
    <t>Australia</t>
  </si>
  <si>
    <t>AI for literature research</t>
  </si>
  <si>
    <t>Codefy</t>
  </si>
  <si>
    <t>Legal Analytics</t>
  </si>
  <si>
    <t>Automated reading of legally relevant information from electronic documents. Recording of electronic documents filed with the court.</t>
  </si>
  <si>
    <t>Videoüberwachung für den Justizvollzug / Video surveillance for the prison system</t>
  </si>
  <si>
    <t>Video surveillance for the prison system. The programme is designed to automatically detect situations that indicate a suicide attempt by inmates and alert correctional officers in time to enable rescue measures.</t>
  </si>
  <si>
    <t>AI for entity identification</t>
  </si>
  <si>
    <t>Salme est un outil de reconnaissance vocale développé par le ministère estonien de la Justice en partenariat avec la société informatique CGI Estonia et l'entreprise de technologie linguistique Tilde, qui a été introduit dans les tribunaux estoniens pour simplifier et optimiser cette opération. Il s'agit d'un outil d'apprentissage automatique et de NLP qui est connecté au X-Road estonien (une couche d'échange de données sécurisée pour l'envoi et la réception de données entre les organisations des secteurs privé et public) pour traiter les données d'enregistrement et de transcription. Salme peut transcrire en temps réel ou hors ligne, ce qui prend plus de temps mais est plus précis. L'horodatage par l'utilisateur est possible, ce qui permet d'ajouter des notes pour retrouver plus facilement l'enregistrement audio correspondant.</t>
  </si>
  <si>
    <t>Outil permettant de collecter des données à partir des systèmes informatiques afin d'analyser les processus. Il permet de créer des statistiques objectives afin de développer et de modifier le flux de travail des tribunaux.</t>
  </si>
  <si>
    <t>https://www.bundestag.de/resource/blob/832204/6813d064fab52e9b6d54cbbf5319cea3/WD-7-017-21-pdf-data.pdf</t>
  </si>
  <si>
    <t>https://medium.com/legal-design-and-innovation/ai-goes-to-court-the-growing-landscape-of-ai-for-access-to-justice-3f58aca4306f</t>
  </si>
  <si>
    <t>https://www.swr.de/swraktuell/baden-wuerttemberg/stuttgart/olg-stuttgart-mit-ki-gegen-flut-von-dieselklagen-100.html</t>
  </si>
  <si>
    <t>https://www.baden-wuerttemberg.de/de/service/presse/pressemitteilung/pid/kuenstliche-intelligenz-in-der-justiz/</t>
  </si>
  <si>
    <t>Internal system, no direct public link available.</t>
  </si>
  <si>
    <t>AI-based speech recognition in the justice system</t>
  </si>
  <si>
    <t>The Austrian judiciary has been using speech recognition systems during hearings, since 1997. The recognition rate is optimized step by step - by the additional integration of a judicial vocabulary based on Supreme Court decisions available in RIS, as well as by feeding the vocabulary added by the users into the overall vocabulary. Advantages: significant increase in efficiency, thus reduction of length of the proceedings. The system is based on the commercial application Dragon Naturally Speaking.</t>
  </si>
  <si>
    <t>Le système judiciaire autrichien utilise des systèmes de reconnaissance de la parole pendant les audiences depuis 1997. Le taux de reconnaissance est optimisé étape par étape - par l'intégration supplémentaire d'un vocabulaire judiciaire basé sur les décisions de la Cour suprême disponibles dans RIS, ainsi que par l’alimentation du vocabulaire global par le vocabulaire ajouté par les utilisateurs. Avantages : augmentation significative de l'efficacité, et donc réduction de la durée des procédures. Le système est basé sur l'application commerciale Dragon Naturally Speaking.</t>
  </si>
  <si>
    <t>Speech to Text - Legal</t>
  </si>
  <si>
    <t>SIGMA est un système intelligent d'utilisation de modèles pour la production de projets de décisions. Il est conçu pour aider à la préparation des rapports, des décisions et des jugements dans le système TRF3 Electronic Judicial Process (PJe). Le système trie les textes stockés, compare les informations extraites des documents de procédure avec la manière dont chaque unité utilise ses modèles et génère des entrées pour la rédaction du rapport. L'observation des documents de procédure suggère des modèles déjà utilisés pour le même type de processus, ce qui accélère la productivité des magistrats et des fonctionnaires pour éviter les décisions contradictoires.</t>
  </si>
  <si>
    <t>Le site présente - regroupées par domaines thématiques - des décisions sélectionnées de la Cour d'appel et du Tribunal de seconde instance de Brescia. Une fois le domaine d'intérêt choisi (droit du travail/droit des affaires), il est possible de suivre un "itinéraire" guidé, visant à identifier la décision judiciaire la plus appropriée pour répondre à la question posée.  Le système est le fruit d'une collaboration entre la Cour d'appel et le Tribunal de Brescia et l'Université de Brescia.  (Dernière mise à jour de la base de données inconnue).</t>
  </si>
  <si>
    <t xml:space="preserve">ANOM  uses AI to detect the name of experts or other information, for instance plot numbers, which are not parties to the procedure, and proposes them as candidates to anonymization in light of publication of the judgment. </t>
  </si>
  <si>
    <t xml:space="preserve">ANOM utilise l'IA pour détecter le nom d'experts ou d'autres informations, par exemple des numéros de parcelles, qui ne sont pas parties à la procédure, et les propose comme candidats à l'anonymisation à la lumière de la publication de l'arrêt. </t>
  </si>
  <si>
    <t xml:space="preserve">AI </t>
  </si>
  <si>
    <t xml:space="preserve">Sinapses </t>
  </si>
  <si>
    <t>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
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t>
  </si>
  <si>
    <t>https://www.cnj.jus.br/sistemas/plataforma-sinapses/</t>
  </si>
  <si>
    <t>L'outil d'anonymisation détecte automatiquement les données personnelles et privées spécifiées dans les décisions de justice. Il rend ces données anonymes et assure la publication des décisions judiciaires anonymes. Développement interne, IA basée sur des règles.</t>
  </si>
  <si>
    <t>Domsdatabasen / Judgment database with anonymisation</t>
  </si>
  <si>
    <t>Une base de données centrale des jugements est obligatoire pour la publication des jugements rendus par les tribunaux danois. L'objectif est d'accroître l'ouverture - de donner au public un accès libre aux jugements et la possibilité de se faire une idée de la pratique juridique.
La base de données des jugements se compose de deux éléments : un portail interne, où les jugements sont traités et pseudonymisés, et un portail web à partir duquel le public peut accéder aux jugements.
C'est sur le portail interne que la pseudonomisation des jugements est effectuée et que le système d'intelligence artificielle est mis en œuvre. Le système d'IA appelé NER analyse le document pdf de l'arrêt et identifie et suggère le texte et les noms qui doivent être pseudonymisés. Un employé examine les suggestions, les accepte ou les corrige et décide quand l'arrêt, avec les métadonnées et les documents associés, peut être publié sur le portail web public. Le système NER apprend de l'acceptation ou de la correction de ses suggestions par l'employé et du nombre de pseudonomisations générées par l'utilisateur que l'employé ajoute aux jugements.</t>
  </si>
  <si>
    <t>Logiciel propriétaire créé pour aider les juges américains à évaluer si un défendeur est susceptible de récidiver, tant pour la mise en liberté sous caution que pour la détermination de la peine. Le système automatise l'évaluation du risque en posant un total de 137 questions basées sur un entretien avec la personne concernée et son casier judiciaire.  Il calcule ensuite des scores de 1 à 10 dans 43 catégories différentes (échelles). Les scores obtenus dans certaines catégories (appelées échelles de risque) sont censés indiquer le risque de récidive - en général, pour des types particuliers d'infractions (par exemple, les crimes violents) ou spécifiquement pour des facteurs de risque individuels identifiés (par exemple, les condamnations antérieures, la consommation de drogue, l'intégration sociale). Plus le score est élevé, plus le risque de récidive est important. Il ne s'agit pas d'un risque "absolu", mais seulement d'un risque relatif par rapport au "groupe de référence".</t>
  </si>
  <si>
    <t>Créé par des experts en statistiques de l'université de Cambridge en collaboration avec la gendarmerie de Durhanm, HART a pour but d'aider les policiers à déterminer si les personnes arrêtées peuvent bénéficier d'une alternative à l'incarcération. Il permet de modéliser un ratio erreurs-coûts.</t>
  </si>
  <si>
    <t>OASys est un outil statistique général d'évaluation des risques et des besoins, utilisé à la fois pour la libération conditionnelle (par les services pénitentiaires) et pour les décisions de condamnation (par les services de probation). Il met l'accent sur la réinsertion, ce qui permet de réduire la récidive.</t>
  </si>
  <si>
    <t>La Finlande a "traduit et adapté" à ses besoins OASys, un outil statistique d'évaluation des risques et des besoins pour les décisions de libération conditionnelle et de condamnation. Il s'agit d'un entretien semi-structuré, ce qui donne à la personne responsable une marge d'appréciation considérable lors de l'interprétation des résultats.</t>
  </si>
  <si>
    <t>Le RISc est un outil statistique d'évaluation des risques et des besoins pour les décisions de libération conditionnelle et de condamnation. Il est généralement utilisé lorsqu'un individu est placé en état d'arrestation préventive et que le niveau de gravité du crime est élevé.</t>
  </si>
  <si>
    <t>OxRec est un calculateur de risque en ligne permettant d'évaluer le risque de récidive chez les détenus. Cet outil a été développé par le groupe de psychiatrie et de psychologie légale de l'Université d'Oxford. Il a été dérivé et validé en Suède, puis dans les autres pays. Il est disponible en suédois, grec, français, chinois, russe, italien, espagnol, finlandais, allemand et polonais.</t>
  </si>
  <si>
    <t>https://oxrisk.com/oxrec-9/</t>
  </si>
  <si>
    <t>RisCanvi / Risk Change protocol</t>
  </si>
  <si>
    <t>A tool designed by the Catalan prison services and the Group of Advance Studies on Violence at the University of Barcelona. It is used to decide whether inmates can go on prison furlough (when they are allowed to leave the prison for a short period), but also to make choices about moving inmates from one prison to another or about parole (early release). RisCanvi analyzes five different outcomes: violent recidivism, self-inflicted harm, violence with other inmates or inside the facilities, breaking of furlough and recidivism in general.</t>
  </si>
  <si>
    <t>Outil conçu par les services pénitentiaires catalans et le Groupe d'études avancées sur la violence de l'Université de Barcelone. Il est utilisé pour décider si les détenus peuvent bénéficier d'une permission de sortie (lorsqu'ils sont autorisés à quitter la prison pour une courte période), mais aussi pour prendre des décisions concernant le transfert des détenus d'une prison à l'autre ou la libération conditionnelle (libération anticipée). RisCanvi analyse cinq résultats différents : la récidive violente, les lésions auto-infligées, la violence avec d'autres détenus ou à l'intérieur des établissements, la rupture de la permission de sortie et la récidive en général.</t>
  </si>
  <si>
    <t>Le système doit permettre d'examiner les volumes de données obtenus dans le cadre d'activités d'enquête, parfois considérables, afin de détecter le matériel pédopornographique qu'ils pourraient contenir.</t>
  </si>
  <si>
    <t>Logiciel de reconnaissance linguistique et de dictée utilisé par le Justizminsterium North Rhine- Westphalia. Dragon NaturallySpeaking Legal Edition personnalisé.</t>
  </si>
  <si>
    <t>Le programme aide les juges aux affaires familiales dans les litiges de divorce. Il identifie les biens des parties à partager et, sur la base d'un calcul, propose un pourcentage que chaque partie devrait recevoir.</t>
  </si>
  <si>
    <t>Le système analyse le document dans le système de gestion des fichiers à la recherche de citations juridiques et d'affaires mentionnées et les relie aux références correspondantes dans des bases de données juridiques externes. En conséquence, les citations reconnues sont soulignées dans le document et en cliquant sur le lien, la base de données juridique s'ouvre au bon endroit. En outre, une liste de sources structurée par types de citations identifiées (journaux, décisions, etc.) est affichée dans le panneau latéral pour permettre de naviguer dans le document et de poursuivre le traitement.</t>
  </si>
  <si>
    <t xml:space="preserve">Internal system, no direct public link available. </t>
  </si>
  <si>
    <t>49</t>
  </si>
  <si>
    <t>51</t>
  </si>
  <si>
    <t>52</t>
  </si>
  <si>
    <t>53</t>
  </si>
  <si>
    <t>54</t>
  </si>
  <si>
    <t>55</t>
  </si>
  <si>
    <t>56</t>
  </si>
  <si>
    <t>57</t>
  </si>
  <si>
    <t>58</t>
  </si>
  <si>
    <t>59</t>
  </si>
  <si>
    <t>60</t>
  </si>
  <si>
    <t>61</t>
  </si>
  <si>
    <t>62</t>
  </si>
  <si>
    <t>63</t>
  </si>
  <si>
    <t>64</t>
  </si>
  <si>
    <t>65</t>
  </si>
  <si>
    <t>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t>
  </si>
  <si>
    <t>https://adele-tool.eu</t>
  </si>
  <si>
    <t>Automatic validator of documents authenticity for online nationality applications</t>
  </si>
  <si>
    <t>A tool that allows the automatic validation of the documents required for the nationality application. In Portugal, nationality application processes require a significant number of documents, which are currently delivered on paper and checked manually. Such tasks demand a high number of working hours for many employees of the Institute of Registries and Notary (IRN). This automatic validator makes possible the optimization and complete dematerialization of the procedure, increasing efficiency and responsiveness given the increasing number of new requests.</t>
  </si>
  <si>
    <t>Un logiciel qui permet la validation automatique des documents requis pour la candidature à la nationalité. Au Portugal, les procédures de demande de nationalité requièrent un important volume de documents, qui sont actuellement délivrés sur papier et vérifiés manuellement. Ces opérations exigent un grand nombre d'heures de travail pour de nombreux employés de l'Institut des registres et du notariat (IRN). Ce validateur automatique permet d'optimiser et de dématérialiser complètement la procédure, augmentant ainsi l'efficacité et la réactivité face au nombre croissant de nouvelles demandes.</t>
  </si>
  <si>
    <t>https://govtech.justica.gov.pt/en/portfolio/automatic-validator-of-documents-authenticity-for-online-nationality-applications/</t>
  </si>
  <si>
    <t>Module d'anonymisation open data des décisions de justice/Anonymization of Court decisions</t>
  </si>
  <si>
    <t>Anonymization of personal data before publishing court decisions in open data format.</t>
  </si>
  <si>
    <t>Brique technique permettant la détection des données à caractères personnelles et leur anonymisation en vue de l'open data des décisions de justice.</t>
  </si>
  <si>
    <t>https://www.courdecassation.fr/acces-rapide-judilibre/open-data-et-api</t>
  </si>
  <si>
    <t>Module d'orientation des pourvois / Appeal referral module</t>
  </si>
  <si>
    <t xml:space="preserve">Automatic referral module of appeals between the Chambers of the Court of Cassation. </t>
  </si>
  <si>
    <t>Orientation automatisée des pourvois au sein des chambres de la Cour de cassation.</t>
  </si>
  <si>
    <t xml:space="preserve"> https://www.vie-publique.fr/parole-dexpert/278415-la-cour-de-cassation-face-au-numerique-et-lintelligence-artificielle
</t>
  </si>
  <si>
    <t>Non-AI</t>
  </si>
  <si>
    <t>Prometea</t>
  </si>
  <si>
    <t>Argentina</t>
  </si>
  <si>
    <t>Prometea vise à prédire l'issue des affaires judiciaires et à identifier les affaires urgentes dans les grandes masses de dossiers. Il a été développé par l'université et le ministère public de Buenos Aires dans le but principal d'accélérer les processus bureaucratiques et de libérer du temps pour l'analyse d'affaires complexes.</t>
  </si>
  <si>
    <t>https://ceridap.eu/prometea-experience-using-ai-to-optimize-public-institutions/?lng=en</t>
  </si>
  <si>
    <t xml:space="preserve">Översättningsappen / The translation app </t>
  </si>
  <si>
    <t>This Voice recording and transcription software is used in court hearings for the automated transcription of minutes (voice recognition is being implemented since 2023).</t>
  </si>
  <si>
    <t>Ce logiciel d'enregistrement et de transcription vocale est utilisé dans les audiences des tribunaux pour la transcription automatisée des procès-verbaux (la reconnaissance vocale est mise en œuvre à partir de 2023).</t>
  </si>
  <si>
    <t>Le système basé sur l'IA aide à analyser et à classer les demandes en fonction des faits. En octobre 2022, plus de 13 000 affaires relatives au diesel étaient pendantes devant le tribunal régional supérieur (concernant de fausses valeurs d'émissions de gaz d'échappement). Selon le ministère, les plaintes font souvent plus de 100 pages.</t>
  </si>
  <si>
    <t>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t>
  </si>
  <si>
    <t>Structuration de documents - en particulier de mémoires d'avocats - assistée par l'IA et aide à l'enregistrement, à l'organisation et à l'évaluation du matériel. Utilisé au Landgericht Hechingen.</t>
  </si>
  <si>
    <t>Anonymisation automatisée des décisions judiciaires dans le respect de la protection des données.</t>
  </si>
  <si>
    <t>Smart - Erfassung von bei Gericht eingereichten elektronischen Dokumenten / Recording of electronic documents filed with the court</t>
  </si>
  <si>
    <t>Lecture automatisée d'informations juridiquement pertinentes à partir de documents électroniques. Enregistrement des documents électroniques déposés auprès du tribunal.</t>
  </si>
  <si>
    <t>Vidéosurveillance pour le système pénitentiaire. Le programme est conçu pour détecter automatiquement les situations indiquant une tentative de suicide de la part des détenus et alerter les agents correctionnels à temps pour permettre des mesures de sauvetage.</t>
  </si>
  <si>
    <t>67</t>
  </si>
  <si>
    <t>68</t>
  </si>
  <si>
    <t>69</t>
  </si>
  <si>
    <t>70</t>
  </si>
  <si>
    <t>81</t>
  </si>
  <si>
    <t>82</t>
  </si>
  <si>
    <t>83</t>
  </si>
  <si>
    <t>84</t>
  </si>
  <si>
    <t>85</t>
  </si>
  <si>
    <t>86</t>
  </si>
  <si>
    <t>88</t>
  </si>
  <si>
    <t>89</t>
  </si>
  <si>
    <t>91</t>
  </si>
  <si>
    <t>92</t>
  </si>
  <si>
    <t>Australie</t>
  </si>
  <si>
    <t>Infromation provided by</t>
  </si>
  <si>
    <t>6 - Triaging, allocation and workflow automation</t>
  </si>
  <si>
    <t>Judges/clerks</t>
  </si>
  <si>
    <t>Management</t>
  </si>
  <si>
    <t>Algorithm developed by the Ministry of Justice for assigning civil files to judges, according to the following requirements: random assignment, fair distribution of case, both in quantitative and qualitative terms. According to the assignment criteria defined through specific configuration parameters, the algorithm is customizable by each court.</t>
  </si>
  <si>
    <t xml:space="preserve">LexIQ developed a Case Law Engine for the Dutch Public Prosecution Service, aimed to support prosecutors and researchers in their daily work to search, analyse and make use of insights in criminal cases. Its main purpose is to save time and give users an indication of the possible outcomes in court. Additionally, it also helps them discover hidden information. Using machine learning algorithms and features, such as data visualisations and intuitive search functionalities, offers a new approach to the overload of existing information. </t>
  </si>
  <si>
    <t>Prosecutors/clerks</t>
  </si>
  <si>
    <t>The Random Allocation of Judges System (Polish abbreviation: SLPS) is a web-based application used to randomly assign cases to judges. It is configured in such a way that there is no possibility of interference in the randomization process, which is carried out automatically - without user participation. The system provides judges with a guarantee of uniformity of workload rules in the court. It makes it possible to preserve the existing specializations of judges and considers the performance of a judge's functions - such as department chairman or visiting judge -, guarantees the correct workload of a judge, and gives the possibility of withholding the assignment of cases to a judge who is handling an exceptionally heavy case.</t>
  </si>
  <si>
    <t>7 - Recording, transcription and translation</t>
  </si>
  <si>
    <t xml:space="preserve">Speech-to-text aims to generate documents (i.e., meeting minutes, decisions from courts and state attorney offices). It aims to help the business processes of courts and state attorney offices. Its algorithm is built on an existing solution (vendor-based: Newton Technology Adria (NTA)), which is then customised to Croatian vocabulary and language usage, along with special requests/needs from the judicial sector. The solution is trained to transcribe speech into a text document. It can be used in a variety of contexts, such as the transcription of meeting minutes or the recording of a court decision. </t>
  </si>
  <si>
    <t>5 - Anonymisation and pseudonymisation</t>
  </si>
  <si>
    <t>The register of court decisions provides web-based public access to all court decisions in Ukraine. Personal data and other types of information which are defined by law must be anonymized in public access. Anonymization is automated since 2018 and supervised.</t>
  </si>
  <si>
    <t xml:space="preserve">Fully automated allocation and preparation of incoming documents, without intervention by the entry office or law firm. It is used for document analysis, including extraction of metadata, then categorisation and direct allocation, as well as follow up of the documents' lifecycle.  </t>
  </si>
  <si>
    <t>8 - Information and assistance services</t>
  </si>
  <si>
    <t xml:space="preserve">Public access to basic data on court cases is a free-of-charge public service for parties, attorneys and other interested persons involved in court proceedings. The search by court and file number allows the visitor to be informed about the progress and dynamics of case resolution in both first-instance and appellate procedures. Given that the system refreshes case data on a daily basis, parties are given access to the current status of their case, and the courts are thus relieved of such queries and can devote more time to effective resolution of cases. </t>
  </si>
  <si>
    <t xml:space="preserve">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t>
  </si>
  <si>
    <t>The tool, used to search case-law, has been enhanced with an advanced search module that recognizes patterns and search results with terms that appear frequently in a similar context.</t>
  </si>
  <si>
    <t>4 - Decision support</t>
  </si>
  <si>
    <t>The system allows the creation of customizable templates, that are partially self-filling, using the metadata entered in the electronic registry.</t>
  </si>
  <si>
    <t>Through a simple command, the system automatically removes all the references to the parties involved in the trial, the places and the dates of the proceedings. This is possible because those pieces of information are entered in the decision as metadata/place-holders. The anonymization is then refined by a human operator.</t>
  </si>
  <si>
    <t>GIADA allows the assignment of trials to criminal judges, as well as the organization of the first hearing, by providing for both an objective and fair equal system of assignments. In addition, it determines the weight of the cases (e.g., 2 difficult-negligent manslaughter, 5 easy, 3 with prisoners, 2 urgent, 2 with statute of limitations, and so on).</t>
  </si>
  <si>
    <t>This tool was developed for random allocation of cases between judges, based on features such as: case type, number of cases received by the court during a given period, random factor, specialization, cases received by a judge during a given period.</t>
  </si>
  <si>
    <t>https://ciapj.fgv.br/sites/ciapj.fgv.br/files/relatorio_ia_3a_edicao_0.pdf</t>
  </si>
  <si>
    <t xml:space="preserve">InterLex aims to provide information, decision-support and training on private international law. It addresses the identification of the legal system having jurisdiction and of the national law to be applied to a specific case, as well as the retrieval of relevant legal materials. </t>
  </si>
  <si>
    <t xml:space="preserve">JURI reads published documents from previous years and decisions of the cases judged by the European Court of Human Rights and predicts the outcomes of the decisions that the Court will make. The system learns from its mistakes every month. </t>
  </si>
  <si>
    <t>2 - Online Dispute Resolution</t>
  </si>
  <si>
    <t xml:space="preserve">Sócrates provides for an automated examination of each appeal sent to the Brazil’s Superior Court of Justice (STJ) and previous decisions of the process, recommends normative sources and legal precedents, and provides a recommendation for action; the final decision is always made by the Minister of the STJ. The project is focused on: data classification, implementing natural language processing and unsupervised machine learning techniques, that have as training data previous petitions and decisions of the Court; identifying cases with potential for failure to register with the Presidency; and subsidy to the STJ’s Corporate School in the definitions of training. </t>
  </si>
  <si>
    <t>Salme is a speech recognition tool developed by the Estonian Ministry of Justice in partnership with the IT company CGI Estonia and language-tech company Tilde. It has been introduced to Estonian courts to simplify and optimise this operation. It is a machine learning and NLP tool that is connected to the Estonian X-Road (a secure data exchange layer for sending and receiving data between both private and public sector organisations) to process the recording and transcription data. Salme can transcribe in real-time or offline, which even if being time-consuming, it is also more accurate. Time stamping by the user is possible which allows for adding notes to find the related audio recording more easily.</t>
  </si>
  <si>
    <t xml:space="preserve">Integrated in the Court information System and based on courts' decisions, the tool is already trained to recognise all text values which should be anonymized according to the legislation (i.e., names, addresses, personal identification data). In addition, it can be further trained to recognise and anonymize additional values, if necessary. Before publishing the decisions on the court's portal, there is a human operator verifying and changing any anonymization errors, if needed. </t>
  </si>
  <si>
    <t>Intégré au système d'information de la Cour  et sur la base des décisions des tribunaux, l'outil est déjà formé pour reconnaître toutes les valeurs textuelles qui doivent être rendues anonymes conformément à la législation (c'est-à-dire les noms, les adresses, les données d'identification personnelle). En outre, il peut être entraîné à reconnaître et à rendre anonymes d'autres valeurs, si nécessaire. Avant de publier les décisions sur le portail de la Cour, un humain vérifie et modifie, si nécessaire, les erreurs d'anonymisation.</t>
  </si>
  <si>
    <t xml:space="preserve">The site presents - grouped by thematic areas - selected decision of the Brescia Court of Appeal and Second Instance Court. Once the area of interest is chosen (labour/business law), a guided 'itinerary' can be followed, aimed at identifying the most appropriate case-law for answering one's question.  The system is a collaboration between the Brescia Court of Appeal and Tribunal and the University of Brescia. (Last database update: unknown). </t>
  </si>
  <si>
    <t>Batch 2</t>
  </si>
  <si>
    <t xml:space="preserve">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
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
</t>
  </si>
  <si>
    <t>Anonymization tool</t>
  </si>
  <si>
    <t>A central judgment database is compulsary  for the publication of judgments handed down by Denmark's courts. The purpose is increased openness - to give the public free access to the judgments and the opportunity to gain insight into legal practice.
The judgment database consists of two system components: (i) an internal portal, where the judgments are handled and pseudonomized, and (ii) a web portal from which the public can access the judgments.
The internal portal is where the pseudonomization of the judgments is carried out and this is where the AI system is implemented. The AI system, called NER, analyses the pdf document of the judgment and identifies and suggests text and names that need to be pseudonomized. An employee looks over the suggestions, accepts or corrects them and decides when the judgment with associated metadata and documents can be published in the public web portal. The NER system will learn from the employee´s acceptance or correction of its suggestions and how many user generated pseudonomizations the employee adds to the judgments.</t>
  </si>
  <si>
    <t xml:space="preserve">A proprietary software created to help U.S. judges assess whether a defendant is likely to re-offend, both in bail and sentencing. The system automates the risk assessment by asking a total of 137 questions based on an interview with the person concerned and their criminal record.  From this, it calculates scores from 1 to 10 in 43 different categories (scales). Scores in some categories (so-called risk scales) are supposed to make statements on the risk of recidivism - in general, for special types of offences (e.g. violent crimes) or specifically for individual identified risk factors (e.g. previous convictions, drug use, social integration). The higher the score, the higher the risk of recidivism. This is not intended to represent an 'absolute' risk, but only a relative one in relation to the 'norm group'. </t>
  </si>
  <si>
    <t>Created by statistical experts from Cambridge University together with the Durhanm Constabulary, HART aims to help police officers determine whether arrested individuals are eligible for an alternative route to incarceration. It allows for a modelling of a ratio of error-costs.</t>
  </si>
  <si>
    <t>Court specific</t>
  </si>
  <si>
    <t xml:space="preserve">OASys is a general statistical risk-needs assessment tool, used for both parole (by the Prison Services) and sentencing decisions (by the Probation Services). It focuses on rehabilitation, which in turn reduces recidivism. </t>
  </si>
  <si>
    <t xml:space="preserve">Finland 'translated and adapted' OASys, a  statistical risk-needs assessment tool for parole and sentencing decisions to its needs. It is a semi-structured interview, which gives the person in charge a considerable margin of appreciation when interpreting the results.  </t>
  </si>
  <si>
    <t>RISc is a  statistical risk-needs assessment tool for parole and sentencing decisions. Usually, it is used when an individual is placed under preventive arrest and when the crime severity level is high.</t>
  </si>
  <si>
    <t>OxRec is a web-based risk calculator for assessing risk of recidivism of prisoners. This tool was developed by the Forensic Psychiatry and Psychology group at the University of Oxford. It was derived and externally validated in Sweden followed by validations in the other countries. It is available in Swedish, Greek, French, Chinese, Russian, Italian, Spanish, Finnish, German, and Polish.</t>
  </si>
  <si>
    <t>Language recognition and dictation software used by the Justizminsterium North Rhine-Westphalia. Dragon Naturally Speaking Legal Edition customised.</t>
  </si>
  <si>
    <t>The programme supports family court judges in divorce disputes. It identifies the parties' assets to be divided and, based on a calculation, suggests a percentage that the respective parties should receive.</t>
  </si>
  <si>
    <t>The system is analysing the documents in the file management system for legal citations and mentioned cases and links them to the corresponding references in external legal databases. As a result, recognized citations are underlined in the document and by clicking on the link, the legal database is opened at the right spot. Furthermore, a source list structured by types of identified citations (journals, decisions, etc.) is displayed in the sidebar for navigating through the document and any further processing.</t>
  </si>
  <si>
    <t xml:space="preserve">The e-Enforcement Information System is the unique case management system for all enforcement agents, and it is maintained by the Ministry of Justice at a central level. Co-financed by the Ministry of Justice and the World Bank. </t>
  </si>
  <si>
    <t>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t>
  </si>
  <si>
    <t>Pilot/Beta version</t>
  </si>
  <si>
    <t>Batch 3</t>
  </si>
  <si>
    <t>Prometea aims at predicting outcomes of court cases and identifying urgent cases within large volumes of files. It was developed by the University and the Public Prosecutor's Office of Buenos Aires with the main goal of accelerating bureaucratic processes and free up time for the analysis of complex cases.</t>
  </si>
  <si>
    <t>An application that translates text to more than 60 languages, using AI. It is specialized in legal language. It is  used to trasncribe and translate court hearings.</t>
  </si>
  <si>
    <t>Une application qui traduit des textes dans plus de 60 langues, en utilisant l'IA. Elle est spécialisée dans le langage juridique. Il est utilisé pour transcrire et traduire les audiences des tribunaux.</t>
  </si>
  <si>
    <t>OLGA - Oberlandesgerichtsassistent / Regional Court Assistant</t>
  </si>
  <si>
    <t xml:space="preserve">The AI based system helps to analyse and classify applications according to the facts. As of October 2022, there are currently more than 13,000 diesel cases pending at the Higher Regional Court (concerning false exhaust emissions values). According to the Ministry, the complaints are often more than 100-pages long. </t>
  </si>
  <si>
    <t>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t>
  </si>
  <si>
    <t>AI-supported structuring of documents - in particular lawyers' briefs - and  assisting in recording, organising and assessing these materials. Used by the Landgericht Hechingen.</t>
  </si>
  <si>
    <t>Data protection compliant automated anonymization of judicial decisions.</t>
  </si>
  <si>
    <t>Practical Guide to Justice</t>
  </si>
  <si>
    <t>Development of an advanced language model with machine learning, which informs citizens and businesses about the tools and services that justice provides to respond to their needs.
It is trained from information already made available by the various judicial bodies. Its objective is not to create information, but rather to make available, in a natural conversation, the necessary information to answer the user’s questions. Whether it is a short or long conversation, the Practical Guide to Justice is able to understand the user’s needs and doubts, without, however, having the need to keep any personal information from the user.
The first version of this guide focuses on matters of marriage, divorce and companies 2.0.</t>
  </si>
  <si>
    <t>Développement d'un modèle linguistique avancé avec apprentissage automatique, qui informe les citoyens et les entreprises sur les outils et les services que la justice met à leur disposition pour répondre à leurs demandes.Il sera entraîné à partir des informations déjà mises à disposition par les différents organes de la justice. Son objectif ne sera pas de créer de l'information, mais plutôt de mettre à disposition, dans une conversation naturelle, les informations nécessaires pour répondre aux questions de l'utilisateur. Qu'il s'agisse d'une conversation courte ou longue, le Guide pratique de la Justice sera en mesure de comprendre les besoins et les doutes de l'utilisateur, sans toutefois avoir besoin de conserver les informations personnelles fournies par l'utilisateur. La première version de ce guide se concentrera sur les questions de mariage, de divorce et d'entreprises 2.0.</t>
  </si>
  <si>
    <t>https://justica.gov.pt/Servicos/Guia-pratico-da-Justica-Versao-Beta</t>
  </si>
  <si>
    <t>https://govtech.justica.gov.pt/en/portfolio/practical-guide-to-justice-ongoing/</t>
  </si>
  <si>
    <t>Gina/Jury Bot</t>
  </si>
  <si>
    <t xml:space="preserve">Gina is an online assistant designed for the Superior Court of Los Angeles County. It assists people with their traffic tickets. The system uses ML translation services, and natural language understanding. It assists more than 5,000 citizens each week and speaks six languages (English, Spanish, Armenian, Chinese, Korean, and Vietnamese). </t>
  </si>
  <si>
    <t xml:space="preserve">Gina est un assistant en ligne conçu pour la Cour supérieure du comté de Los Angeles. Il aide les personnes à régler leurs contraventions. Le système utilise des services de traduction en ligne et la compréhension du langage naturel. Il aide plus de 5 000 citoyens chaque semaine et parle six langues (anglais, espagnol, arménien, chinois, coréen et vietnamien). </t>
  </si>
  <si>
    <t>https://ww2.lacourt.org/traffic/ui/trafficOS.aspx?s=1&amp;language=1</t>
  </si>
  <si>
    <t>https://unesdoc.unesco.org/ark:/48223/pf0000387331</t>
  </si>
  <si>
    <t xml:space="preserve">SUVAS/The Vidhik Anuvaad Software </t>
  </si>
  <si>
    <t>India</t>
  </si>
  <si>
    <t xml:space="preserve">SUVAS/The Vidhik Anuvaad Software is an AI program that translates decisions and orders into nine different local languages. It was introduced by the Supreme Court. And it makes it easier for people who do not speak English, to obtain judgments and orders. It also helps them toSUVAS/The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better understand court proceedings. </t>
  </si>
  <si>
    <t xml:space="preserve">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t>
  </si>
  <si>
    <t>https://www.business-standard.com/article/pti-stories/software-developed-to-translate-sc-judgments-in-9-vernacular-languages-law-minister-rs-prasad-119121200851_1.html</t>
  </si>
  <si>
    <t>PretorIA</t>
  </si>
  <si>
    <t xml:space="preserve">PretorIA was designed to assist the judges of the Colombian Constitutional Court in dealing with writs of protection in an efficient manner. It uses topic modelling technology, and its outcomes can be explained, interpreted and tracked. </t>
  </si>
  <si>
    <t xml:space="preserve">PretorIA a été conçu pour aider les juges de la Cour constitutionnelle colombienne à traiter les demandes de protection de manière efficace. Il utilise la technologie de la modélisation thématique et ses résultats peuvent être expliqués, interprétés et suivis. </t>
  </si>
  <si>
    <t>https://giswatch.org/node/6166</t>
  </si>
  <si>
    <t xml:space="preserve">SUPACE (Supreme Court Portal for Assistance in Court’s Efficiency) </t>
  </si>
  <si>
    <t xml:space="preserve">SUPACE/The Supreme Court Portal for Assistance in Courts Efficiency is an AI system implemented at the Supreme Court of India. It is designed as an aid in the administration and delivery of justice through cataloguing a large number of earlier decisions for better processing of case material. It is not used in decision-making, its role is confined to data collection and analysis. </t>
  </si>
  <si>
    <t xml:space="preserve">SUPACE/The Supreme Court Portal for Assistance in Courts Efficiency est un système d'intelligence artificielle mis en œuvre à la Cour suprême de l'Inde. Il est conçu comme une aide à l'administration et à la délivrance de la justice en cataloguant un grand nombre de décisions antérieures afin d'améliorer le traitement des dossiers. Il n'est pas utilisé pour la prise de décision, son rôle se limitant à la collecte et à l'analyse de données. </t>
  </si>
  <si>
    <t>https://webcast.gov.in/events/MTI1MQ--/session/MzE1MA--</t>
  </si>
  <si>
    <t>Klaudia Maciejewska, GRAI Poland, klaudia.maciejewska@currenda.pl</t>
  </si>
  <si>
    <t>Gall Anonymization/Gall Anonimizacja</t>
  </si>
  <si>
    <t>Gall Anonymyzation is a system performing initial anonymization of court judgments and administrative decisions. Since 2004, it has been introduced to selected administrative courts as a part of OSO &amp; IBO systems, certain administrative bodies (e.g. Samorządowe Kolegium Odwołacze) and some common courts. Because the system is not 100% accurate, it is supervised by court clerks.</t>
  </si>
  <si>
    <t>L'anonymisation Gall est un système qui assure l'anonymisation initiale des jugements des tribunaux et des décisions administratives. Depuis 2004, il a été introduit dans certaines juridictions administratives dans le cadre des systèmes OSO et IBO, dans certains organes administratifs (par exemple le Samorządowe Kolegium Odwołacze) et dans certaines juridictions de droit commun. Le système n'étant pas précis à 100 %, il est supervisé par les greffiers.</t>
  </si>
  <si>
    <t>https://www.softprodukt.com.pl/system/gall</t>
  </si>
  <si>
    <t>https://www.nsa.gov.pl/sprawozdania-roczne.php (e.g. 2007, p. 355)</t>
  </si>
  <si>
    <t>Igor Gontarz, Adam Mickiewicz University, igogon@amu.edu.pl</t>
  </si>
  <si>
    <t>Dokumentenergleich / Document comparison</t>
  </si>
  <si>
    <t>The system analyses the electronic procedural files and assigns those with similar facts to each other. It is used to increase efficiency in mass proceedings.</t>
  </si>
  <si>
    <t>Le système analyse les dossiers de procédure électroniques et attribue les uns aux autres les dossiers présentant des faits similaires. Il est utilisé pour accroître l'efficacité des procédures de masse.</t>
  </si>
  <si>
    <t xml:space="preserve">https://www.justiz-bw.de/,Lde/10619184/?LISTPAGE=6161506 </t>
  </si>
  <si>
    <t xml:space="preserve">BaZna / Knowledge Base System </t>
  </si>
  <si>
    <t xml:space="preserve">The system compares new applications with the existing knowledge database, which contains the case-law and auxiliary information, supporting the adjudication process. </t>
  </si>
  <si>
    <t xml:space="preserve">Le système compare les nouvelles demandes avec la base de données de connaissances existante, qui contient la jurisprudence et des informations auxiliaires, à l'appui du processus de décision. 
</t>
  </si>
  <si>
    <t>FraUKE = FRankfurts Amtsgericht UrteilsKonfigurator Elektronisch</t>
  </si>
  <si>
    <t>The FraUKE programme was developed specifically for air passenger rights proceedings in accordance with EU Regulation 261/2004 for the Frankfurt am Main Local Court. In order to cope with the wave of air passenger rights claims, the Frankfurt am Main District Court has developed this "judgement configurator", which simplifies and supports the creation of judgements with the help of text modules selected by an artificial intelligence. This project is the first of its kind in Germany and tests the limits of judicial assistance. The basic strategy paper of the presidents of the higher regional courts from the summer of 2022 clearly shows that a great potential for the use of AI in courts is seen throughout Germany, but that also
boundaries are crossed when judicial decision-making is carried out by AI.</t>
  </si>
  <si>
    <t xml:space="preserve">Le programme FRAUKE a été développé spécifiquement pour les procédures relatives aux droits des passagers aériens conformément au règlement de l'UE 261/2004 pour le tribunal local de Francfort-sur-le-Main. Afin de faire face à la vague de plaintes relatives aux droits des passagers aériens, le tribunal local de Francfort-sur-le-Main a développé ce « configurateur de jugements », qui simplifie et soutient la création de jugements à l'aide de modules de texte sélectionnés par une intelligence artificielle. Ce projet est le premier du genre en Allemagne et teste les limites de l'assistance judiciaire. Le document stratégique de base des présidents des tribunaux régionaux supérieurs de l'été 2022 montre clairement qu'un grand potentiel d'utilisation de l'IA dans les tribunaux est perçu dans toute l'Allemagne, mais que des limites sont également franchies lorsque la prise de décision judiciaire est effectuée par l'intelligence artificielle.
frontières sont franchies lorsque la prise de décision judiciaire est effectuée par l'IA.
</t>
  </si>
  <si>
    <t>https://hessen.de/presse/pressearchiv/hessen-und-brandenburg-kooperieren-beim-ki-projekt-frauke</t>
  </si>
  <si>
    <t>Automated anonymization of court decisions</t>
  </si>
  <si>
    <t>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t>
  </si>
  <si>
    <t>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t>
  </si>
  <si>
    <t>https://govtech.justica.gov.pt/en/portfolio/automated-anonymization-of-court-decisions-ongoing/</t>
  </si>
  <si>
    <t xml:space="preserve">Anonymiseringsapplikationen / Application for anonymization </t>
  </si>
  <si>
    <t xml:space="preserve">Appllication that identifies and anonymizes personal information in documents submitted to the courts. </t>
  </si>
  <si>
    <t xml:space="preserve">Application permettant d'identifier et d'anonymiser les informations personnelles contenues dans les documents soumis aux tribunaux.
</t>
  </si>
  <si>
    <t>(m)INI - Intelligentes Notitia Iustitia</t>
  </si>
  <si>
    <t xml:space="preserve">Application that uses AI to search for legal information in vast volumes of material, cases, law, preparatory work. Presents relevant statistics, has semantic understanding. </t>
  </si>
  <si>
    <t xml:space="preserve">Application qui utilise l'intelligence artificielle pour rechercher des informations juridiques dans de vastes volumes de documents, d'affaires, de lois, de travaux préparatoires. Présente des statistiques pertinentes et dispose d'une compréhension sémantique. 
</t>
  </si>
  <si>
    <t>Textualisation of recordings</t>
  </si>
  <si>
    <t>Performs automated processing of video/audio files to extract the relevant text from recorded oral interventions at trials, hearings and inquests.</t>
  </si>
  <si>
    <t>Effectue le traitement automatisé de fichiers vidéo/audio pour extraire le texte pertinent des interventions orales enregistrées lors de procès, d'audiences et d'enquêtes.</t>
  </si>
  <si>
    <t>Daniel, Info provided by MoJ Spain.</t>
  </si>
  <si>
    <t>Legal and Forensic Dictation Systems</t>
  </si>
  <si>
    <t>Enables specialised transcriptions of legal texts and medical reports</t>
  </si>
  <si>
    <t>Permet la transcription spécialisée de textes juridiques et de rapports médicaux</t>
  </si>
  <si>
    <t>Document anonymizer</t>
  </si>
  <si>
    <t xml:space="preserve">Allows for the recognition of nominal entities that identify the information related to specially protected subjects and proceeds to their anonymisation. </t>
  </si>
  <si>
    <t xml:space="preserve">Permet de reconnaître les entités nominales qui identifient les informations relatives aux sujets spécialement protégés et de procéder à leur anonymisation. </t>
  </si>
  <si>
    <t>Document classifier</t>
  </si>
  <si>
    <t>It allows the self-cataloguing of the documentation received in the judicial offices based on the documentary standards established by the CGPJ.</t>
  </si>
  <si>
    <t>Il permet l'auto-catalogage de la documentation reçue dans les bureaux judiciaires sur la base des normes documentaires établies par le CGPJ.</t>
  </si>
  <si>
    <t>Similarity Analysis</t>
  </si>
  <si>
    <t>It allows locating the same entity (same person) in different parts of the document, and recognising them as the same, despite significant differences in their literals.</t>
  </si>
  <si>
    <t xml:space="preserve">L'outil permet d'introduire tout élément juridique dans un format facile à lire. Pour les personnes présentant une diversité fonctionnelle et ayant des difficultés de compréhension. Des règles standardisées sont appliquées pour rendre les documents accessibles à tous. </t>
  </si>
  <si>
    <t>Easy Reading</t>
  </si>
  <si>
    <t xml:space="preserve">The tool allows the introduction of any legal element in easy reading format. For people with functional diversity who have some comprehension difficulties. Standardised rules are applied to make documents accessible to everyone. </t>
  </si>
  <si>
    <t>Public Prosecutor management system</t>
  </si>
  <si>
    <t>Integration of the "Delfos" intelligent search engine with "Fortuny". Delfos is an AI-driven search engine that performs natural language queries by a predictive text engine. In addition, it automatically filters the results obtained and offers suggested queries. It provides document summaries and  allows legal professionals to consult their own documents, saving time.</t>
  </si>
  <si>
    <t xml:space="preserve">Intégration du moteur de recherche intelligent « Delfos » à « Fortuny ». Delfos est un moteur de recherche piloté par l'IA qui effectue des requêtes en langage naturel à l'aide d'un moteur de texte prédictif. En outre, il filtre automatiquement les résultats obtenus et propose des requêtes suggérées. Il fournit des résumés de documents et permet aux professionnels du droit de consulter leurs propres documents, ce qui leur fait gagner du temps.
</t>
  </si>
  <si>
    <t>Justice Folder</t>
  </si>
  <si>
    <t>Allows interested parties to know the judicial notifications and any other information of the judicial files to which they are party to. The last version includes AI solutions such as Summary service and Document anonymisation.</t>
  </si>
  <si>
    <t>Permet aux parties intéressées de connaître les notifications judiciaires et toute autre information des dossiers judiciaires auxquels elles sont parties. La dernière version inclut des solutions d'intelligence artificielle telles que le service de résumé et l'anonymisation des documents.</t>
  </si>
  <si>
    <t xml:space="preserve">Legal Documents Classification </t>
  </si>
  <si>
    <t>This project was put into service within the UYAP information system as of January 2022 in order to minimise the human burden in the work to be carried out both for the transfer of non-digital physical documents to UYAP, and to determine the relevant document type according to more than 300 categories.</t>
  </si>
  <si>
    <t>Ce projet a été mis en service au sein du système d'information de l'UYAP à partir de janvier 2022 afin de minimiser la charge humaine dans le travail à effectuer à la fois pour le transfert des documents physiques non numériques à l'UYAP, et pour déterminer le type de document pertinent selon plus de 300 catégories.</t>
  </si>
  <si>
    <t>Document Classification in Enforcement Processes</t>
  </si>
  <si>
    <t xml:space="preserve">AI Assisted Enforcement Document Classification Project was developed to facilitate the transfer of archive files to the UYAP system and to minimize human workload. The project automatically detects the document content, classifies the type of documents and presents the recommended document type to the user for approval. This makes it possible to quickly classify data, saving effort and time for the users. </t>
  </si>
  <si>
    <t xml:space="preserve">Le projet de classification des documents d'exécution assistée par IA a été développé pour faciliter le transfert des fichiers d'archives vers le système UYAP et pour minimiser la charge de travail humaine. Le projet détecte automatiquement le contenu du document, classifie le type de document et présente le type de document recommandé à l'utilisateur pour approbation. Il est ainsi possible de classer rapidement les données, ce qui permet aux utilisateurs d'économiser du temps et de l'énergie. </t>
  </si>
  <si>
    <t>Legal Texts Summarising</t>
  </si>
  <si>
    <t>The system analyses and summarises legal documents by identifying important sentences, expressions and concept in the legal context.</t>
  </si>
  <si>
    <t>Le système analyse et résume les documents juridiques en identifiant les phrases, expressions et concepts importants dans le contexte juridique.</t>
  </si>
  <si>
    <t>Object and Slang Detection in Images</t>
  </si>
  <si>
    <r>
      <t>The tool was developed to  tackle  problems experienced with the  "</t>
    </r>
    <r>
      <rPr>
        <sz val="11"/>
        <color rgb="FFC9211E"/>
        <rFont val="Calibri"/>
        <family val="2"/>
        <charset val="1"/>
      </rPr>
      <t>E-Auction</t>
    </r>
    <r>
      <rPr>
        <sz val="11"/>
        <color rgb="FF000000"/>
        <rFont val="Calibri"/>
        <family val="2"/>
        <charset val="1"/>
      </rPr>
      <t xml:space="preserve"> Portal". On the latter, tender pictures are uploaded and sometimes may contain text. While the </t>
    </r>
    <r>
      <rPr>
        <sz val="11"/>
        <color rgb="FFC9211E"/>
        <rFont val="Calibri"/>
        <family val="2"/>
        <charset val="1"/>
      </rPr>
      <t xml:space="preserve">E-Auction </t>
    </r>
    <r>
      <rPr>
        <sz val="11"/>
        <color rgb="FF000000"/>
        <rFont val="Calibri"/>
        <family val="2"/>
        <charset val="1"/>
      </rPr>
      <t>Portal is capable of detecting text, it is not capable to determine whether the text contained is offensive or not. Thus, Object and Slang Detection in Photos was created to filter and avoid such situations.</t>
    </r>
  </si>
  <si>
    <t>Cet outil a été développé pour résoudre les problèmes rencontrés avec le "portail d'enchères électroniques". Sur ce dernier, des images d'appels d'offres sont téléchargées et peuvent parfois contenir du texte. Bien que le portail d'enchères électroniques soit capable de détecter du texte, il n'est pas en mesure de déterminer si le texte contenu est offensant ou non. C'est pourquoi la détection d'objets et d'argot dans les photos a été créée pour filtrer et éviter de telles situations.</t>
  </si>
  <si>
    <t>Estimation of Terrorist Organisation Information</t>
  </si>
  <si>
    <t>The AI system has been developed to identify suspect information of organisations during investigation and ongoing prosecution. As a result of the tests, an accuracy of over 80% was reported and the service went live as of December 2022.</t>
  </si>
  <si>
    <t xml:space="preserve">Le système d'IA a été développé pour identifier les informations suspectes des organisations au cours des enquêtes et des poursuites judiciaires. Les tests ont révélé une précision de plus de 80 % et le service a été mis en service en décembre 2022.
</t>
  </si>
  <si>
    <t>Smart Chat-bot</t>
  </si>
  <si>
    <r>
      <t xml:space="preserve">The  project was developed to reduce the load of the Call Centre and provide better services for the users. It was developed  with open source and free software, and put into service in the </t>
    </r>
    <r>
      <rPr>
        <sz val="11"/>
        <color rgb="FFC9211E"/>
        <rFont val="Calibri"/>
        <family val="2"/>
        <charset val="1"/>
      </rPr>
      <t>E-Auction</t>
    </r>
    <r>
      <rPr>
        <sz val="11"/>
        <color rgb="FF000000"/>
        <rFont val="Calibri"/>
        <family val="2"/>
        <charset val="1"/>
      </rPr>
      <t xml:space="preserve"> Portal, the Institution Portal and the Citizen Portal Information Systems.</t>
    </r>
  </si>
  <si>
    <t>Le projet a été développé pour réduire la charge du centre d'appel et fournir de meilleurs services aux utilisateurs. Il a été développé avec des logiciels libres et open source, et mis en service dans les systèmes d'information du portail d'enchères électroniques, du portail institutionnel et du portail citoyen.</t>
  </si>
  <si>
    <t>Estimation of the Correct Document Type in Miscellaneous Works</t>
  </si>
  <si>
    <t>By determining the correct document type filed as "Miscellaneous Works" at Criminal Courts, it will be ensured that the types of documents entered as ‘Other’ will be reduced, and the correct type of document will be determined, leading to  correct outputs  in audits and statistics.</t>
  </si>
  <si>
    <t>En déterminant le type de document correct classé comme "travaux divers" dans les tribunaux pénaux, on s'assurera que les types de documents entrés comme "autres" seront réduits et que le type de document correct sera déterminé, ce qui conduira à des résultats corrects dans les audits et les statistiques.</t>
  </si>
  <si>
    <t>Speech to Text</t>
  </si>
  <si>
    <t xml:space="preserve">The Dictation System, transcribing speech into text facilitates the work of judges when reasoning decisions, and of prosecutors when writing indictments. The system contributes to faster and more efficient writing processes. </t>
  </si>
  <si>
    <t xml:space="preserve">Le système de dictée, qui transcrit la parole en texte, facilite le travail des juges lorsqu'ils motivent leurs décisions et celui des procureurs lorsqu'ils rédigent des actes d'accusation. Le système contribue à des processus de rédaction plus rapides et plus efficaces. </t>
  </si>
  <si>
    <t>Information Extraction from Legal Documents</t>
  </si>
  <si>
    <t xml:space="preserve">The AI model dentifies file information such as: reference number, file number, relevant court name, case number, decision number. </t>
  </si>
  <si>
    <t xml:space="preserve">Le modèle d'IA identifie les informations du dossier telles que : le numéro de référence, le numéro de dossier, le nom de la juridiction concernée, le numéro de l'affaire, le numéro de la décision. </t>
  </si>
  <si>
    <t>Inconsistency Detection in Bill of Indictment</t>
  </si>
  <si>
    <t>The system aims at saving time for Public Prosecutors in the control of indictments by identifying the inconsistencies between the identity information of the parties, party status, referral items, name of the offence, place and time of the offence and the records in the UYAP database.  The system shall ensure that indictments that turn into a public case process are created with the correct data.</t>
  </si>
  <si>
    <t xml:space="preserve">Le système vise à faire gagner du temps aux procureurs dans le contrôle des actes d'accusation en identifiant les incohérences entre les informations sur l'identité des parties, le statut des parties, les éléments de référence, le nom de l'infraction, le lieu et l'heure de l'infraction et les enregistrements dans la base de données de l'UYAP.  Le système doit garantir que les actes d'accusation qui deviennent une procédure publique sont créés avec les données correctes.
</t>
  </si>
  <si>
    <t xml:space="preserve">Belonging Decision Estimation </t>
  </si>
  <si>
    <r>
      <t xml:space="preserve">The "Belonging Decision </t>
    </r>
    <r>
      <rPr>
        <sz val="11"/>
        <color rgb="FFC9211E"/>
        <rFont val="Calibri"/>
        <family val="2"/>
        <charset val="1"/>
      </rPr>
      <t>Estimation</t>
    </r>
    <r>
      <rPr>
        <sz val="11"/>
        <color rgb="FF000000"/>
        <rFont val="Calibri"/>
        <family val="2"/>
        <charset val="1"/>
      </rPr>
      <t xml:space="preserve"> system", helps  in the correct and fast allocation of decisions to the Cour of Appeal. </t>
    </r>
  </si>
  <si>
    <t xml:space="preserve">Le projet "Belonging Decision Estimation" (estimation de la décision d'appartenance) contribue à l'attribution rapide et correcte des décisions à la cour d'appel. </t>
  </si>
  <si>
    <t>Small Claims Tribunal</t>
  </si>
  <si>
    <t>Singapore</t>
  </si>
  <si>
    <t>The generative AI system, which answers questions based on pre-loaded data, aims at helping litigants with their claims or defence. The system should be able to inform the litigant how to proceed with his claim and point to the relevant websites and forms.
The system would ideally also be able to point the litigant to the material he should have, such as receipts, and possibly point to settlement.</t>
  </si>
  <si>
    <t xml:space="preserve">Le système d'IA générative, qui répond aux questions sur la base de données préchargées, vise à aider les parties à un litige à présenter leurs demandes ou leur défense. Le système devrait être en mesure d'informer le justiciable sur la manière de procéder avec sa demande et de lui indiquer les sites web et les formulaires appropriés. Idéalement, le système devrait également être en mesure d'indiquer au justiciable les documents qu'il devrait avoir, tels que les reçus, et éventuellement d'indiquer un règlement.
</t>
  </si>
  <si>
    <t>https://www.channelnewsasia.com/singapore/artificial-intelligence-court-small-claims-singapore-chatgpt-3801756</t>
  </si>
  <si>
    <t>Daniel</t>
  </si>
  <si>
    <t>Chatbot on neighbour disputes</t>
  </si>
  <si>
    <t xml:space="preserve">The system helps citzens to decide on actions concerning neighbour disputes. Pre-defined and individual questions are possible. </t>
  </si>
  <si>
    <t xml:space="preserve">Le système aide les citoyens à décider des mesures à prendre en cas de conflit de voisinage. Des questions prédéfinies et individuelles sont possibles. </t>
  </si>
  <si>
    <t>https://go.gov.sg/chat-neighbour</t>
  </si>
  <si>
    <t>Chatbot on crime cases</t>
  </si>
  <si>
    <t xml:space="preserve">The system helps citzens to decide on actions concerning crime cases. Pre-defined and individual questions are possible. </t>
  </si>
  <si>
    <t xml:space="preserve">Le système aide les citoyens à décider des actions à entreprendre dans les affaires criminelles. Des questions prédéfinies et individuelles sont possibles. </t>
  </si>
  <si>
    <t>https://go.gov.sg/chat-crime</t>
  </si>
  <si>
    <t>Chatbot on wills</t>
  </si>
  <si>
    <t xml:space="preserve">The system helps citzens to decide on actions concerning wills. Pre-defined and individual questions are possible. </t>
  </si>
  <si>
    <t xml:space="preserve">Le système aide les citoyens à décider des actions concernant les testaments. Des questions prédéfinies et individuelles sont possibles. </t>
  </si>
  <si>
    <t>https://go.gov.sg/chat-probate</t>
  </si>
  <si>
    <t>Generative language model of justice (GSJ)/ Generatives Sprachmodell der Justiz (GSJ)</t>
  </si>
  <si>
    <t>Technically informed adaptation of modern large language models (LLMs, comparable with e.g. the GPT or BERT family) in the judicial context, adaptation to security requirements, evaluation based on two to three use cases in the context of tests in real operation based on real analysis tasks. Client Bavarian State Ministry of Justice / Ministry of Justice of North Rhine-Westphalia.</t>
  </si>
  <si>
    <t xml:space="preserve">Adaptation techniquement informée des grands modèles linguistiques modernes (LML, comparables par exemple à la famille GPT ou BERT) dans le contexte judiciaire, adaptation aux exigences de sécurité, évaluation basée sur deux à trois cas d’utilisation dans le cadre de tests en fonctionnement réel basés sur des tâches d’analyse. Client : 
Ministère bavarois de la Justice / Ministère de la Justice de Rhénanie du Nord-Ouest.  </t>
  </si>
  <si>
    <t>Concept/planned</t>
  </si>
  <si>
    <t xml:space="preserve">Automated anonymisation and pseudonymisation of court decisions/ Automatische Anonymisierung und Pseudonymisierung von Gerichtsentscheidungen </t>
  </si>
  <si>
    <t xml:space="preserve">Court decisions are automatically anonymised with a view to publication; current deployment scenarios: civil law traffic disputes and residential tenancy matters; perspective: court decisions of all instances, also in other specialist areas; requirement/goal: such a high degree of correctness that de-anonymisation is no longer possible (e.g. anonymisation not only of the name, but also of "red house" or the company in small towns) Client:  Bavarian State Ministry of Justice.
</t>
  </si>
  <si>
    <t>Les décisions des tribunaux sont automatiquement anonymisées en vue de leur publication; scénarios de déploiement actuels : litiges de trafic civil et questions de location résidentielle; perspective : décisions des tribunaux de toutes les instances, également dans d’autres domaines spécialisés; exigence/objectif : un tel degré d’exactitude que la dépersonnalisation n’est plus possible (par ex. anonymisation non seulement du nom, mais aussi de la « maison rouge » ou de l’entreprise dans les petites villes) Client :  Ministère bavarois de la justice.</t>
  </si>
  <si>
    <t>Real-world laboratory "Structural projects for party submissions in civil proceedings": Development and testing of an electronic basic document / Reallabor "Strukturvorhaben für den parteivortrag im Zivilprozess": Entwicklung und Erprobung eines elektronischen Basisdokuments</t>
  </si>
  <si>
    <t xml:space="preserve">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t>
  </si>
  <si>
    <t xml:space="preserve">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
</t>
  </si>
  <si>
    <t>Ocos: Hybrid AI for the processing of air passenger complaints / Ocos: Hybride KI für die Bearbeitung von Fluggastklagen</t>
  </si>
  <si>
    <t xml:space="preserve">Implementation of a proof of concept to support judicial practice in the processing of air passenger claims: Creation of a module-based draft decision in the use case: Final judgement in simplified proceedings without a statement of defence
Client: Bavarian State Ministry of Justice
</t>
  </si>
  <si>
    <t xml:space="preserve">Mise en œuvre d’une preuve de concept pour soutenir la pratique judiciaire dans le traitement des réclamations de passagers aériens : Création d’un projet de décision basé sur un module dans le cas d’utilisation : Jugement final dans une procédure simplifiée sans défense
Client : Ministère bavarois de la justice
</t>
  </si>
  <si>
    <t>Hybrid AI inparticular for the processing of diesel claims (target group: decision-makers of the 1st instance) / Hybride KI insbesondere für die Bearbeitung von Dieselklagen (Zielgruppe: Entscheider der 1. Instanz)</t>
  </si>
  <si>
    <t xml:space="preserve">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
Client: Bavarian State Ministry of Justice
</t>
  </si>
  <si>
    <t xml:space="preserve">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
Client : Ministère bavarois de la justice
</t>
  </si>
  <si>
    <t>Expert system for the categorisation of first instance decisions on diesel claims (target group: 2nd instance decision-makers) / Expertensystem zur Kategorisierung von erstinstanzlichen Entscheidungen über Dieselkalgen (Zielgruppe: Entscheider der 2. Instanz)</t>
  </si>
  <si>
    <t>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 Client: Bavarian State Ministry of Justice</t>
  </si>
  <si>
    <t>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 Client :Ministère bavarois de la justice</t>
  </si>
  <si>
    <t>Dark Web Monitor for cataloguing and indexing the darknet and blockchain analysis tool GraphSense for tracking payment flows with cryptocurrencies / Dark Web Monitor zur Katalogisierung und Indizierung des Darknets und Blockchain-Analysetool GraphSense zur Nachverfolgung von Zahlungsströhmungen und Kryptowährungen</t>
  </si>
  <si>
    <t>Even more effective action against the trade in stolen data, drugs, weapons or child pornography on the digital black market by developing a "search engine for the darknet" based on the needs of law enforcement authorities; in addition: using a blockchain analysis tool to better track cryptocurrency flows and thus be able to follow the "trail of money".
Client: Bavarian State Ministry of Justice / Bavarian Cybercrime Centre</t>
  </si>
  <si>
    <t xml:space="preserve">Une action encore plus efficace contre le commerce de données volées, de drogues, d’armes ou de pornographie juvénile sur le marché noir numérique en développant un « moteur de recherche pour le darknet » basé sur les besoins des autorités policières; en plus : utiliser un outil d’analyse blockchain pour mieux suivre les flux de crypto-monnaie et ainsi pouvoir suivre la « piste de l’argent ». Client : Ministère bavarois de la Justice / Centre bavarois de lutte contre la cybercriminalité
</t>
  </si>
  <si>
    <t>Fake Shop Detector</t>
  </si>
  <si>
    <t>Even more effective action against fake shops. Fake Shop Detector uses AI to check unknown online shops for more than 21,000 features in real time; the detector issues an alert when a suspicious shop is detected. Fake Shop Detector thus offers considerable potential for investigators to identify fake shops at an early stage. The tool could also help to better recognise the structures behind the offences and make investigations even more efficient.
Client: Bavarian State Ministry of Justice / Bavarian Cybercrime Centre</t>
  </si>
  <si>
    <t>Une action encore plus efficace contre les faux magasins. Fake Shop Detector utilise l’IA pour vérifier les boutiques en ligne inconnues pour plus de 21 000 fonctionnalités en temps réel; le détecteur émet une alerte lorsqu’un magasin suspect est détecté. Fake Shop Detector offre donc un potentiel considérable aux enquêteurs pour identifier les faux magasins à un stade précoce. L’outil pourrait également aider à mieux reconnaître les structures derrière les infractions et à rendre les enquêtes encore plus efficaces.
Client : Ministère bavarois de la Justice / Centre bavarois de lutte contre la cybercriminalité</t>
  </si>
  <si>
    <t>Juris Collect</t>
  </si>
  <si>
    <t xml:space="preserve">Integration, structuring and categorisation of own content/decisions in juris
Client: Court of Appeal Berlin </t>
  </si>
  <si>
    <t xml:space="preserve">Intégration, structuration et catégorisation de ses propres contenus/de la jurisprudence 
Client : Cour d’appel Berlin
</t>
  </si>
  <si>
    <t>Speech Recognition / Spracherkennung</t>
  </si>
  <si>
    <t xml:space="preserve">Availability of speech recognition as widely as possible, especially for judges
Client: Court of Appeal berlin
</t>
  </si>
  <si>
    <t xml:space="preserve">Disponibilité de la reconnaissance vocale aussi largement que possible, en particulier pour les juges
Client : Cour d’appel Berlin
</t>
  </si>
  <si>
    <t xml:space="preserve">Structuring and text recognition tool / Strukturierungs und Texterkennungswerkzeug </t>
  </si>
  <si>
    <t xml:space="preserve">Creation of an AI analysis infrastructure, in particular for handling mass claims and complex proceedings
Client: Court of Appeal/Senate Administration for Justice and Consumer Protection
</t>
  </si>
  <si>
    <t xml:space="preserve">Création d’une infrastructure d’analyse IA, notamment pour le traitement des réclamations de masse et des procédures complexes
Client : Cour d’appel/Administration du Sénat pour la justice et la protection des consommateurs
</t>
  </si>
  <si>
    <t>MAKI - "Mass procedure assistance with the help of AI" / Massenverfahrensassistenz mithilfe von KI</t>
  </si>
  <si>
    <t xml:space="preserve">A software is being developed and tested that groups mass proceedings, recognises similarities, offers suitable decision patterns and individualises them with the respective metadata of the case to be decided. The software is configurable and therefore suitable for any mass procedure. The "Ask my document" function has also been implemented. Various LLMs are used to develop system prompts and standardise different application scenarios (e.g. the summary of the hearing in asylum cases or the elaboration of contradictions in statements, etc.). The project is scientifically supported by the Georg-August-University with a project team of currently 7 people who are developing legal and technical recommendations for the use of AI to support judicial work.
Client: Ministry of Justice of Lower Saxony
</t>
  </si>
  <si>
    <t xml:space="preserve">Un logiciel est en cours de développement et de test qui regroupe les procédures de masse, reconnaît les similitudes, offre des schémas de décision appropriés et les individualise avec les métadonnées respectives du cas à trancher. Le logiciel est configurable et donc adapté à toute procédure de masse. La fonction « Demander mon document » a également été mise en oeuvre. Divers LML sont utilisés pour élaborer des invites du système et normaliser différents scénarios de demande (i.e. le résumé de l’audience dans les affaires d’asile ou l’élaboration de contradictions dans les déclarations, etc.). Le projet est soutenu scientifiquement par l’Université Georg-August avec une équipe de projet de 7 personnes qui développent actuellement des recommandations juridiques et techniques pour l’utilisation de l’IA pour soutenir le travail judiciaire.
Client : Ministère de la Justice de Basse-Saxe
</t>
  </si>
  <si>
    <t>Post Processing/ LeA</t>
  </si>
  <si>
    <t xml:space="preserve">Development of a licence-free anonymisation tool for the judiciary with the possibility of individual licensing/post-processing, keywording, summarisation and support for the creation of guidelines using a large language model. The entire publication process is to be automated, including the recording of metadata in the metadata tool.
Client: Ministry of Justice of Lower Saxony
</t>
  </si>
  <si>
    <t xml:space="preserve">Développement d’un outil d’anonymisation sans licence pour le système judiciaire avec la possibilité d’une licence individuelle / post-traitement, de la formulation de clés, de la synthèse et du soutien à la création de lignes directrices en utilisant un modèle linguistique étendu. L’ensemble du processus de publication doit être automatisé, y compris l’enregistrement des métadonnées dans l’outil de métadonnées.
Client : Ministère de la Justice de Basse-Saxe
</t>
  </si>
  <si>
    <t xml:space="preserve">INFOService Justice </t>
  </si>
  <si>
    <t xml:space="preserve">An "INFOService" has been set up at the Osterholz-Scharmbeck Local Court as a state-wide central office for answering citizens' enquiries in the area of ordinary jurisdiction, which can be contacted by email or telephone. The employees working there have access to a knowledge database that enables fast, AI-supported access to the underlying data sources (e.g. through guided dialogues [similar to chatbots]).
Client: Ministry of Justice of Lower Saxony
</t>
  </si>
  <si>
    <t xml:space="preserve">Un « INFOService » a été mis en place au tribunal  de Osterholz-Scharmbeck en tant que bureau central à l’échelle de l’État pour répondre aux demandes des citoyens dans le domaine de la juridiction ordinaire, qui peut être contacté par courrier électronique ou par téléphone. Les employés qui y travaillent ont accès à une base de données de connaissances qui permet un accès rapide aux sources de données sous-jacentes (i.e., au moyen de dialogues guidés [semblables aux robots conversationnels]).
Client : Ministère de la Justice de Basse-Saxe
</t>
  </si>
  <si>
    <t>Automated dispatch to bailiffs (RPA) / Automatisierter Versabd and die Gerichtsvollzieher (RPA)</t>
  </si>
  <si>
    <t>Automated dispatch of electronic messages received by the court (at the bailiff distribution centre - GVST) to the bailiffs (GV) due to the constantly increasing number of entries at the GVST.
There are plans to develop an algorithmic system (software) to automatically forward electronic submissions from the GVST to the GV, which will replace the previous manual transmission by employees. Among other things, this should ensure faster receipt at the GV, noticeable time savings at the GVST and a reduction in manual misrouting. The prototype is expected to be completed by mid-2024.
Client: Saxon State Ministry of Justice and for Democracy, Europe and Equality</t>
  </si>
  <si>
    <t xml:space="preserve">Envoi automatisé des messages électroniques reçus par le tribunal (au centre de distribution des huissiers - GVST) aux huissiers (GV) en raison du nombre sans cesse croissant d’entrées au GVST.
Il est prévu de mettre au point un système algorithmique (logiciel) pour transmettre automatiquement les soumissions électroniques du GVST au GV, qui remplacera la transmission manuelle précédente par les employés. Entre autres choses, cela devrait assurer une réception plus rapide au GV, un gain de temps notable au GVST et une réduction des erreurs d’acheminement manuelles. Le prototype devrait être achevé d’ici la mi-2024.
Client : Ministère de la Justice et de la Démocratie, de l’Europe et de l’Égalité
</t>
  </si>
  <si>
    <t>Bailiffs</t>
  </si>
  <si>
    <t xml:space="preserve">Better preparation of mass
/procedures; intuitive, low-threshold approach.
Project phases: 
File structuring. Development of a
assistant for analysing the content of files (currently
inspection assistant "Bau"); prospective development of an inspection assistant "light"; later possibly connection to the E-file
Client: State of Hesse, HMdJ / IT centre of the Hessian justice system
</t>
  </si>
  <si>
    <t xml:space="preserve">Meilleure préparation de la masse
/procédures; approche intuitive à bas seuil.
 Phases du projet : 
Structuration des dossiers. Développement d’un assistant pour l’analyse du contenu des fichiers (actuellement
assistant d’inspection « Bau»); développement prospectif d’un assistant d’inspection « léger»; éventuellement connexion ultérieure au fichier électronique
Client : État de Hesse, HMdJ / Centre informatique de la justice de Hesse
</t>
  </si>
  <si>
    <t>Use of AI technologies for metadata extraction in the justice system / Einsatz von KI-Technologien zur Metadatenextraktion in der Justiz</t>
  </si>
  <si>
    <t xml:space="preserve">Transfer of procedurally relevant metadata in mass proceedings, reduction of manual activities in the processing of incoming external documents
Client: Authority for Justice and Consumer Protection (BJV), Hamburg
</t>
  </si>
  <si>
    <t xml:space="preserve">Transfert de métadonnées pertinentes sur le plan procédural dans les procédures de masse, réduction des activités manuelles dans le traitement des documents externes entrants
Client : Autorité pour la justice et la protection des consommateurs (BJV), Hambourg
</t>
  </si>
  <si>
    <t>Chatbot for the legal application service / Chatbot für den Rechtsantragsdienst</t>
  </si>
  <si>
    <t xml:space="preserve">Development and testing of a chatbot for defined use cases in the legal application service
Client: BMJV / Joint IT of the Hanseatic Higher Regional Court and the Hamburg district courts
</t>
  </si>
  <si>
    <t xml:space="preserve">Développement et test d’un chatbot pour des cas d’utilisation définis dans le service d’enregistrement juridique
Client : BMJV / Joint IT du Tribunal régional supérieur hanséatique et des tribunaux de proximité de Hambourg
</t>
  </si>
  <si>
    <t>Anonymization of judgments / Einsatz von KI-Technologien zur anonymisierung von Urteilen</t>
  </si>
  <si>
    <t xml:space="preserve">Use of AI technologies to anonymize judgments
Client: Department of Justice and Consumer Protection, Hamburg
</t>
  </si>
  <si>
    <t xml:space="preserve">Utilisation de technologies d’IA pour anonymiser les jugements
Client:  Autorité de justice et de protection des consommateurs, Hambourg
</t>
  </si>
  <si>
    <t>Assistant judge for Social Courts / Richterassistenz and Sonzialgerichten</t>
  </si>
  <si>
    <t xml:space="preserve">Use of AI technologies for more efficient handling of mass proceedings at the social court (especially facilitating document organization, but also case review and draft verdicts)
Client: Department of Justice and Consumer Protection
</t>
  </si>
  <si>
    <t xml:space="preserve">Utilisation des technologies de l’IA pour une gestion plus efficace des procédures de masse au tribunal social (notamment pour faciliter l’organisation des documents, mais aussi pour l’examen des cas et les projets de jugement)
Client :  Autorité de justice et de protection des consommateurs
</t>
  </si>
  <si>
    <t>ASTRA (analysis and structuring of extensive work) / Analyse und Strukturierung umfangreicher Akten</t>
  </si>
  <si>
    <t xml:space="preserve">Assisting judges in penetrating large-scale civil files with manual and semi-automatic structuring tools
Client: Ministry of Justice and Migration BW
</t>
  </si>
  <si>
    <t xml:space="preserve">Aider les juges à gérer des dossiers civils volumineux à l’aide d’outils de structuration manuels et semi-automatiques
Client :  Ministère de la Justice et de la Migration BW
</t>
  </si>
  <si>
    <t>JANO (Judicial anonymisation) / Justiz-Anonymisierung</t>
  </si>
  <si>
    <t xml:space="preserve">Support of judicial staff in the anonymisation of judgments and decisions by semi-automatic recognition and replacement of personal data
Client: Ministry of Justice and Migration BW
</t>
  </si>
  <si>
    <t xml:space="preserve">Aider les membres de la justice à anonymiser les jugements et les décisions par la reconnaissance semi-automatique et le remplacement des données à caractère personnel
Client :  Ministère de la Justice et de la Migration BW
</t>
  </si>
  <si>
    <t>Machine Translation / Maschinelle Übersetzung</t>
  </si>
  <si>
    <t xml:space="preserve">Legal translation tool that meets the high standards of data protection and information security
Client: Ministry of Justice and Migration BW
</t>
  </si>
  <si>
    <t xml:space="preserve">Outil de traduction pour les professionnels de la justice répondant aux exigences de confidentialité et de sécurité de l’information
Client : Ministère de la Justice et de la Migration BW
</t>
  </si>
  <si>
    <t>Codefy - Apeal decisions with focus Construction and Insurance/ Berufungsakten mit Fokus auf Bau und Versicherungen</t>
  </si>
  <si>
    <t xml:space="preserve">Support of judges in the penetration of extensive appeal files by means of comprehensive and semi-automatic structuring tools and a decision database
Client: Ministry of Justice, Mainz and Higher Regional Court Koblenz
</t>
  </si>
  <si>
    <t xml:space="preserve">Assistance aux juges pour la pénétration d’actes d’appel volumineux par des outils de structuration simples et semi-automatiques ainsi qu’une base de données de décisions
Client :  Ministère de la Justice, de Mayence et de l’Oberlandesgericht de Coblence
</t>
  </si>
  <si>
    <t>E-Manual</t>
  </si>
  <si>
    <t xml:space="preserve">Support for all eAkte users through a chat bot that generates answers to specific user questions (AI-based interactive user manual).
Client: Ministry of Justice, Mainz
</t>
  </si>
  <si>
    <t>Assistance de tous les utilisateurs d’eAkte grâce à un bot de chat qui génère des réponses à des questions spécifiques des utilisateurs (manuel d’utilisation interactif basé sur l’IA).
Client:  Ministère de la Justice, Mayence</t>
  </si>
  <si>
    <t>AI decision maker assistant with a focus on civil law /KI-Entscheider/innen-Assitenz mit Fokus auf den Zivilbereich</t>
  </si>
  <si>
    <t xml:space="preserve">Support of the judicial department by an electronic assistant for decision-makers, who can be asked about the eAkte and should summarize file contents. The project focuses on civil matters.
Objectives include the automated design of a relational table or similar (separation of disputed and undisputed facts) and a search assistant.
Client: Ministry of Justice, Mainz
</t>
  </si>
  <si>
    <t xml:space="preserve">Objectif du projet:
Soutien du secteur judiciaire par un assistant électronique pour les décideurs/élues, qui peut être interrogé sur le dossier électronique et doit résumer le contenu du dossier. Le projet se concentre sur le domaine des affaires civiles.
Les objectifs sont, entre autres, la conception automatisée d’un tableau de relations ou similaire (séparation des faits litigieux et incontestés) ainsi qu’un test de recherche.
Client :  Ministère de la Justice, Mayence
</t>
  </si>
  <si>
    <t>Predictive Jurisprudence (Genoca, Pisa)</t>
  </si>
  <si>
    <t xml:space="preserve">The initiative of Genoa Second Instance Court is part of the Predictive Justice project of the Pisa Superior School Sant'Anna. Its aim is the recognition of jurisprudential orientations, which can provide judges with synthetic and analytical data to evaluate the corectness of their decisions. It has been applied to: divorce proceedings, compensation for non-pecuniary damages, and compensation for damage caused by stress and work bullying. </t>
  </si>
  <si>
    <t>L'initiative du tribunal de deuxième instance de Gênes fait partie du projet Predictive Justice de l'école supérieure Sant'Anna de Pise. Son objectif est la reconnaissance des orientations jurisprudentielles, qui peuvent fournir aux juges des données synthétiques et analytiques pour évaluer le bien-fondé de leurs décisions. Il a été appliqué aux procédures de divorce, à l'indemnisation des dommages non pécuniaires et à l'indemnisation des dommages causés par le stress et le harcèlement moral au travail.</t>
  </si>
  <si>
    <t xml:space="preserve">https://www.santannapisa.it/it/news/locchio-della-tecnologia-sulla-giustizia-di-genova-unintelligenza-artificiale-potra-prevedere </t>
  </si>
  <si>
    <t xml:space="preserve">TIPKO / Speech to text </t>
  </si>
  <si>
    <t>The system directly transforms the audio recordings to text, based on machine learning and ontology of Slovene language.</t>
  </si>
  <si>
    <t>Le système transforme directement les enregistrements audio en texte, sur la base de l'apprentissage automatique et de l'ontologie de la langue slovène.</t>
  </si>
  <si>
    <t>The 206 system</t>
  </si>
  <si>
    <t xml:space="preserve">https://www.sixthtone.com/news/1003496/shanghai-court-adopts-new-ai-assistant </t>
  </si>
  <si>
    <t>AI-assisted sentencing</t>
  </si>
  <si>
    <t>https://www.chinadaily.com.cn/cndy/2019-04/18/content_37459601.htm</t>
  </si>
  <si>
    <t xml:space="preserve">Mobile MiniCourt </t>
  </si>
  <si>
    <t xml:space="preserve">The Mobile MiniCourt is a WeChat Applet (China's largest social media)  allowing parties living abroad to file a lawsuit in a Chinese court on the Internet, by completing the relevant operations on the mobile online platform with a mobile device.  The platform has a modular design, currently comprising: case filing, service, evidence exchange, mediation, court hearing, and enforcement. It introduces technologies, such as facial recognition, electronic signatures and multi-access real-time audio and video interaction. </t>
  </si>
  <si>
    <t>https://www.chinajusticeobserver.com/a/chinese-courts-on-smart-phones</t>
  </si>
  <si>
    <t xml:space="preserve">The Hangzhou Internet Court </t>
  </si>
  <si>
    <t xml:space="preserve">http://www.ezhejiang.gov.cn/2022-08/23/c_804705.htm </t>
  </si>
  <si>
    <t xml:space="preserve">AI speech recognition </t>
  </si>
  <si>
    <t>UNESCO MOOC on AI and the Rule of Law: https://www.judges.org/ai_and_law/english/</t>
  </si>
  <si>
    <t>https://oberlandesgericht-celle.niedersachsen.de/download/184478/Grundlagenpapier_der_Arbeitsgruppe_zum_Einsatz_von_KI_und_algorithmischen_Systemen_in_der_Justiz.pdf</t>
  </si>
  <si>
    <t>Juges/greffiers</t>
  </si>
  <si>
    <t>Gestion</t>
  </si>
  <si>
    <t>Procureurs/greffiers</t>
  </si>
  <si>
    <t>Huissiers de justice</t>
  </si>
  <si>
    <t>Concept/prévu</t>
  </si>
  <si>
    <t>Version pilote/bêta</t>
  </si>
  <si>
    <t>Spécifique au tribunal</t>
  </si>
  <si>
    <t xml:space="preserve">National </t>
  </si>
  <si>
    <t>2 - Online dispute resolution</t>
  </si>
  <si>
    <t>2 - Résolution automatisée des litiges</t>
  </si>
  <si>
    <t>3 - Prediction of litigation outcomes</t>
  </si>
  <si>
    <t>4 - Aide à la décision</t>
  </si>
  <si>
    <t>5 - Anonymisation et pseudonymisation</t>
  </si>
  <si>
    <t>6 - Triage, attribution et automatisation des flux de travail</t>
  </si>
  <si>
    <t>7 - Enregistrement, transcription et traduction</t>
  </si>
  <si>
    <t>8 - Services d'information/assistance</t>
  </si>
  <si>
    <t xml:space="preserve">
Argentine</t>
  </si>
  <si>
    <t>Inde</t>
  </si>
  <si>
    <t>Columbia</t>
  </si>
  <si>
    <t>Colombie</t>
  </si>
  <si>
    <t>Singapour</t>
  </si>
  <si>
    <t xml:space="preserve">6 - Triage, attribution et automatisation des flux de travail; </t>
  </si>
  <si>
    <t xml:space="preserve">7 - Enregistrement, transcription et traduction; </t>
  </si>
  <si>
    <t xml:space="preserve">5 - Anonymisation et pseudonymisation; </t>
  </si>
  <si>
    <t xml:space="preserve">8 - Services d'information/assistance; </t>
  </si>
  <si>
    <t>6 - Triage, attribution et automatisation des flux de travail; 5 - Anonymisation et pseudonymisation</t>
  </si>
  <si>
    <t xml:space="preserve">4 - Aide à la décision; </t>
  </si>
  <si>
    <t>8 - Services d'information/assistance; 4 - Aide à la décision</t>
  </si>
  <si>
    <t xml:space="preserve">2 - Résolution automatisée des litiges; </t>
  </si>
  <si>
    <t>1 - Recherche documentaire; 4 - Aide à la décision</t>
  </si>
  <si>
    <t>4 - Aide à la décision; 1 - Recherche documentaire</t>
  </si>
  <si>
    <t>1 - Recherche documentaire; 6 - Triage, attribution et automatisation des flux de travail</t>
  </si>
  <si>
    <t>6 - Triage, attribution et automatisation des flux de travail; 1 - Recherche documentaire</t>
  </si>
  <si>
    <t>Batch 4</t>
  </si>
  <si>
    <t>Batch 5</t>
  </si>
  <si>
    <t>93</t>
  </si>
  <si>
    <t>94</t>
  </si>
  <si>
    <t>95</t>
  </si>
  <si>
    <t>96</t>
  </si>
  <si>
    <t>97</t>
  </si>
  <si>
    <t>98</t>
  </si>
  <si>
    <t>100</t>
  </si>
  <si>
    <t>104</t>
  </si>
  <si>
    <t>106</t>
  </si>
  <si>
    <t>108</t>
  </si>
  <si>
    <t>109</t>
  </si>
  <si>
    <t>110</t>
  </si>
  <si>
    <t>111</t>
  </si>
  <si>
    <t>112</t>
  </si>
  <si>
    <t>113</t>
  </si>
  <si>
    <t>114</t>
  </si>
  <si>
    <t>115</t>
  </si>
  <si>
    <t>116</t>
  </si>
  <si>
    <t>117</t>
  </si>
  <si>
    <t>118</t>
  </si>
  <si>
    <t>120</t>
  </si>
  <si>
    <t>121</t>
  </si>
  <si>
    <t>122</t>
  </si>
  <si>
    <t>123</t>
  </si>
  <si>
    <t>The tool was developed to  tackle  problems experienced with the  "E-Auction Portal". On the latter, tender pictures are uploaded and sometimes may contain text. While the E-Auction Portal is capable of detecting text, it is not capable to determine whether the text contained is offensive or not. Thus, Object and Slang Detection in Photos was created to filter and avoid such situations.</t>
  </si>
  <si>
    <t>124</t>
  </si>
  <si>
    <t>125</t>
  </si>
  <si>
    <t>The  project was developed to reduce the load of the Call Centre and provide better services for the users. It was developed  with open source and free software, and put into service in the E-Auction Portal, the Institution Portal and the Citizen Portal Information Systems.</t>
  </si>
  <si>
    <t>126</t>
  </si>
  <si>
    <t>127</t>
  </si>
  <si>
    <t>128</t>
  </si>
  <si>
    <t>129</t>
  </si>
  <si>
    <t>130</t>
  </si>
  <si>
    <t xml:space="preserve">The "Belonging Decision Estimation system", helps  in the correct and fast allocation of decisions to the Cour of Appeal. </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</si>
  <si>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</si>
  <si>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</si>
  <si>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</si>
  <si>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</si>
  <si>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</si>
  <si>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</si>
  <si>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</si>
  <si>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</si>
  <si>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</si>
  <si>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</si>
  <si>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</si>
  <si>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</si>
  <si>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</si>
  <si>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</si>
  <si>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</si>
  <si>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</si>
  <si>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</si>
  <si>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</si>
  <si>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</si>
  <si>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</si>
  <si>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</si>
  <si>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</si>
  <si>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</si>
  <si>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</si>
  <si>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</si>
  <si>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</si>
  <si>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</si>
  <si>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</si>
  <si>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</si>
  <si>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</si>
  <si>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</si>
  <si>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</si>
  <si>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2 - Résolution automatisée des litiges; 8 - Services d'information/assistance</t>
  </si>
  <si>
    <t>7 - Enregistrement, transcription et traduction; 8 - Services d'information/assistance</t>
  </si>
  <si>
    <t>1 - Recherche documentaire; 8 - Services d'information/assistance</t>
  </si>
  <si>
    <t>6 - Triage, attribution et automatisation des flux de travail; 4 - Aide à la décision</t>
  </si>
  <si>
    <t>5 - Anonymisation et pseudonymisation; 1 - Recherche documentaire</t>
  </si>
  <si>
    <t>7 - Enregistrement, transcription et traduction; 4 - Aide à la décision</t>
  </si>
  <si>
    <t>8 - Services d'information/assistance; 6 - Triage, attribution et automatisation des flux de travail</t>
  </si>
  <si>
    <t>8 - Services d'information/assistance; 2 - Résolution automatisée des litiges</t>
  </si>
  <si>
    <t>2 - Résolution automatisée des litiges; 6 - Triage, attribution et automatisation des flux de travail</t>
  </si>
  <si>
    <t>4 - Aide à la décision; 6 - Triage, attribution et automatisation des flux de travail</t>
  </si>
  <si>
    <t>3 - Prévision des résultats des litiges; 4 - Aide à la décision</t>
  </si>
  <si>
    <t>Sudska praksa / Court Practice Database</t>
  </si>
  <si>
    <t>ChatGPT</t>
  </si>
  <si>
    <t>9 - Information and assistance services</t>
  </si>
  <si>
    <t>ChatGPT is a publicly accessible generative AI system that has been used by legal professionals in their work (even though, it is not specifically designed for the legal sector).</t>
  </si>
  <si>
    <t>Chat GPT est un système d'IA générative accessible au public qui a été utilisé par des professionnels du droit dans le cadre de leur travail (même s'il n'est pas spécifiquement conçu pour le secteur juridique).</t>
  </si>
  <si>
    <t>https://openai.com/blog/chatgpt</t>
  </si>
  <si>
    <t>Judges</t>
  </si>
  <si>
    <t xml:space="preserve">Local </t>
  </si>
  <si>
    <t>87</t>
  </si>
  <si>
    <t>Implementation</t>
  </si>
  <si>
    <t>Court management</t>
  </si>
  <si>
    <t>https://www.tilde.com/products-and-services/ai-powered-chatbots/case-studies/Justs</t>
  </si>
  <si>
    <t>In accordance with the Land Registry Law, a unified state computer land system was created, which is considered the central database from which distributed information is obtained.</t>
  </si>
  <si>
    <t>2013-2016</t>
  </si>
  <si>
    <t>Land register</t>
  </si>
  <si>
    <t xml:space="preserve">Valsts vienotā datorizētā zemesgrāmata / The State Unified Computerized Land Register </t>
  </si>
  <si>
    <t>https://govtech.justica.gov.pt/en/portfolio/bupi-geographic-services-platform-ongoing/</t>
  </si>
  <si>
    <t>Le BUPi (Registre cadastral numérique) est une plateforme destinée aux propriétaires fonciers, qui permet de cartographier, de comprendre et d'évaluer le territoire portugais, de manière simple et gratuite. En réutilisant et en croisant les informations géospatiales, cet outil permet de réduire les inefficacités générées par l'utilisation redondante de ressources humaines, financières, matérielles et technologiques par les fournisseurs d'informations géographiques. La plateforme de services géographiques BUPi sera basée sur une plateforme de services géographiques hautement disponible, évolutive, résiliente (reprise après sinistre) et sécurisée pour fournir du contenu au BUPi Viewer et aux entités partenaires.</t>
  </si>
  <si>
    <t>BUPi (Digital Land Registry) is a platform aimed at landowners, which allows mapping, understanding and valuing the Portuguese territory, in a simple and free way. Reusing and cross-referencing geospatial information, this tool allows for the reduction of the inefficiencies generated by the redundant use of human, financial, material and technological resources by the geographic information providers. BUPi geographic services platform is based on a highly available, scalable, resilient (disaster recovery) and secure geographic services platform to provide content to the BUPi Viewer and partner entities.</t>
  </si>
  <si>
    <t xml:space="preserve">BUPi geographic services platform </t>
  </si>
  <si>
    <t>Pilot</t>
  </si>
  <si>
    <t>Lecture automatisée d'informations juridiquement pertinentes à partir de documents électroniques. Base de données fédérale uniforme du cadastre.</t>
  </si>
  <si>
    <t>Automated reading of legally relevant information from electronic documents. Uniform federal database land register.</t>
  </si>
  <si>
    <t>Bundeseinheitliches Datenbankgrundbuch / Uniform federal database land register</t>
  </si>
  <si>
    <t>https://www.lps.lv/uploads/docs_module/2018_5_p1.pdf</t>
  </si>
  <si>
    <t>The land register is a modern, electronic public register, which contains information about real estate and related rights.</t>
  </si>
  <si>
    <t>9 - Information/assistance services</t>
  </si>
  <si>
    <t>Zemesgramata.lv, Valsts vienotā datorizētā zemesgrāmatas datu izplatīšanas sistēma / The State Unified Computerized Land Register (Public System)</t>
  </si>
  <si>
    <t xml:space="preserve">This is an advanced cloud-based collaboration solution that aims to provide a platform for law firms and litigants to file documents to the South African Courts electronically. At the beginning of 2020, the Gauteng Division and Gauteng Local Division of the High Court, Pretoria and Johannesburg implemented this system. </t>
  </si>
  <si>
    <t>Case Lines / Court Online Evidence Management Application</t>
  </si>
  <si>
    <t xml:space="preserve">The Justice Portal is a digital interface for secure and efficient date and information exchange between institutions in the Icelandic justice systems, including domestic courts. </t>
  </si>
  <si>
    <t xml:space="preserve">The Justice Portal </t>
  </si>
  <si>
    <t xml:space="preserve">https://edurusmabilgi.adalet.gov.tr </t>
  </si>
  <si>
    <t xml:space="preserve">Plateforme en ligne permettant aux parties de déposer des demandes et des documents dans le cadre de procédures civiles. </t>
  </si>
  <si>
    <t xml:space="preserve">Online platform for parties to file applications and documents for civil proceedings. </t>
  </si>
  <si>
    <t>E-Durușma / E-Litigation</t>
  </si>
  <si>
    <t>https://www.gov.cy/en/digital-services/justice-safety-and-defence/case-management/ijustice</t>
  </si>
  <si>
    <t xml:space="preserve">Ce nouveau système d'e-justice permet de soumettre des demandes à distance, d'accéder aux dossiers électroniques des affaires et de payer des commissions et des frais. Depuis le 21 juillet 2021, le nouveau système est pleinement mis en œuvre dans tous les tribunaux chypriotes, à l'exception de la Cour administrative de protection internationale, ainsi que dans toutes les juridictions, à l'exception de la juridiction pénale du tribunal de district, de la Cour pénale et de la Cour suprême.  </t>
  </si>
  <si>
    <t xml:space="preserve">This new e-justice system allows to submit claims remotely, get access to electronic files of cases, and pay commissions and fees. As of 21 July 2021, the new system is fully implemented in all Cypriot courts, except for the International Protection Administrative Court, as well as in all jurisdictions, except the criminal jurisdiction of the District Court, the Criminal Court and the Supreme Court.  </t>
  </si>
  <si>
    <t>iJustice/ e-filing</t>
  </si>
  <si>
    <t>https://eakta.birosag.hu/</t>
  </si>
  <si>
    <t xml:space="preserve">Accès électronique aux dossiers judiciaires (pour les avocats et les parties concernées). </t>
  </si>
  <si>
    <t xml:space="preserve">Electronic access to court files (for lawyers and involved parties). </t>
  </si>
  <si>
    <t xml:space="preserve">E-filing system </t>
  </si>
  <si>
    <t xml:space="preserve">https://www.giustizia-amministrativa.it/processo-amministrativo-telematico </t>
  </si>
  <si>
    <t xml:space="preserve">Numérisation complète des procédures administratives, inspirée des principes "digital-by-default" et "no-paper-by-default". Tous les actes, documents et procès-verbaux d'une procédure sont traités électroniquement, avec archivage et communication à distance. Le système est relié à des registres électroniques ; toutes les données pertinentes pour chaque procédure sont saisies sous forme de métadonnées. </t>
  </si>
  <si>
    <t xml:space="preserve">Complete digitalisation of administrative proceedings, inspired by digital-by-default and no-paper-by-default principles. All acts, documents, and minutes of a proceeding are processed electronically with remote filing and communication. The system is linked to electronic registers; all relevant data for each proceeding is entered as metadata. </t>
  </si>
  <si>
    <t>Processo Amministrativo Telematico / Telematic Administrative Trial</t>
  </si>
  <si>
    <t>Digitalisation complète des procédures civiles, commerciales, familiales et du travail, inspirée des principes "digital-by-default" et "no-paper-by-default". Tous les actes, documents et procès-verbaux d'une procédure sont traités électroniquement, avec dépôt et communication à distance. Le système est relié à des registres électroniques ; toutes les données pertinentes pour chaque procédure sont saisies sous forme de métadonnées.</t>
  </si>
  <si>
    <t>Complete digitalisation of civil, commercial, family and labor proceedings, inspired by digital-by-default and no-paper-by-default principles. All acts, documents, and minutes of a proceeding are processed electronically with remote filing and communication. The system is linked to electronic registers; all relevant data for each proceeding is entered as metadata.</t>
  </si>
  <si>
    <t>Processo Civile Telematico / Telematic Civil Trial</t>
  </si>
  <si>
    <t>https://etoimik.rik.ee/</t>
  </si>
  <si>
    <t>« Public e-File » (AET) permet aux parties à la procédure et à leurs représentants de participer à des procédures civiles, administratives, pénales et délictuelles par voie électronique. Il est également possible d'introduire des demandes de procédure accélérée pour des injonctions de payer et des demandes de pensions alimentaires. Les parties à la procédure peuvent suivre le déroulement de la procédure, recevoir et envoyer des documents et lire le dossier judiciaire numérique (dans les affaires civiles et administratives). Il est également possible d'effectuer des recherches dans la base de données du casier judiciaire par le biais de l'e-File.</t>
  </si>
  <si>
    <t>Public e-File (AET) allows the parties to proceedings and their representatives to participate electronically in civil, administrative, criminal and misdemeanour proceedings. Requests for expedited proceedings of orders for payment in debt and maintenance allowance claims can also be submitted. The parties to proceedings can monitor the progress of the proceedings, receive and submit documents and read the digital court file (in civil and administrative cases). It is also possible to make queries in the criminal records database via the e-File.</t>
  </si>
  <si>
    <t xml:space="preserve">AET / Public E-File </t>
  </si>
  <si>
    <t xml:space="preserve">https://birosag.hu/ugyfeleknek/elektronikus-ugyintezes/elektronikus-kapcsolattartas-birosagokkal/e-per/altalanos-tajekoztato </t>
  </si>
  <si>
    <t xml:space="preserve">L'envoi et la réception de documents officiels et de dossiers dématérialisés entre les tribunaux nationaux hongrois, se font obligatoirement par voie électronique depuis le 1er janvier 2018. </t>
  </si>
  <si>
    <t xml:space="preserve">Electronically sending and receiving official documents, as well as e-casefiles between the Hungarian domestic courts is obligatory as of 1st of January 2018. </t>
  </si>
  <si>
    <t xml:space="preserve">Electronic communication </t>
  </si>
  <si>
    <t xml:space="preserve">https://izsoles.ta.gov.lv/ </t>
  </si>
  <si>
    <t>The user has the option to set the amount they want (maximum auction step) and activate the auction agent. The activated auction agent will automatically register the promise if the last user promise is overpromised. This action will be taken up to the maximum specified step of the user.</t>
  </si>
  <si>
    <t xml:space="preserve">E-auction platform </t>
  </si>
  <si>
    <t>E-izsoļu vietne / E-auction website</t>
  </si>
  <si>
    <t xml:space="preserve">Functional </t>
  </si>
  <si>
    <t>https://www.rar-avocat.fr</t>
  </si>
  <si>
    <t>Plateforme d'échanges entre avocats (recherche d’un remplaçant, recherche d’un adversaire, offres d’emploi, recherches de travail spécialisé, annonces immobilières, ventes d’objets, etc…)</t>
  </si>
  <si>
    <t>Platform for exchanges between lawyers (search for a replacement, search for an adversary, job offers, search for specialized work, real estate advertisements, sales of objects, etc.)</t>
  </si>
  <si>
    <t>7 - Triaging, allocation and workflow automation</t>
  </si>
  <si>
    <t xml:space="preserve">RAR avocat </t>
  </si>
  <si>
    <t xml:space="preserve">Pilot project for the robotization of selected workflows, such as the entry and classification of documents into electronic records from non-synchronized information systems within the Ministry of Justice. </t>
  </si>
  <si>
    <t>Robotic Process Automation / StringData</t>
  </si>
  <si>
    <t xml:space="preserve">In addition to supporting the creation of first-instant decisions in family cases, the program allows the user to enter the relevant data for the calculation of maintenance claims. FT-CAM then generates a Word document consisting of text modules which, among other things, contain the digitally result of the maintenance calculation. </t>
  </si>
  <si>
    <t>FT-CAM</t>
  </si>
  <si>
    <t xml:space="preserve">The RIAD product in the form of JuTe (legal text analysis) is being tested with the aim of making work easier, particularly for judges. It is intended to enable the decision-maker to access information within the files more quickly (i.e., automated creation of timelines, automated recognition of applications, amounts of money, names, etc.). In addition, individual proceedings are to be grouped and, if necessary, anonymized, in order to allow for identifical complaints to be dealt more efficiently. Another tool makes it possible to identify similarities and differences in the files. And the difference in comparison to e2A is that JuTe has two different, pre-trained neural networks for each individual function. </t>
  </si>
  <si>
    <t>8 - Transcription and translation</t>
  </si>
  <si>
    <t xml:space="preserve">Structuring tools for perimeter and mass procedures </t>
  </si>
  <si>
    <t>Pilot since 2021</t>
  </si>
  <si>
    <t xml:space="preserve">Automatic speech recognition is used, for instance, to transcribe interrogations of victims of sexual offences. The AI system will analyse audio and video files from the police. It will be able to work faster in cooperation with Dictasoft, to automatically transcribe dictation. </t>
  </si>
  <si>
    <t xml:space="preserve">2021 (pilot) </t>
  </si>
  <si>
    <t xml:space="preserve">AI language skills justice </t>
  </si>
  <si>
    <t>MVP in development</t>
  </si>
  <si>
    <t xml:space="preserve">The aim is to prove that AI-supported structuring of pleading content in civil proceedings is possible, which should enable time-efficiency and better quality. Procedures from civil law whose manual structuring is particularly challenging should serve as a use case. These can be, for instance, extensive proceedings or proceedings with complex facts (i.e., private building law). </t>
  </si>
  <si>
    <t xml:space="preserve">AI structuring in civil proceedings </t>
  </si>
  <si>
    <t>MVP shortly before completion</t>
  </si>
  <si>
    <t xml:space="preserve">If first-instance judgments and pleadings are available in digital form, appeal files can be assigned to case groups by automatically checking certain parameters, which can then be processed more easily. If the system learns from the analyzed documents in a further step, deviations from almost identical pleadings can also be highlighted, as can trends, changes to the presentation or new text modules, allowing new parameters to be identified. In addition, large document collections can be fully searched through automatic indexing. </t>
  </si>
  <si>
    <t xml:space="preserve">AI support for the processing of mass procedures </t>
  </si>
  <si>
    <t>https://www.systran.net/en/translate/</t>
  </si>
  <si>
    <t xml:space="preserve">Short-term translation of text from foreign languages, while preserving data protection requirements. In additiona, machine translations are performed by a neuro-trained with translated texts network. Foreign-language documents can be searched in a more targeted manner. A future goal is to develop translation memory. </t>
  </si>
  <si>
    <t xml:space="preserve">Machine translation service of the judiciary </t>
  </si>
  <si>
    <t xml:space="preserve">License status varies in the federal states, further development steps currently not foreseeable. </t>
  </si>
  <si>
    <t xml:space="preserve">A system which integrates multiple functionalities, such as timeline analysis, text comparison, standard reference analysis, and permutation of electronic files' content.  </t>
  </si>
  <si>
    <t>e2A</t>
  </si>
  <si>
    <t xml:space="preserve">One use case (booking of video overtrade) is being tested, all the others are in the co-determination phase. </t>
  </si>
  <si>
    <t xml:space="preserve">The aim of the project is to test low-code automation software with which uniform workflows can be mapped in the form of a decision tree and then executed automatically. After a short training, users can create decision trees on their own. The following use cases were developed: applications for eviction protection, account seizure protection, preparation of an inheritance claim, partial time applications from members of the judiciary, applications from external parties to enter decisions in the NRWE case-law database, internal court booking of hardware and software for video hearings. </t>
  </si>
  <si>
    <t>Bryter automation software</t>
  </si>
  <si>
    <t>Ongoing development/planning</t>
  </si>
  <si>
    <t>It offers the possibility to submit complaints to courts in a structured form. Its goal is to enable digital processing and conduct of proceedings both within the courts and vis-à-vis the defendant.</t>
  </si>
  <si>
    <t>Digital Lawsuits</t>
  </si>
  <si>
    <t>https://legigpt.fr/</t>
  </si>
  <si>
    <t>Chatbot enabling portal users to identify issues of interest to themselves on specific topics.</t>
  </si>
  <si>
    <t>LegiGPT/LegiGPT+</t>
  </si>
  <si>
    <t>Under development</t>
  </si>
  <si>
    <t>https://aikrs.pl</t>
  </si>
  <si>
    <t xml:space="preserve">L'application vise à « comprendre » la représentation d'une entité juridique et à l'appliquer ensuite dans le flux de travail automatisé du système. Pour permettre une prise de décision automatisée, le système doit identifier qui a la capacité d'agir au nom d'une entité juridique. Ainsi, l'application est capable de déterminer si une personne est autorisée à signer au nom d'une entité juridique ou si la signature d'une autre personne est (également) requise. </t>
  </si>
  <si>
    <t xml:space="preserve">The application aims to 'understand' the representation of a legal entity and subsequently apply it in the automated workflow of the system. To enable automated decision-making, the system has to identify who has the capacity to act on behalf of a legal entity. Thus, the application is capable to conclude whether an individual is authorized to sign on behalf of a legal identity, or whether the signature of another person is (also) required. </t>
  </si>
  <si>
    <t>KRS AI</t>
  </si>
  <si>
    <t>https://www.wired.com/story/chatgpt-generative-ai-is-coming-for-the-lawyers/</t>
  </si>
  <si>
    <t>https://www.harvey.ai/</t>
  </si>
  <si>
    <t>Cet outil est destiné aux professionnels du droit. Il fournit des réponses à des questions simples sur le droit, il rédige des documents et il fait un premier effort pour répondre aux premiers messages des clients (potentiels).</t>
  </si>
  <si>
    <t>The tool is dedicated to legal professionals. It provides answers to simple questions about the law, it drafts documents and it takes an initial effort to answer first messages from (potential) clients.</t>
  </si>
  <si>
    <t>Harvey</t>
  </si>
  <si>
    <t>https://www.wolterskluwer.com/fr-fr/solutions/legisway/contract-review-for-legal-departments</t>
  </si>
  <si>
    <t xml:space="preserve">Le système peut aider à l'analyse des contrats juridiques  ou à l'examen de grands volumes de documents, y compris l'indexation des contrats. </t>
  </si>
  <si>
    <t xml:space="preserve">The system can help with the analysis of legal contracts or the review of large volumes of documents including indexing of contracts. </t>
  </si>
  <si>
    <t>Legisway Analyzer</t>
  </si>
  <si>
    <t>https://www.editions-legislatives.fr/genial</t>
  </si>
  <si>
    <t xml:space="preserve">Moteur de recherche juridique (ElasticSearch), doublé de filtres pour recherches avancées et avec une offre de jurimétrie (legalmetrics) et de statistiques. L'outil est fourni par Lefbvre et disponible dans plusieurs pays. </t>
  </si>
  <si>
    <t xml:space="preserve">Legal search engine (ElasticSearch), equipped with filters for advanced searches and with an offer of jurimetrics (legalmetrics) and statistics. The tool is provided by Lefbvre and available in several countries. </t>
  </si>
  <si>
    <t>GenIA-L/Legal search engine</t>
  </si>
  <si>
    <t>https://www.anylaw.com/</t>
  </si>
  <si>
    <t>AnyLaw est une plateforme de recherche juridique avec une couverture complète de la jurisprudence fédérale et des États américains, qui donne accès à des données juridiques organisées de manière efficace. Elle utilise l'IA pour générer des résumés d'affaires</t>
  </si>
  <si>
    <t>AnyLaw is a legal research platform with full coverage of US state and federal case law, that gives  access to  legal data, organized in an effcient way. It uses AI to generate case summaries</t>
  </si>
  <si>
    <t>AnyLaw</t>
  </si>
  <si>
    <t>https://contractpodai.com/leah-copilot-ai-legal-assistant/</t>
  </si>
  <si>
    <t>https://contractpodai.com/automated-contract-review/</t>
  </si>
  <si>
    <t>ContractPodAi Cloud est la plateforme juridique qui aide les conseillers internes à initier, automatiser, exécuter et gérer des scénarios juridiques - des contrats aux réclamations, et des fusions-acquisitions au GDPR. Elle utilise la technologie cognitive d'IBM Watson, l'apprentissage automatique et le traitement du langage naturel pour analyser les contrats. L'IA compare les clauses clés du contrat à des listes de termes préférés, afin d'identifier les termes non conformes. Une note est ensuite attribuée aux clauses et au contrat, en fonction de l'écart par rapport au langage préféré et approuvé.</t>
  </si>
  <si>
    <t>ContractPodAi Cloud is the legal platform to help in-house counsels initiate, automate, execute, and manage  legal scenarios — from contracts to claims, and M&amp;A to GDPR. It uses IBM Watson’s  cognitive technology, machine learning, and natural language processing to deliver contract analysis. The AI  compares key clauses in the contract against playbooks of preferred terms, to identify non-compliant language. A score is then assigned to clauses and the contract, based on the variance from the preferred, approved language.</t>
  </si>
  <si>
    <t>ContractPodAI</t>
  </si>
  <si>
    <t>https://www.remidafamiglia.com</t>
  </si>
  <si>
    <t>Le système expert ReMida est un logiciel de calcul qui permet le calcul automatique du règlement des différents intérêts (ReMida Interessi, utilisé depuis 1990), des dommages corporels (ReMida Danno, utilisé depuis 2003), et des allocations pour conjoint et enfants (ReMida Famiglia, utilisé depuis 2017).</t>
  </si>
  <si>
    <t xml:space="preserve">The ReMida expert system is a calculation software which allows the automatic calculation of the settlement of various interests (ReMida Interessi, in use since 1990), of personal injuries (ReMida Danno, in use since 2003), and of spousal and child allowances (ReMida Famiglia, in use since 2017). </t>
  </si>
  <si>
    <t>ReMida Software</t>
  </si>
  <si>
    <t>https://www.saisirprudhommes.com</t>
  </si>
  <si>
    <t>La plateforme facilite l'accès des usagers du tribunal à des recours amiables et judiciaires simplifiés pour faire valoir leurs droits dans le domaine de l'emploi. Elle propose également une assistance juridique en cas de besoin.</t>
  </si>
  <si>
    <t xml:space="preserve">The platform faciliates court users' access to simplified amicable and legal remedies to assert their rights in the area of employment. It also offers legal assistance, if needed. </t>
  </si>
  <si>
    <t>SaisirPrudhommes.com / Online platform for dispute resolution</t>
  </si>
  <si>
    <t>https://www.litige.fr</t>
  </si>
  <si>
    <t>La plateforme facilite l'accès des usagers des tribunaux à des recours amiables et judiciaires simplifiés pour faire valoir leurs droits. Elle propose également une assistance juridique en cas de besoin.</t>
  </si>
  <si>
    <t xml:space="preserve">The platform faciliates court users' access to simplified amicable and legal remedies to assert their rights. It also offers legal assistance, if needed. </t>
  </si>
  <si>
    <t>Litige.fr / Online platform for dispute resolution</t>
  </si>
  <si>
    <t>https://www.demanderjustice.com</t>
  </si>
  <si>
    <t>Demander justice / Online platform for dispute resolution</t>
  </si>
  <si>
    <t>https://jurisprudence.ninja/</t>
  </si>
  <si>
    <t>Moteur de recherche gratuit de décisions judiciaires basé sur des données ouvertes fournies par des sources officielles.</t>
  </si>
  <si>
    <t xml:space="preserve">Free search engine for judicial decisions, based on open data provided by official sources. </t>
  </si>
  <si>
    <t>Ninja /  Jurisprudence Search Engine</t>
  </si>
  <si>
    <t>https://justice.pappers.fr</t>
  </si>
  <si>
    <t>Pappers / Jurisprudence Search Engine</t>
  </si>
  <si>
    <t>https://norma.software/</t>
  </si>
  <si>
    <t>Guide et assiste dans le calcul point par point des préjudices selon la nomenclature d'usage.</t>
  </si>
  <si>
    <t xml:space="preserve">The application guides and assists, at every step, the calculation of damage compensation claims according to the system nomenclature. </t>
  </si>
  <si>
    <t>Norma</t>
  </si>
  <si>
    <t>https://medicys.fr/</t>
  </si>
  <si>
    <t>Plateforme de médiation en ligne, adaptée à tous les types de litiges.</t>
  </si>
  <si>
    <t xml:space="preserve">Platform for online mediation, suitable for all types of disputes. </t>
  </si>
  <si>
    <t xml:space="preserve">Medicys </t>
  </si>
  <si>
    <t>https://www.justice.cool/</t>
  </si>
  <si>
    <t xml:space="preserve">Logiciel pour avocats ayant pour objectif de faciliter le marketing, la collecte, la catégorisation et le traitement simultané des dossiers (du règlement à l'amiable à l'exécution). La communication est analysée par l'IA et des réponses peuvent être suggérées. </t>
  </si>
  <si>
    <t xml:space="preserve">Software for lawyers with the objective to facilitate marketing, collecting, categorising and simultaneously processing cases (from amicable settlements to execution). Communication is analysed by AI and responses can be suggested. </t>
  </si>
  <si>
    <t xml:space="preserve">Justice.cool </t>
  </si>
  <si>
    <t>https://legal230.com/</t>
  </si>
  <si>
    <t xml:space="preserve">IA qui permet la traduction des documents (déchiffrage, compréhension du contexte et de l'intention donnée). </t>
  </si>
  <si>
    <t xml:space="preserve">The application allows the translation of documents (deciphering, understanding the context and the intention). </t>
  </si>
  <si>
    <t>Legal 230/ALAN</t>
  </si>
  <si>
    <t>https://pozeweu.web.app</t>
  </si>
  <si>
    <t>https://pozew.app/</t>
  </si>
  <si>
    <t>L'application permet de transformer des données numériques en texte de procès ou même de jugement. Elle utilise l'intelligence artificielle pour extraire des données numériques directement à partir de scans de factures ou de documents de paiement. Le plaignant introduit les données dans les calculs liés au procès. Ces calculs sont automatiquement convertis en texte. Les données sous-jacentes aux calculs sont stockées sur le serveur sous un code de calcul généré de manière aléatoire. Le plaignant peut ensuite introduire le texte et le code généré dans un procès et le soumettre au tribunal compétent. Ainsi, le tribunal peut facilement accéder aux données brutes stockées sous le code généré. Il peut même sélectionner les données pertinentes et effectuer les calculs appropriés, qui sont à nouveau automatiquement convertis en texte. L'objectif de l'application est de permettre une coopération harmonieuse entre les parties à la procédure et les tribunaux nationaux, afin de faciliter et d'accélérer le processus autrement lourd des affaires civiles (et en particulier des affaires de paiement).</t>
  </si>
  <si>
    <t xml:space="preserve">The application allows to transform numerical data into the text of a lawsuit or even a judgment. It uses AI to extract numerical data directly from invoice scans or payment documents. The plaintiff enters the data into calculations related to the lawsuit. Those calculations are automatically converted into text. The data underlying the calculations is stored on the server under a randomly generated calculation code. The plaintiff can then introduce the text and the generated code into a lawsuit and submit to the competent court. Thus, the court can easily access the raw data stored under the generated code. It can even make a selection of the relevant data and perform the appropriate calculations, which are once again automatically converted into text. The purpose of the application is to allow for a smooth cooperation between the parties in the proceedings and the domestic courts, in order to facilitate and speed up the otherwise heavy process of civil cases (and in particular, payment cases). </t>
  </si>
  <si>
    <t xml:space="preserve">Pozew.App </t>
  </si>
  <si>
    <t>https://www.newtontech.net/en/newton-dictate/</t>
  </si>
  <si>
    <t xml:space="preserve">Le système est basé sur « Newton Dictate », un outil de dictée professionnelle, utilisé dans les domaines de l'administration publique, de la justice et de la santé. Il est utulisé tous les types de textes plus longs. </t>
  </si>
  <si>
    <t xml:space="preserve">The system is based on Newton Dictate, a tool for professional dictation, used in the fields of state administration, justice and healthcare. It is used for any type of longer texts. </t>
  </si>
  <si>
    <t xml:space="preserve">https://www.lexisnexis.fr/a-propos-de/lexisnexis-en-france# </t>
  </si>
  <si>
    <t xml:space="preserve">JurisData Analytics est un service d'analyse quantitative de la jurisprudence. Il s'agit d'un outil d'aide à la décision qui contribue à transformer la recherche juridique, en complétant l'approche traditionnelle consistant à saisir des mots-clés par une visualisation interactive des données et une analyse des corrélations. </t>
  </si>
  <si>
    <t xml:space="preserve">JurisData Analytics is a quantitative case-law analysis service. It is a decision-making tool that helps transform legal research by complementing the traditional approach of entering keywords with interactive data visualization and correlation analysis. </t>
  </si>
  <si>
    <t xml:space="preserve">Lexis Nexis / JurisData Analytics </t>
  </si>
  <si>
    <t xml:space="preserve">https://www.doctrine.fr/?source=nav </t>
  </si>
  <si>
    <t xml:space="preserve">Doctrine est un moteur de recherche juridique utilisant l'IA. Il dispose de plusieurs fonctionnalités, parmi lesquelles l'intelligence juridique, la recherche, la veille et l'analyse de documents. </t>
  </si>
  <si>
    <t xml:space="preserve">Doctrine is a legal research engine, using AI. It has several features, amongst others legal intelligence, research, monitoring, and document analysis. </t>
  </si>
  <si>
    <t>Doctrine</t>
  </si>
  <si>
    <t>https://juripredis.com/</t>
  </si>
  <si>
    <t>Juri'predis est un moteur de recherche juridique reposant sur l'IA. Il pré-interprète les données et les trie pour sélectionner les jugements pertinents. En outre, il est doté d'une fonction de recherche particulière pour identifier les jurisprudences cohérentes. Cela permet aux utilisateurs d'effectuer des recherches juridiques, parmi la jurisprudence de la base de données, à partir de demandes formulées en langage naturel.</t>
  </si>
  <si>
    <t xml:space="preserve">Juri'predis is a legal search engine relying on AI. It pre-interprets the data and sorts them to select the relevant judgments. In addition, it is equipped with a particular search function to identify consistent case-law. This allows users to carry out legal research, among the database's case-law, from applications formulated in natural language. </t>
  </si>
  <si>
    <t>Juri'predis</t>
  </si>
  <si>
    <t xml:space="preserve">https://www.legalmetrics.fr/login </t>
  </si>
  <si>
    <t xml:space="preserve">« Legalmetrics » est un outil statistique d'aide à la décision et à la stratégie contentieuse. L'objectif est de permettre aux utilisateurs d'élaborer ou de renforcer leur stratégie juridique en estimant leurs chances de succès, en calculant le montant des indemnités et la durée du litige. </t>
  </si>
  <si>
    <t xml:space="preserve">Legalmetrics is a statistical tool for decision-making and litigation strategy. The objective is to enable users to develop or reinforce their legal strategy by estimating their chances of success, by calculating the amount of compensation and the duration of litigation. </t>
  </si>
  <si>
    <t>Legalmetrics / Lexbase</t>
  </si>
  <si>
    <t xml:space="preserve">https://www.caselawanalytics.com/ </t>
  </si>
  <si>
    <t xml:space="preserve">Case Law Analytics crée des modèles mathématiques qui s'appuient sur l'IA et sur une expertise juridique détaillée pour analyser les risques associés à un dossier contentieux ou à un contrat. Ce faisant, elle vise à fournir des solutions de quantification des risques juridiques, en particulier aux professionnels du droit. </t>
  </si>
  <si>
    <t xml:space="preserve">Case Law Analytics creates mathematical models that rely on AI and on detailed legal expertise to analyse the risks associated with a litigation file or a contract. In doing so, it aims to provide legal risk quantification solutions, in particular to legal professionals. </t>
  </si>
  <si>
    <t>Case Law Analytics</t>
  </si>
  <si>
    <t>Prosecutors</t>
  </si>
  <si>
    <t>https://viqsolutions.co.uk</t>
  </si>
  <si>
    <t>VIQ combine la technologie alimentée par l'IA (voix numérique, technologie de capture vidéo et services de transcription) et l'expertise humaine pour créer une suite logicielle complète qui fournit de la documentation au moment et à l'endroit où elle est nécessaire. Dans les salles d'audience, VIQ est un fournisseur agréé pour la transcription des affaires civiles, familiales, ainsi que pour les audiences des tribunaux de comté et les jugements rendus par la Haute Cour et par les tribunaux de comté en Angleterre et au Pays de Galles.</t>
  </si>
  <si>
    <t xml:space="preserve">VIQ combines AI-powered technology (digital voice, video capture technology and transcription services) and human expertise to create a comprehensive solution suite that delivers documentation when and where is needed. In the context of courtrooms, VIQ is an authorised provider for Civil and Family Court transcription and County Court hearings and judgments from the High Court and County Courts across England and Wales. </t>
  </si>
  <si>
    <t>VIQ Solutions</t>
  </si>
  <si>
    <t>https://rossintelligence.com/features</t>
  </si>
  <si>
    <t>ROSS Intelligence est un logiciel de recherche juridique conçu pour des recherches rapides et approfondies. Il couvre la jurisprudence et la législation fédérale et des États, les décisions des cours spécialisées, des tribunaux et de l'administration des États-Unis. Ses principales caractéristiques sont les suivantes : recherche basée sur des questions, recherche d'autres cas avec un langage similaire pour renforcer sa position, analyseur de documents, résumé automatique d'un cas dans le contexte de la requête, ainsi que repérage des affaires qui ont été infirmés ou critiqués.</t>
  </si>
  <si>
    <t xml:space="preserve">ROSS Intelligence is a legal research software made for fast and in-depth research. It covers federal and state case law and legislation, specialty court, tribunal, and administrative decisions of the United States. Its main features are: question-based search, find other cases with similar language to strengthen position, document analyzer, automatic summary of a case in the context of the query, as well as spot cases that have been overturned or criticized. </t>
  </si>
  <si>
    <t>Ross Intelligence</t>
  </si>
  <si>
    <t xml:space="preserve">https://predictice.com/fr </t>
  </si>
  <si>
    <t xml:space="preserve">Predictice est un outil de justice prédictive développé pour calculer les chances de succès d'une action en justice en fonction de : la base juridique, le montant de l'indemnisation, et la durée de la procédure. Il utilise des algorithmes d'analyse de la jurisprudence.  </t>
  </si>
  <si>
    <t xml:space="preserve">Predictice is a predictive justice tool developed to calculate the chances of success of a legal action according to: the legal basis, the amount of compensation, and the duration of the procedure. It uses algorithms of jurisprudence analysis.  </t>
  </si>
  <si>
    <t>Predictice</t>
  </si>
  <si>
    <t>https://kleros.io/about</t>
  </si>
  <si>
    <t>https://old.kleros.io/</t>
  </si>
  <si>
    <t>KLEROS met en relation les utilisateurs qui ont besoin de résoudre des litiges avec des jurés pour les régler équitablement. Le système  utilise la technologie blockchain et des jurés alimentés par la communauté visant à statuer sur les litiges de manière rapide, sécurisée et abordable.</t>
  </si>
  <si>
    <t>KLEROS connects users who need to solve disputes with jurors to fairly settle them. The system uses blockchain technology and crowdsourced jurors aiming at adjudicating disputes in a fast, secure, and affordable manner.</t>
  </si>
  <si>
    <t>KLEROS / Blockchain Dispute Resolution Layer</t>
  </si>
  <si>
    <t>https://algoritmes.overheid.nl/en/algoritme</t>
  </si>
  <si>
    <t>NL</t>
  </si>
  <si>
    <t>Register</t>
  </si>
  <si>
    <t>Na</t>
  </si>
  <si>
    <t>https://odr.info/provider-list/</t>
  </si>
  <si>
    <t>ODR Providers</t>
  </si>
  <si>
    <t>TITLE</t>
  </si>
  <si>
    <t>TITRE</t>
  </si>
  <si>
    <t>The system can accept verbal commands to display relevant information on digital screens. It is also able to transcribe speech throughout hearings and identify speakers according to their roles: judges, prosecutors, defendants, and others.  It can assist the judge to ascertain facts and to identify evidence.</t>
  </si>
  <si>
    <t>Le système peut accepter des commandes verbales pour afficher des informations pertinentes sur des écrans numériques. Il est également capable de transcrire la parole tout au long des audiences et d'identifier les intervenants en fonction de leur rôle : juges, procureurs, accusés et autres. Il peut aider le juge à établir les faits et à identifier les preuves.</t>
  </si>
  <si>
    <t>Batch 6</t>
  </si>
  <si>
    <t>The Hainan High People's Court has introduced a system to standardise sentencing. It employs big data and AI technologies, such as natural language processing, knowledge graphs and deep learning, to automatically pick out key facts in a case and formulate a written judgment, after data analysis based on decisions from previous cases.</t>
  </si>
  <si>
    <t>La Haute cour de Hainan a mis en place un système de standardiser des peines. Elle utilise des technologies de big data et d'IA, telles que le traitement du langage naturel, les graphes de connaissances et l'apprentissage profond, pour sélectionner automatiquement les faits clés d'une affaire et formuler un jugement écrit, après une analyse des données basée sur les décisions d'affaires précédentes.</t>
  </si>
  <si>
    <t>La MiniCour mobile est une applet WeChat (le plus grand média social chinois) permettant aux parties résidant à l'étranger d'intenter une action en justice devant un tribunal chinois sur Internet, en effectuant les opérations pertinentes sur la plateforme mobile en ligne avec un appareil mobile. La plateforme a une conception modulaire, comprenant actuellement : le dépôt d'une affaire, la signification, l'échange de preuves, la médiation, l'audience et l'exécution. Elle introduit des technologies telles que la reconnaissance faciale, les signatures électroniques et l'interaction audio et vidéo en temps réel à accès multiple.</t>
  </si>
  <si>
    <t xml:space="preserve">The court uses new technologies such as blockchain in the online settlement of  civil and administrative disputes. By mid 2022 it concluded apparently more than  80,000 cases. </t>
  </si>
  <si>
    <t>Le tribunal utilise les nouvelles technologies telles que la blockchain dans le règlement en ligne des litiges civils et administratifs. À la mi-2022, il avait apparemment conclu plus de 80 000 affaires.</t>
  </si>
  <si>
    <t>ClaudeAI: Claude (by Anthropic) – Conversational AI tools, chatbots, etc.</t>
  </si>
  <si>
    <t>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</si>
  <si>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</si>
  <si>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https://claude.ai/</t>
  </si>
  <si>
    <t>https://rm.coe.int/cepej-gt-cyberjust-2023-5final-en-note-on-generative-ai/1680ae8e01</t>
  </si>
  <si>
    <t>Google Gemini: Google Gemini (by DeepMind) – previously Google Bard (now renamed to Gemini), search-related AI tools</t>
  </si>
  <si>
    <t>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</si>
  <si>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</si>
  <si>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https://gemini.google.com/</t>
  </si>
  <si>
    <t>Microsoft Copilot: GPT (or other LLMs) – Copilot in Office apps (Word, Excel, etc.)</t>
  </si>
  <si>
    <t>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</si>
  <si>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</si>
  <si>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https://copilot.cloud.microsoft/</t>
  </si>
  <si>
    <t>Meta AI: LLaMA, other Meta LLMs – AI for social media, content moderation, chatbots</t>
  </si>
  <si>
    <t>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</si>
  <si>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</si>
  <si>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https://ai.meta.com/</t>
  </si>
  <si>
    <t>Perplexity AI: GPT, but also other LLMs – Conversational search engine, query-based tools</t>
  </si>
  <si>
    <t>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</si>
  <si>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</si>
  <si>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https://www.perplexity.ai</t>
  </si>
  <si>
    <t>Mistral Le Chat: Mistral LLM (open-weight) – Chatbots and conversational tools</t>
  </si>
  <si>
    <t>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</si>
  <si>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</si>
  <si>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https://chat.mistral.ai/chat</t>
  </si>
  <si>
    <t>DeepSeek: LLM + Search Models – Knowledge exploration, information retrieval tools</t>
  </si>
  <si>
    <t>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</si>
  <si>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</si>
  <si>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https://www.deepseek.com</t>
  </si>
  <si>
    <t>Grok: Grok LLM (by xAI) – Chatbots, AI for social media, customer service</t>
  </si>
  <si>
    <t>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t>
  </si>
  <si>
    <t>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t>
  </si>
  <si>
    <t>https://x.ai/grok</t>
  </si>
  <si>
    <t>StruKI (Strukturierung mit Künstlicher Intelligenz)</t>
  </si>
  <si>
    <t>The aim of the ‘StruKI’ (structuring with AI) project is to develop a universal structuring tool for legal proceedings based on an AI application. The structuring tool should include the option of comprehensive processing of all data from a court case. The introduction of the e-file, which contains all the data relating to a court case or legal proceedings in digital form, makes it possible to develop AI assistance systems for a range of activities in the justice system. Their role in structuring process information is particularly important. AI can be used to structure process information such as court documents, evidence or witness statements, thus efficiently supporting the legal process.
The aim of the ‘StruKI’ project is to provide an AI-based structuring tool to relieve the workload in the judiciary and to support work processes that would otherwise lead to a significant increase in work. This includes the AI-supported processing of applications for financial support in court proceedings (legal aid), the preparation of cost orders in mass proceedings, the anonymisation of documents, and much more.</t>
  </si>
  <si>
    <t>Le projet «StruKI» (Structuration avec IA) vise à développer un outil de structuration universel pour les dossiers de procédure judiciaire sur la base d'une application d'IA. L'outil de structuration doit permettre le traitement complet de toutes les données d'une procédure judiciaire. L'introduction du dossier électronique, qui contient toutes les données d'une procédure judiciaire ou d'un procès sous forme numérique, permet de développer des systèmes d'assistance par l'IA pour diverses activités dans le domaine de la justice. Leur rôle dans la structuration des informations relatives aux procédures est particulièrement important. Les informations relatives aux procédures, telles que les documents judiciaires, les preuves ou les dépositions de témoins, peuvent être structurées à l'aide de l'IA et ainsi soutenir efficacement le processus juridique.
L'objectif du projet «StruKI» est de fournir un outil de structuration basé sur l'IA afin de faciliter le travail dans le système judiciaire et de soutenir les processus de travail qui, autrement, entraîneraient une charge de travail supplémentaire considérable. Cela inclut également le traitement assisté par IA des demandes d'aide financière dans le cadre de procédures judiciaires (aide juridictionnelle), la préparation de décisions de coûts dans les procédures de masse, l'anonymisation de documents, etc.</t>
  </si>
  <si>
    <t>https://www.bmj.de/DE/themen/digitales/digitalisierung_justiz/digitalisierungsinitiative/laendervorhaben/_doc/artikel_vorhaben_07_struki.html</t>
  </si>
  <si>
    <t>Information from Jan Spoenle</t>
  </si>
  <si>
    <t>ChatJT - Labour Justice Tool - Chatbot of the Brazilian Labour Court</t>
  </si>
  <si>
    <t>ChatJT is a generative AI tool, supporting judges in the decision making. It is trained with all case law from the Brazilian Labor Court, from the Superior Labor Court to First-Instance Courts and available to all judges and staff members of the Brazilian Labor Court. It is based on Based on an open-source platform called “Hugging Face” and ser-provided data is not used to train the underlying model.</t>
  </si>
  <si>
    <t>ChatJT est un outil d'IA générative qui aide les juges à prendre des décisions. Il est formé à partir de toutes les affaires de la Cour du travail brésilienne, de la Cour supérieure du travail aux tribunaux de première instance, et est accessible à tous les juges et membres du personnel de la Cour du travail brésilienne. Il est basé sur une plateforme open source appelée « Hugging Face » et les données fournies par les services ne sont pas utilisées pour former le modèle sous-jacent.</t>
  </si>
  <si>
    <t>Information from Isabela Ferrari &lt;isabelarossicortesferrari@gmail.com&gt;</t>
  </si>
  <si>
    <t>Column1</t>
  </si>
  <si>
    <t>163</t>
  </si>
  <si>
    <t>164</t>
  </si>
  <si>
    <t>165</t>
  </si>
  <si>
    <t>167</t>
  </si>
  <si>
    <t>169</t>
  </si>
  <si>
    <t>171</t>
  </si>
  <si>
    <t>173</t>
  </si>
  <si>
    <t>175</t>
  </si>
  <si>
    <t>177</t>
  </si>
  <si>
    <t>179</t>
  </si>
  <si>
    <t>181</t>
  </si>
  <si>
    <t>183</t>
  </si>
  <si>
    <t>184</t>
  </si>
  <si>
    <t>185</t>
  </si>
  <si>
    <t>4 - Aide à la décision; 3 - Prévision des résultats des litiges</t>
  </si>
  <si>
    <t xml:space="preserve">Unified state register of court decisions / Єдиний державний реєстр судових рішень
</t>
  </si>
  <si>
    <t>48</t>
  </si>
  <si>
    <t>Row Labels</t>
  </si>
  <si>
    <t>Grand Total</t>
  </si>
  <si>
    <t>Document Analysis – Relationship between nominal entities</t>
  </si>
  <si>
    <t>Document Analysis - Similarity</t>
  </si>
  <si>
    <t>Document Analysis – Legislation</t>
  </si>
  <si>
    <t>Document Analysis - Relevant Dates</t>
  </si>
  <si>
    <t>Document Analysis – Quantities</t>
  </si>
  <si>
    <t>2023</t>
  </si>
  <si>
    <t xml:space="preserve">Tool used for the transcription of  court proceedings. </t>
  </si>
  <si>
    <t>Outil utilisé pour la transcription des procédures judiciaires.</t>
  </si>
  <si>
    <t>Batch 7</t>
  </si>
  <si>
    <t>Status to be checked</t>
  </si>
  <si>
    <t>Anonymisation of Court Decisions</t>
  </si>
  <si>
    <t xml:space="preserve">Tool to facilitate the automated anonymization of court decisions. </t>
  </si>
  <si>
    <t>Outil destiné à faciliter l'anonymisation automatique des décisions judiciaires.</t>
  </si>
  <si>
    <t>Document Anonymisation - Automatic</t>
  </si>
  <si>
    <t>Automatic anonymisation consists of replacing all categories of nominal entities detected (e.g., personal names, places, identification codes of natural and legal persons) with hyphens. The tool also allows the user to navigate to the parts of the document where the anonymized entities appear. Once the anonymisation process is completed, the document can be downloaded for use and distribution. This tool is part of a suite of AI-powered services provided by the Ministry of the Presidency, Justice and Parliamentary Relations of Spain. It automates and facilitates various document processing tasks including automatic document anonymisation.</t>
  </si>
  <si>
    <t>L'anonymisation automatique consiste à remplacer toutes les catégories d'entités nominales détectées (par exemple, les noms de personnes, les lieux, les codes d'identification des personnes physiques et morales) par des tirets. L'outil permet également à l'utilisateur de naviguer vers les parties du document où apparaissent les entités anonymisées.
Une fois le processus d'anonymisation terminé, le document peut être téléchargé pour être utilisé et distribué.
Cet outil fait partie d'une suite de services basés sur l'intelligence artificielle fournis par le ministère de la présidence, de la justice et des relations parlementaires de l'Espagne. Il automatise et facilite diverses tâches de traitement de documents, notamment l'anonymisation automatique des documents.</t>
  </si>
  <si>
    <t>Document Anonymisation - Initials</t>
  </si>
  <si>
    <t>Initials anonymisation consists of replacing the names of natural persons by their initials, instead of by hyphens. In the case of identification codes of natural and legal persons, only the first and last digits appear. For the rest of categories of nominal entities that may be identified within the document (e.g., places), words are replaced by hyphens. The tool also allows the user to navigate to the parts of the document where the anonymized entities appear.
Once the anonymization process is completed, the document can be downloaded for use and distribution. This tool is part of a suite of AI-powered services provided by the Ministry of the Presidency, Justice and Parliamentary Relations of Spain. It automates and facilitates various document processing tasks including document anonymisation by initials.</t>
  </si>
  <si>
    <t>L'anonymisation par initiales consiste à remplacer les noms des personnes physiques par leurs initiales, au lieu de tirets. Dans le cas des codes d'identification des personnes physiques et morales, seuls le premier et le dernier chiffre apparaissent. 
Pour les autres catégories d'entités nominales pouvant être identifiées dans le document (par exemple, les lieux), les mots sont remplacés par des tirets. L'outil permet également à l'utilisateur de naviguer vers les parties du document où apparaissent les entités anonymisées.
Une fois le processus d'anonymisation terminé, le document peut être téléchargé pour être utilisé et distribué.
Cet outil fait partie d'une suite de services basés sur l'intelligence artificielle fournis par le ministère de la présidence, de la justice et des relations parlementaires de l'Espagne. Il automatise et facilite diverses tâches de traitement de documents, notamment l'anonymisation des documents par initiales.</t>
  </si>
  <si>
    <t>Document Anonymisation - Customised</t>
  </si>
  <si>
    <t>Customised anonymisation allows the user to select which categories of nominal entities should be anonymised (e.g., personal names, places) as well as the way in which he/she wishes to anonymise them. For example, replacing these entities with hyphens, with generic names (e.g., Person-1, Organisation-1; i.e. generic pseudonymization), or with specific names (i.e. customised pseudonymisation). The tool also allows the user to navigate to the parts of the document where the anonymized entities appear.
Once the anonymization or pseudonymization process is completed, the document can be downloaded for use and distribution. This tool is part of a suite of AI-powered services provided by the Ministry of the Presidency, Justice and Parliamentary Relations of Spain. It automates and facilitates various document processing tasks including customised document anonymisation.</t>
  </si>
  <si>
    <t>L'anonymisation personnalisée permet à l'utilisateur de sélectionner les catégories d'entités nominales à anonymiser (par exemple, les noms de personnes, les lieux) ainsi que la manière dont il souhaite les anonymiser. 
Il peut par exemple remplacer ces entités par des tirets, des noms génériques (par exemple, Personne-1, Organisation-1, c'est-à-dire une pseudonymisation générique) ou des noms spécifiques (c'est-à-dire une pseudonymisation personnalisée). L'outil permet également à l'utilisateur de naviguer vers les parties du document où apparaissent les entités anonymisées.
Une fois le processus d'anonymisation ou de pseudonymisation terminé, le document peut être téléchargé pour être utilisé et distribué.
Cet outil fait partie d'une suite de services basés sur l'intelligence artificielle fournis par le ministère de la présidence, de la justice et des relations parlementaires de l'Espagne. Il automatise et facilite diverses tâches de traitement de documents, y compris l'anonymisation personnalisée des documents.</t>
  </si>
  <si>
    <t>At this stage, the relationships of interest that are informed are:
- Relationships between interveners (how natural and legal persons may be related to each other; e.g., a person acts as the legal representative of a company)
- Other relationships between nominal entities (e.g., personal name – role – place; e.g., María – Lawyer - Madrid).
Another relevant functionality in this service is the possibility of displaying these relationships as a graph.
This tool is part of a suite of AI-powered services provided by the Ministry of the Presidency, Justice and Parliamentary Relations of Spain. It automates and facilitates various document processing tasks including the discovering of relationships between the nominal entities of a given document.</t>
  </si>
  <si>
    <t>À ce stade, les relations d'intérêt qui sont signalées sont les suivantes :
- Relations entre les intervenants (comment les personnes physiques et morales peuvent être liées entre elles ; par exemple, une personne agit en tant que représentant légal d'une entreprise)
- Autres relations entre les entités nominales (par exemple, nom personnel - rôle - lieu ; par exemple, María - Avocate - Madrid).
Une autre fonctionnalité pertinente de ce service est la possibilité d'afficher ces relations sous forme de graphique.
Cet outil fait partie d'une suite de services basés sur l'intelligence artificielle fournis par le ministère de la Présidence, de la Justice et des Relations parlementaires de l'Espagne. Il automatise et facilite diverses tâches de traitement de documents, notamment la découverte des relations entre les entités nominales d'un document donné.</t>
  </si>
  <si>
    <t>Once a document has been processed and its nominal entities extracted, the user is given the option to select one of them. Once selected, all other entities deemed ‘similar’ by the AI model become shaded (thus, similar entities are matched and identified as the same entity).
Example. Let the selected nominal entity by the user be the personal name “María Ramirez Garcia”. If this name would also appear in the document as:
- María Ram. Gar.
- M. Ramirez Garcia
The AI model would recognize them as the same entity. Thus, identification of a given nominal entity within the document is eased, and the total number of nominal entities decreases, thus simplifying its further analysis.
This tool is part of a suite of AI-powered services provided by the Ministry of the Presidency, Justice and Parliamentary Relations of Spain. It automates and facilitates various document processing tasks including document analysis by similarity of its nominal entities.</t>
  </si>
  <si>
    <t>Une fois qu'un document a été traité et que ses entités nominales ont été extraites, l'utilisateur a la possibilité de sélectionner l'une d'entre elles. Une fois sélectionnée, toutes les autres entités jugées « similaires » par le modèle d'IA sont ombrées (ainsi, les entités similaires sont mises en correspondance et identifiées comme étant la même entité).
Exemple. Supposons que l'entité nominale sélectionnée par l'utilisateur soit le nom propre « María Ramirez Garcia ». Si ce nom apparaît également dans le document sous la forme :
- María Ram. Gar.
- M. Ramirez Garcia
Le modèle d'IA les reconnaîtrait comme étant la même entité. Ainsi, l'identification d'une entité nominale donnée dans le document est facilitée et le nombre total d'entités nominales diminue, ce qui simplifie son analyse ultérieure.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en fonction de la similitude de leurs entités nominales.</t>
  </si>
  <si>
    <t>This analysis allows to identify references to legislation within a document and navigate to the parts of the document where such reference is made. It also displays the range of the norm, its full denomination and the link to the Official State Gaztte url where it is published.
This tool is part of a suite of AI-powered services provided by the Ministry of the Presidency, Justice and Parliamentary Relations of Spain. It automates and facilitates various document processing tasks including document analysis by legislation.</t>
  </si>
  <si>
    <t>Cette analyse permet d'identifier les références à la législation dans un document et de naviguer vers les parties du document où ces références apparaissent. Elle affiche également la portée de la norme, sa dénomination complète et le lien vers l'URL du Journal officiel de l'État où elle est publiée.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à la lumière de la législation.</t>
  </si>
  <si>
    <t>This analysis allows the user to find dates within the processed document, to navigate to the parts of the document where such dates appear and to filter them by defining a specific timespan (start date and end date).
This tool is part of a suite of AI-powered services provided by the Ministry of the Presidency, Justice and Parliamentary Relations of Spain. It automates and facilitates various document processing tasks including document analysis by relevant dates.</t>
  </si>
  <si>
    <t>Cette analyse permet à l'utilisateur de trouver des dates dans le document traité, de naviguer vers les parties du document où ces dates apparaissent et de les filtrer en définissant une période spécifique (date de début et date de fin).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en fonction de dates pertinentes.</t>
  </si>
  <si>
    <t>This analysis shows the quantities found in the processed document, and allows to navigate to the parts of the document where such quantities appear and to filter them by minimum and maximum values.
This tool is part of a suite of AI-powered services provided by the Ministry of the Presidency, Justice and Parliamentary Relations of Spain. It automates and facilitates various document processing tasks including document analysis by quantities.</t>
  </si>
  <si>
    <t>Cette analyse indique les quantités trouvées dans le document traité et permet de naviguer vers les parties du document où ces quantités apparaissent et de les filtrer par valeurs minimales et maximales.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par quantités.</t>
  </si>
  <si>
    <t>Document Summarization - Epigraphic</t>
  </si>
  <si>
    <t>Epigraphic document summarization consists on the abstractive summarization of the processed document's subject matter. The result of this summarization is used directly in final IT systems for different purposes (e.g., as the metadata of the processed document).
This tool is part of a suite of AI-powered services provided by the Ministry of the Presidency, Justice and Parliamentary Relations of Spain. It automates and facilitates various document processing tasks including epigraphic document summarisation.</t>
  </si>
  <si>
    <t>La synthèse de documents épigraphiques consiste à résumer de manière abstraite le sujet du document traité. Le résultat de cette synthèse est utilisé directement dans les systèmes informatiques finaux à différentes fins (par exemple, comme métadonnées du document traité).
Cet outil fait partie d'une suite de services basés sur l'intelligence artificielle fournis par le ministère de la Présidence, de la Justice et des Relations parlementaires de l'Espagne. Il automatise et facilite diverses tâches de traitement de documents, notamment la synthèse de documents épigraphiques.</t>
  </si>
  <si>
    <t>Document Summarisation - Sentences/Rulings</t>
  </si>
  <si>
    <t>With this tool, the most important fragments of a given sentence or ruling are extracted and then presented under their corresponding section (for a sentence: factual background, legal basis and judgment; for a ruling: factual background, legal basis and provisions). There is also the possibility of tuning the length of the outcome.
This tool is part of a suite of AI-powered services provided by the Ministry of the Presidency, Justice and Parliamentary Relations of Spain. It automates and facilitates various document processing tasks including document summarization of sentences and rulings.</t>
  </si>
  <si>
    <t>Grâce à cet outil, les fragments les plus importants d'une phrase ou d'une décision sont extraits, puis présentés dans la section correspondante (pour une phrase : contexte factuel, base juridique et jugement ; pour une décision : contexte factuel, base juridique et dispositions). Il est également possible d'ajuster la longueur du résultat.
Cet outil fait partie d'une suite de services basés sur l'intelligence artificielle fournis par le ministère de la présidence, de la justice et des relations parlementaires de l'Espagne. Il automatise et facilite diverses tâches de traitement de documents, notamment la synthèse de sentences et de décisions judiciaires.</t>
  </si>
  <si>
    <t>carpeta.justicia.es</t>
  </si>
  <si>
    <t>Document Summarisation - General Extractive</t>
  </si>
  <si>
    <t>With this tool, the most important sentences are extracted from the whole document, without taking into account specific sections, with the possibility of tuning the length of the outcome.
This tool is part of a suite of AI-powered services provided by the Ministry of the Presidency, Justice and Parliamentary Relations of Spain. It automates and facilitates various document processing tasks including the typical, extractive summarization of a document.</t>
  </si>
  <si>
    <t>Grâce à cet outil, les phrases les plus importantes sont extraites de l'ensemble du document, sans tenir compte de sections spécifiques, avec la possibilité d'ajuster la longueur du résultat.
Cet outil fait partie d'une suite de services basés sur l'intelligence artificielle fournis par le ministère de la Présidence, de la Justice et des Relations parlementaires de l'Espagne. Il automatise et facilite diverses tâches de traitement de documents, notamment la synthèse extractive classique d'un document.</t>
  </si>
  <si>
    <t>Document Summarisation – Plain language (custom)</t>
  </si>
  <si>
    <t>The service consists of the transcription of a legal text into everyday, non-legal language; with short sentences and terms that make documents, such as sentences or provisions, easy to understand for a person with no legal background.
In this tool, the customization aspect comes from the possibility of choosing the predefined role of the petitioner of the summarization, as well as the corresponding predefined focus of the request (e.g., role: “I am a LAWYER who needs to explain the content of a document to its client”; request: “I want to know the relevant facts of the document”). On top of this predefined prompting, for which the tool has been thoroughly trained, the user can also choose to freely define the description of both, role and request.
This tool is part of a suite of AI-powered services provided by the Ministry of the Presidency, Justice and Parliamentary Relations of Spain. It automates and facilitates various document processing tasks including the (custom) summarization of a legal document in plain language.</t>
  </si>
  <si>
    <t>Le service consiste à transcrire un texte juridique en langage courant, non juridique, avec des phrases courtes et des termes qui rendent les documents, tels que les phrases ou les dispositions, faciles à comprendre pour une personne sans connaissances juridiques.
Dans cet outil, la personnalisation réside dans la possibilité de choisir le rôle prédéfini du demandeur du résumé, ainsi que l'objet prédéfini de la demande (par exemple, rôle : « Je suis un AVOCAT qui doit expliquer le contenu d'un document à son client » ; demande : « Je souhaite connaître les faits pertinents du document »). En plus de ces invites prédéfinies, pour lesquelles l'outil a été minutieusement formé, l'utilisateur peut également choisir de définir librement la description du rôle et de la demande.
Cet outil fait partie d'une suite de services basés sur l'intelligence artificielle fournis par le ministère de la Présidence, de la Justice et des Relations parlementaires de l'Espagne. Il automatise et facilite diverses tâches de traitement de documents, notamment la synthèse (personnalisée) d'un document juridique en langage clair.</t>
  </si>
  <si>
    <t>Document Summarisation – Plain language (basic)</t>
  </si>
  <si>
    <t>The service consists of the transcription of a legal text into everyday, non-legal language; with short sentences and terms that make documents, such as sentences or provisions, easy to understand for a person with no legal background.
This tool is part of a suite of AI-powered services provided by the Ministry of the Presidency, Justice and Parliamentary Relations of Spain. It automates and facilitates various document processing tasks including the summarization of a legal document in plain language.</t>
  </si>
  <si>
    <t>Le service consiste à transcrire un texte juridique en langage courant, non juridique, avec des phrases courtes et des termes qui rendent les documents, tels que les phrases ou les dispositions, faciles à comprendre pour une personne sans connaissances juridiques.
Cet outil fait partie d'une suite de services basés sur l'intelligence artificielle fournis par le ministère de la Présidence, de la Justice et des Relations parlementaires de l'Espagne. Il automatise et facilite diverses tâches de traitement de documents, notamment la synthèse d'un document juridique en langage clair.</t>
  </si>
  <si>
    <t>Document Summarisation – Easy reading</t>
  </si>
  <si>
    <t>This service adapts a sentence into an easy reading format. Specifically, it adapts sentences mandating the adoption of support measures for the dependency of people with intellectual disabilities (e.g., measures such as guardianship over medical treatment, over decisions that affect the assets of the disabled person, the restriction on the granting of legal powers, etc).
This easy reading format combines pictograms and plain language which phrases have been truncated before or after certain syntagmas (based on the UNE 153101:2018 Spanish norm) in order to maximize the understanding of the message by people with intellectual disabilities. The document generated as outcome also includes a glossary of legal words.
This tool is part of a suite of AI-powered services provided by the Ministry of the Presidency, Justice and Parliamentary Relations of Spain. It automates and facilitates various document processing tasks including easy reading summarization of a legal document.</t>
  </si>
  <si>
    <t>Ce service adapte une phrase dans un format facile à lire. Plus précisément, il adapte les phrases imposant l'adoption de mesures de soutien pour la dépendance des personnes handicapées mentales (par exemple, des mesures telles que la tutelle pour les traitements médicaux, pour les décisions qui affectent les biens de la personne handicapée, la restriction de l'octroi de pouvoirs juridiques, etc.).
Ce format de lecture facile combine des pictogrammes et un langage simple, les phrases ayant été tronquées avant ou après certains syntagmes (sur la base de la norme espagnole UNE 153101:2018) afin de maximiser la compréhension du message par les personnes handicapées mentales. Le document généré comprend également un glossaire des termes juridiques.
Cet outil fait partie d'une suite de services basés sur l'intelligence artificielle fournis par le ministère de la Présidence, de la Justice et des Relations parlementaires de l'Espagne. Il automatise et facilite diverses tâches de traitement de documents, notamment la synthèse facile à lire d'un document juridique.</t>
  </si>
  <si>
    <t>Document Classification - Document Type by Subject</t>
  </si>
  <si>
    <t>The service classifies the subject matter of a document part of a civil procedure. To proceed with the classification, the user or automated system must upload the document, which will then be categorized, with a certain probability, as related to one or another subject matter. For example:
If the user (or automated system) uploaded a civil claim for damages, one possible outcome of the system would be:
· Claim for damages – With an 87.11% probability.
· Other commercial matters – With a 4.84% probability.
· Horizontal property law – With a 1.13% probability.
What would have happened if the user (or automated system) had updated a document part of a procedure of a jurisdiction different than civil? In such case, the system would have categorized the document as “BG” with a high probability, meaning that it is regarded as background noise, and therefore not part of a civil procedure.
This tool is part of a suite of AI-powered services provided by the Ministry of the Presidency, Justice and Parliamentary Relations of Spain. It automates and facilitates various document processing tasks including document classification by subject.</t>
  </si>
  <si>
    <t>Le service classe le sujet d'un document faisant partie d'une procédure civile. Pour procéder à la classification, l'utilisateur ou le système automatisé doit télécharger le document, qui sera ensuite classé, avec une certaine probabilité, comme étant lié à un sujet ou à un autre. Par exemple :
Si l'utilisateur (ou le système automatisé) a téléchargé une demande civile en dommages-intérêts, le système pourrait aboutir à l'un des résultats suivants :
· Demande en dommages-intérêts – Avec une probabilité de 87,11 %.
· Autres affaires commerciales – avec une probabilité de 4,84 %.
· Droit horizontal de la propriété – avec une probabilité de 1,13 %.
Que se serait-il passé si l'utilisateur (ou le système automatisé) avait mis à jour un document faisant partie d'une procédure relevant d'une juridiction autre que civile ? Dans ce cas, le système aurait classé le document comme « BG » avec une forte probabilité, ce qui signifie qu'il est considéré comme du bruit de fond et ne fait donc pas partie d'une procédure civile.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sujet.</t>
  </si>
  <si>
    <t>Document Classification by Registry Class</t>
  </si>
  <si>
    <t>To proceed with the classification, the user or automated system must select first the jurisdiction where the registry entry was made: civil, commercial, instruction, administrative or social.
Once the jurisdiction is selected, the user (or automated system) must upload the document to be classified, which will then be categorized, with a certain probability, as one or another registry class.
Consider, for example, that the uploaded document was produced for a civil case. A possible outcome of the system would be:
· The specialty of the document is “civil”, and the national registration class is “national enforcement orders” with a 93,85% probability.
· The specialty of the document is “civil”, and the national registration class is “proceedings on the adoption of judicial support measures for persons with disabilities” with a 0,92% probability.
· The specialty of the document is “civil”, and the national registration class is “provisional enforcement” with a 0,53% probability.
Therefore, the uploaded registry entry (document) would be classified as a national enforcement order.
What would have happened if the user (or automated system) had selected a different jurisdiction for this registry entry? In such case, the system would have categorized the
document as “BG” with a high probability, meaning that such document is regarded as background noise for the chosen jurisdiction and thus belongs to a different one.
An incredibly useful functionality to classify documents and aid with their metadata.
This tool is part of a suite of AI-powered services provided by the Ministry of the Presidency, Justice and Parliamentary Relations of Spain. It automates and facilitates various document processing tasks including document classification by registry class.</t>
  </si>
  <si>
    <t>Pour procéder au classement, l'utilisateur ou le système automatisé doit d'abord sélectionner la juridiction où l'inscription au registre a été effectuée : civile, commerciale, d'instruction, administrative ou sociale.
Une fois la juridiction sélectionnée, l'utilisateur (ou le système automatisé) doit télécharger le document à classer, qui sera ensuite catégorisé, avec une certaine probabilité, dans l'une ou l'autre classe de registre.
Supposons, par exemple, que le document téléchargé ait été produit dans le cadre d'une affaire civile. Le système pourrait aboutir aux résultats suivants :
· La spécialité du document est « civile » et la classe d'enregistrement nationale est « ordonnances d'exécution nationales » avec une probabilité de 93,85 %.
· La spécialité du document est « civil » et la classe d'enregistrement nationale est « procédures relatives à l'adoption de mesures judiciaires d'assistance aux personnes handicapées » avec une probabilité de 0,92 %.
· La spécialité du document est « civil » et la classe d'enregistrement nationale est « exécution provisoire » avec une probabilité de 0,53 %.
Par conséquent, l'entrée du registre téléchargée (document) serait classée comme une décision d'exécution nationale.
Que se serait-il passé si l'utilisateur (ou le système automatisé) avait sélectionné une juridiction différente pour cette entrée du registre ? Dans ce cas, le système aurait classé le document comme « BG » avec une forte probabilité, ce qui signifie que ce document est considéré comme un bruit de fond pour la juridiction choisie et appartient donc à une autre juridiction.
Il s'agit d'une fonctionnalité extrêmement utile pour classer les documents et faciliter l'utilisation de leurs métadonnées.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catégorie de registre.</t>
  </si>
  <si>
    <t>LexNET - NLP-automated upload of information</t>
  </si>
  <si>
    <t>LexNET is the secure information exchange platform between judicial bodies and professionals involved with the Administration of Justice; with full legal effect, it is provided by the Ministry of the Presidency, Justice and Parliamentary Relations of Spain.
LexNET allows for the digital submission of documents, as well as the transfer of copies when needed, by legal practitioners. It also allows for the delivery of notifications from judicial bodies. 
LexNET has incorporated Natural Language Processing (NLP) to streamline the update of new procedural documents.
In particular, NLP is used to scan the documents (to be forwarded to judicial bodies) and extract the different nominal entities contained therein. These entities are then matched with the fields of the form that must be completed to properly route the forward of any given document – fields that the user would have needed to select manually, one by one. However, when matched, such fields are automatically set to the value of the extracted nominal entities, thus releasing the user from such manual burden. A process that used to take minutes, now reduced to few seconds thanks to AI.</t>
  </si>
  <si>
    <t>LexNET est la plateforme sécurisée d'échange d'informations entre les organes judiciaires et les professionnels impliqués dans l'administration de la justice. Dotée d'une pleine valeur juridique, elle est mise à disposition par le ministère de la Présidence, de la Justice et des Relations parlementaires de l'Espagne.
LexNET permet aux praticiens du droit de soumettre des documents sous forme numérique et de transférer des copies si nécessaire. Elle permet également la transmission de notifications par les organes judiciaires.
LexNET a intégré le traitement du langage naturel (NLP) afin de rationaliser la mise à jour des nouveaux documents procéduraux.
Le NLP est notamment utilisé pour analyser les documents (à transmettre aux instances judiciaires) et extraire les différentes entités nominales qu'ils contiennent. Ces entités sont ensuite mises en correspondance avec les champs du formulaire qui doivent être remplis pour acheminer correctement tout document donné, champs que l'utilisateur aurait dû sélectionner manuellement, un par un. Cependant, une fois mis en correspondance, ces champs sont automatiquement renseignés avec la valeur des entités nominales extraites, ce qui libère l'utilisateur de cette tâche manuelle. Un processus qui prenait auparavant plusieurs minutes est désormais réduit à quelques secondes grâce à l'IA.</t>
  </si>
  <si>
    <t>https://lexnet.justicia.es/</t>
  </si>
  <si>
    <t>Document Classification by Jurisdiction</t>
  </si>
  <si>
    <t>The service classifies a document according to its jurisdiction (civil, criminal, social or administrative) with a certain probability, showing the percentage of coincidence.
For example, if the user or automated system uploaded a criminal sentence to the service, the tool outcome would be:
· The specialty of the document is “civil” with a 0,02% probability.
· The specialty of the document is “criminal” with a 99,97% probability.
· The specialty of the document is “social” with a 0,01% probability.
· The specialty of the document is “administrative” with a 0,00% probability.
An incredibly useful functionality to classify documents and aid with their metadata
This tool is part of a suite of AI-powered services provided by the Ministry of the Presidency, Justice and Parliamentary Relations of Spain. It automates and facilitates various document processing tasks including document classification by jurisdiction.</t>
  </si>
  <si>
    <t>Le service classe un document en fonction de sa juridiction (civile, pénale, sociale ou administrative) avec un certain degré de probabilité, en indiquant le pourcentage de coïncidence.
Par exemple, si l'utilisateur ou le système automatisé télécharge une condamnation pénale sur le service, le résultat de l'outil sera le suivant :
· La spécialité du document est « civile » avec une probabilité de 0,02 %.
· La spécialité du document est « pénale » avec une probabilité de 99,97 %.
· La spécialité du document est « sociale » avec une probabilité de 0,01 %.
· La spécialité du document est « administrative » avec une probabilité de 0,00 %.
Une fonctionnalité extrêmement utile pour classer les documents et faciliter la saisie de leurs métadonnées.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juridiction.</t>
  </si>
  <si>
    <t>Document Classification - Document Type by Issuer</t>
  </si>
  <si>
    <t>The service classifies a document belonging to the electronic judicial file. To proceed with the classification, the user or automated system must select among three categories of issuer entities:
o Documents issued by attorneys at law, procuradores and social graduates;
o Documents issued by prosecutors, law enforcement corps, hospitals, public Administrations and penitentiary institutions;
o Documents issued by a court.
Once the category is selected, the user (or automated system) must upload the document to be classified, which will then be categorized, with a certain probability, as produced by each of the issuers considered in that category. For example:
If the user (or automated system) uploaded a criminal sentence to be classified within the category “Documents issued by a court “, one possible outcome of the system would be:
· Sentence – With a 95.76% probability.
· Deposition – With a 1.63% probability.
· Certificate – With a 1.34% probability.
What would have happened if the user (or automated system) had chosen a different category of issuer entities for this document? In such case, the system would have categorized the document as “BG” with a high probability, meaning that it is regarded as
background noise for the chosen category, and therefore has not been produced by any of the issuers considered therein.
An incredibly useful functionality to classify documents and aid with their metadata.
This tool is part of a suite of AI-powered services provided by the Ministry of the Presidency, Justice and Parliamentary Relations of Spain. It automates and facilitates various document processing tasks including document classification by type of issuer.</t>
  </si>
  <si>
    <t>Le service classe un document appartenant au dossier judiciaire électronique. Pour procéder au classement, l'utilisateur ou le système automatisé doit sélectionner l'une des trois catégories d'entités émettrices suivantes :
o Documents émis par des avocats, des procureurs et des diplômés en sciences sociales ;
o Documents émis par des procureurs, des corps chargés de l'application de la loi, des hôpitaux, des administrations publiques et des établissements pénitentiaires ;
o Documents émis par un tribunal.
Une fois la catégorie sélectionnée, l'utilisateur (ou le système automatisé) doit télécharger le document à classer, qui sera ensuite classé, avec une certaine probabilité, comme produit par chacun des émetteurs pris en compte dans cette catégorie. Par exemple :
Si l'utilisateur (ou le système automatisé) a téléchargé un jugement pénal à classer dans la catégorie « Documents émis par un tribunal », le système pourrait aboutir au résultat suivant :
· Jugement – avec une probabilité de 95,76 %.
· Déposition – avec une probabilité de 1,63 %.
· Certificat – avec une probabilité de 1,34 %.
Que se serait-il passé si l'utilisateur (ou le système automatisé) avait choisi une catégorie différente d'entités émettrices pour ce document ? Dans ce cas, le système aurait classé le document comme « BG » avec une probabilité élevée, ce qui signifie qu'il est considéré comme un bruit de fond pour la catégorie choisie et qu'il n'a donc été produit par aucun des émetteurs pris en compte dans cette catégorie.
Une fonctionnalité extrêmement utile pour classer les documents et faciliter la gestion de leurs métadonnées.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type d'émetteur.</t>
  </si>
  <si>
    <t>Carpeta Justicia - Document Anonymisation - Automatic</t>
  </si>
  <si>
    <t>Part of  Carpeta Justicia are several AI tools, such us automatic document anonymization.
Automatic anonymization consists of replacing all categories of nominal entities detected (e.g., personal names, places, identification codes of natural and legal persons) with hyphens. The tool also allows the user to navigate to the parts of the document where the anonymized entities appear.
Once the anonymization process is completed, the document can be downloaded for use and distribution.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t>
  </si>
  <si>
    <t xml:space="preserve">Carpeta Justicia propose  plusieurs outils d'IA, tels que l'anonymisation automatique des documents.
L'anonymisation automatique consiste à remplacer toutes les catégories d'entités nominales détectées (par exemple, les noms de personnes, les lieux, les codes d'identification des personnes physiques et morales) par des tirets. L'outil permet également à l'utilisateur de naviguer vers les parties du document où apparaissent les entités anonymisées.
Une fois le processus d'anonymisation terminé, le document peut être téléchargé pour être utilisé et distribué.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
</t>
  </si>
  <si>
    <t>https://carpeta.justicia.es/</t>
  </si>
  <si>
    <t>Carpeta Justicia - Document Summarization - Plain language</t>
  </si>
  <si>
    <t>Part of  Carpeta Justicia are several AI tools, such us the summarization of a legal document in plain language.
The service consists of the transcription of a legal text into everyday, non-legal language; with short sentences and terms that make documents, such as sentences or provisions, easy to understand for a person with no legal background.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t>
  </si>
  <si>
    <t>Carpeta Justicia propose  plusieurs outils d'IA, tels que la synthèse d'un document juridique en langage clair.
Le service consiste à transcrire un texte juridique en langage courant, avec des phrases courtes et des termes qui rendent les documents, tels que les sentences ou les dispositions, faciles à comprendre pour une personne sans connaissances juridiques.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t>
  </si>
  <si>
    <t>Carpeta Justicia - Document Summarization - General Extractive</t>
  </si>
  <si>
    <t xml:space="preserve">Part of  Carpeta Justicia are several AI tools, such as including the typical, extractive summarization of a document.
With this tool, the most important sentences are extracted from the whole document, without taking into account specific sections, with the possibility of tuning the length of the outcome.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
</t>
  </si>
  <si>
    <t>Carpeta Justicia propose  plusieurs outils d'IA, tels que la synthèse extractive d'un document.
Cet outil permet d'extraire les phrases les plus importantes de l'ensemble du document, sans tenir compte de sections spécifiques, avec la possibilité d'ajuster la longueur du résultat.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t>
  </si>
  <si>
    <t>Carpeta Justicia - Document Summarization - Sentences/Rulings</t>
  </si>
  <si>
    <t>Also offered in Carpeta Justicia are several AI tools, such as document summarization of sentences and rulings.
With this tool, the most important fragments of a given sentence or ruling are extracted and then presented under their corresponding section (for a sentence: factual background, legal basis and judgment; for a ruling: factual background, legal basis and provisions). There is also the possibility of tuning the length of the outcome.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t>
  </si>
  <si>
    <t>Carpeta Justicia propose  plusieurs outils d'IA, tels que la synthèse de documents de jugements et de décisions.
Cet outil permet d'extraire les fragments les plus importants d'un jugement ou d'une décision, puis de les présenter dans la section correspondante (pour un jugement : faits, base juridique et jugement ; pour une décision : faits, base juridique et dispositions). Il est également possible de régler la longueur du résultat.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t>
  </si>
  <si>
    <t>Carpeta Justicia - Document Anonymization - Initials</t>
  </si>
  <si>
    <t xml:space="preserve">Part of  Carpeta Justicia are several AI tools, such as the document anonymization by initials. 
Initials anonymization consists of replacing the names of natural persons by their initials. In the case of identification codes of natural and legal persons, only the first and last digits appear. For the rest of categories of nominal entities that may be identified within the document (e.g., places), words are replaced by hyphens. The tool also allows the user to navigate to the parts of the document where the anonymized entities appear.
Once the anonymization process is completed, the document can be downloaded for use and distribution.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
</t>
  </si>
  <si>
    <t>Carpeta Justicia propose également plusieurs outils d'IA, tels que l'anonymisation des documents par initiales.
L'anonymisation par initiales consiste à remplacer les noms des personnes physiques par leurs initiales. Dans le cas des codes d'identification des personnes physiques et morales, seuls le premier et le dernier chiffre apparaissent. 
Pour les autres catégories d'entités nominales pouvant être identifiées dans le document (par exemple, les lieux), les mots sont remplacés par des tirets. L'outil permet également à l'utilisateur de naviguer vers les parties du document où apparaissent les entités anonymisées.
Une fois le processus d'anonymisation terminé, le document peut être téléchargé pour être utilisé et distribué.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t>
  </si>
  <si>
    <t>Database of Legal Positions of the Supreme Court (База правових позицій Верховного Суду)</t>
  </si>
  <si>
    <t>2021</t>
  </si>
  <si>
    <t xml:space="preserve">The Database of Legal Positions of the Supreme Court is an online resource developed by the Supreme Court in 2021 with the support of the EU Project «Pravo-Justice». The database was created to promote the unity of judicial practice, enhance legal certainty, and facilitate access to legal positions contained in the Supreme Court’s decisions. 
This tool is designed to support transparency in the application of law, stability of judicial decisions, and the overall improvement of the quality of justice in Ukraine. The database was developed with the needs of legal practitioners in mind, incorporating modern IT solutions and elements of generative artificial intelligence. </t>
  </si>
  <si>
    <t>La base de données des positions juridiques de la Cour suprême est une ressource en ligne développée par la Cour suprême en 2021 avec le soutien du projet européen « Pravo-Justice ». La base de données a été créée afin de promouvoir l'unité de la pratique judiciaire, de renforcer la sécurité juridique et de faciliter l'accès aux positions juridiques contenues dans les décisions de la Cour suprême.
 Cet outil est conçu pour favoriser la transparence dans l'application du droit, la stabilité des décisions judiciaires et l'amélioration globale de la qualité de la justice en Ukraine. La base de données a été développée en tenant compte des besoins des praticiens du droit et en intégrant des solutions informatiques modernes et des éléments d'intelligence artificielle générative.</t>
  </si>
  <si>
    <t>https://lpd.court.gov.ua/</t>
  </si>
  <si>
    <t>Chat-TF</t>
  </si>
  <si>
    <t xml:space="preserve">Before submitting a query to an online artificial intelligence site such as Chat-GPT, the Chat-TF system anonymises the query using artificial intelligence and then submits it to the chosen artificial intelligence engine (e.g. to generate a summary). Once the result (summary in our example) has been obtained from the external artificial intelligence system, the anonymised names are reintroduced into the text by the internal artificial intelligence system (Chat-TF) and it is this result that is returned to the user. </t>
  </si>
  <si>
    <t xml:space="preserve">Avant de déposer une requête sur un site d'intelligence artificielle en ligne comme Chat-GPT, le système Chat-TF anonymise à l'aide d'intelligence artificielle la requête puis la dépose dans le moteur d'intelligence artificielle choisi (par exemple pour générer un résumé). Une fois le résultat (résumé dans notre exemple) obtenu du système externe d'intelligence artificielle les noms anonymisés sont réintroduits dans le texte par le système interne d'intelligence artificielle (Chat-TF) et c'est ce résultat qui est restitué  à l'utilisateur. </t>
  </si>
  <si>
    <t>https://www.bj.admin.ch/dam/bj/de/data/staat/rechtsinformatik/magglingen/2025/01-brunner.pdf.download.pdf/01-brunner-d.pdf</t>
  </si>
  <si>
    <t>Withdrawn</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</si>
  <si>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</si>
  <si>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</si>
  <si>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</si>
  <si>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</si>
  <si>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</si>
  <si>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</si>
  <si>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</si>
  <si>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</si>
  <si>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</si>
  <si>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</si>
  <si>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</si>
  <si>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</si>
  <si>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</si>
  <si>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</si>
  <si>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</si>
  <si>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</si>
  <si>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</si>
  <si>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</si>
  <si>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</si>
  <si>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</si>
  <si>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</si>
  <si>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</si>
  <si>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</si>
  <si>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</si>
  <si>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</si>
  <si>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</si>
  <si>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</si>
  <si>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</si>
  <si>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Summary Generator and Legal Event Detector</t>
  </si>
  <si>
    <r>
      <t xml:space="preserve">The CENDOJ, Spain’s judicial documentation centre, has introduced an AI-powered summarisation system to assist judges and magistrates. The tool uses natural language processing to identify and summarise essential information in judgments while preserving context. Unlike commercial AI systems, CENDOJ’s tools operate in a secure, closed environment with anonymised data and no reliance on foreign models.
Among the innovations is a Summary Generator and Legal Event Detector, which produces accurate summaries focused on the ratio decidendi and creates visual maps of key elements in a judgment—facts, reasoning, and operative parts. Over 130,000 graphical relationships have already been integrated into the system, improving navigation through jurisprudence.
</t>
    </r>
    <r>
      <rPr>
        <sz val="11"/>
        <color rgb="FFFF0000"/>
        <rFont val="Calibri"/>
        <family val="2"/>
        <scheme val="minor"/>
      </rPr>
      <t>The goal is to</t>
    </r>
    <r>
      <rPr>
        <sz val="11"/>
        <color rgb="FF000000"/>
        <rFont val="Calibri"/>
        <family val="2"/>
        <scheme val="minor"/>
      </rPr>
      <t xml:space="preserve"> to equip judges with secure, transparent, and highly specialised tools that enhance their work without replacing judicial discretion.</t>
    </r>
  </si>
  <si>
    <t>Le CENDOJ, centre de documentation du pouvoir judiciaire espagnol, a mis en place un système de synthèse automatique fondé sur l’IA pour assister les juges et magistrats. L’outil utilise le traitement du langage naturel pour identifier et résumer les informations essentielles des décisions tout en respectant leur contexte. Contrairement aux IA commerciales, les outils du CENDOJ fonctionnent dans un environnement fermé et sécurisé, avec des données anonymisées et sans dépendance à des modèles étrangers.
Parmi les innovations figure un générateur de résumés et un détecteur d’événements juridiques, capables de produire des synthèses centrées sur la ratio decidendi et de créer des cartes visuelles des éléments clés de la décision — faits, fondements juridiques et dispositif. Plus de 130 000 relations graphiques ont déjà été intégrées, facilitant la navigation dans la jurisprudence.
L’objectif est de fournir aux juges des outils spécialisés, sûrs et transparents qui renforcent leur travail sans remplacer leur appréciation judiciaire.</t>
  </si>
  <si>
    <t>Batch 8</t>
  </si>
  <si>
    <t>Classifications and Citations</t>
  </si>
  <si>
    <r>
      <t xml:space="preserve">This tool automatically identifies the case law and legislation cited in a document, links them to the Thesaurus, highlights their relevance, and provides one-click access to the </t>
    </r>
    <r>
      <rPr>
        <sz val="11"/>
        <color rgb="FFFF0000"/>
        <rFont val="Calibri"/>
        <family val="2"/>
        <scheme val="minor"/>
      </rPr>
      <t>BOE</t>
    </r>
    <r>
      <rPr>
        <sz val="11"/>
        <color rgb="FF000000"/>
        <rFont val="Calibri"/>
        <family val="2"/>
        <scheme val="minor"/>
      </rPr>
      <t xml:space="preserve"> or the corresponding </t>
    </r>
    <r>
      <rPr>
        <sz val="11"/>
        <color rgb="FFFF0000"/>
        <rFont val="Calibri"/>
        <family val="2"/>
        <scheme val="minor"/>
      </rPr>
      <t>CENDOJ</t>
    </r>
    <r>
      <rPr>
        <sz val="11"/>
        <color rgb="FF000000"/>
        <rFont val="Calibri"/>
        <family val="2"/>
        <scheme val="minor"/>
      </rPr>
      <t xml:space="preserve"> decision.
What was originally designed to streamline judicial work can now also be used to detect fabricated or incorrect citations.
</t>
    </r>
  </si>
  <si>
    <t xml:space="preserve">Cet outil détecte automatiquement la jurisprudence et la législation citées dans un document, les relie au Thésaurus, indique leur pertinence et offre un accès direct, en un clic, au BOE ou à la décision correspondante du CENDOJ.
Ce qui, à l’origine, avait été conçu pour faciliter le travail judiciaire peut désormais aussi servir à repérer des citations inventées ou incorrectes.
</t>
  </si>
  <si>
    <t>AI model for analysis and standardization of case law and prediction of outcomes in court cases</t>
  </si>
  <si>
    <r>
      <t xml:space="preserve">The project involves the technical development and training of an AI pilot model within the SJC’s regulatory laboratory, in collaboration with </t>
    </r>
    <r>
      <rPr>
        <sz val="11"/>
        <color rgb="FFFF0000"/>
        <rFont val="Calibri"/>
        <family val="2"/>
        <scheme val="minor"/>
      </rPr>
      <t>INSAIT</t>
    </r>
    <r>
      <rPr>
        <sz val="11"/>
        <color rgb="FF000000"/>
        <rFont val="Calibri"/>
        <family val="2"/>
        <scheme val="minor"/>
      </rPr>
      <t>. The model is trained on a wide range of anonymised court decisions, selected by judges across various legal fields, to detect and analyse recurring patterns. It is expected to process this data and demonstrate AI capabilities for automating case analysis and supporting judicial work by generating draft judicial acts based on mandatory case law and case law selected by appellate and cassation judges.
The pilot will also include tools to detect inconsistencies and divergent practices, helping to improve predictability and consistency in the administration of justice.
The project further includes testing and deploying the pilot model across the entire justice system and maintaining it during the programming period. The model will also be used to promote out-of-court settlements and mediation, helping to reduce the courts’ workload. The app uses AI to interpret user requests and generate the required documents, instructions, or actions. Users input their issue, and the system produces the appropriate template or communication; in some cases, the AI negotiates directly with companies on the user’s behalf.</t>
    </r>
  </si>
  <si>
    <t>Le projet prévoit le développement technique et l’entraînement d’un modèle pilote d’IA au sein du laboratoire réglementaire du CSM, en collaboration avec INSAIT. Le modèle est formé à partir d’un large ensemble de décisions judiciaires anonymisées, sélectionnées par des juges dans différents domaines du droit, afin de détecter et d’analyser des schémas récurrents. Il doit être en mesure de traiter ces données et de démontrer les capacités de l’IA pour l’automatisation de l’analyse des affaires et le soutien au travail juridictionnel, notamment par la génération de projets d’actes judiciaires fondés sur la jurisprudence obligatoire et celle retenue par les juges d’appel et de cassation.
Le modèle pilote comprendra également des outils permettant de détecter les contradictions et les divergences de pratique, afin d’améliorer la prévisibilité et l’uniformité de l’administration de la justice.
Le projet prévoit en outre le test et le déploiement du modèle pilote dans l’ensemble du système judiciaire, ainsi que sa maintenance durant la période de programmation. Le modèle sera également utilisé pour encourager les règlements extrajudiciaires et la médiation, contribuant ainsi à alléger la charge de travail des tribunaux.</t>
  </si>
  <si>
    <t>Chatbot for citizens</t>
  </si>
  <si>
    <t>The project includes the creation of an intuitive chatbot using natural language processing (NLP) to provide immediate answers to basic legal questions identified within the regulatory sandbox, as well as information on court procedures in clear, accessible language. The chatbot will be integrated with legal databases to ensure accurate, reliable and up-to-date information. It will also be accessible through multiple channels, including websites, mobile applications and social networks.</t>
  </si>
  <si>
    <t>Le projet prévoit la création d’un chatbot intuitif utilisant le traitement du langage naturel (NLP) afin de fournir des réponses immédiates aux questions juridiques de base identifiées dans le cadre du bac à sable réglementaire, ainsi que des informations sur les procédures judiciaires dans un langage clair et accessible. Le chatbot sera intégré aux bases de données juridiques afin de garantir une information précise, fiable et à jour. Il sera accessible via différents canaux : site web, applications mobiles et réseaux sociaux.</t>
  </si>
  <si>
    <t xml:space="preserve">Monitoring and evaluating AI decisions </t>
  </si>
  <si>
    <t>The project includes establishing mechanisms to ensure transparency and accountability in decisions supported by AI. It also provides for the regular evaluation and review of AI tools to guarantee their ethical use, accuracy, and continued usefulness.</t>
  </si>
  <si>
    <t>Le projet prévoit la mise en place de mécanismes garantissant la transparence et la responsabilité des décisions prises avec l’aide de l’IA. Il comprend également l’évaluation et la révision régulières des outils d’IA afin d’en assurer l’éthique, la précision et l’utilité continue.</t>
  </si>
  <si>
    <t xml:space="preserve">AI-BgCPT / Regulatory sandbox monitoring the judicial use of AI </t>
  </si>
  <si>
    <t>The Supreme Judicial Council plans to establish such a regulatory sandbox to guide, structure and monitor the introduction of AI within the justice system. This initiative will be supported by INSAIT (Institute for Computer Science, Artificial Intelligence and Technology) at Sofia University “St. Kliment Ohridski,” the creator of the EU-unique model AI-BgGPT. The sandbox will serve as the central framework for safely experimenting with AI tools in judicial processes while ensuring transparency, legal compliance and adaptability.</t>
  </si>
  <si>
    <t>Le Conseil supérieur de la magistrature prévoit de mettre en place un tel bac à sable réglementaire afin de définir, structurer et superviser l’introduction de l’intelligence artificielle dans le système judiciaire. Cette initiative sera soutenue par INSAIT (Institut des sciences informatiques, de l’intelligence artificielle et des technologies) de l’Université de Sofia « Saint-Clément d’Ohrid », créateur du modèle AI-BgGPT, unique au sein de l’Union européenne. Le bac à sable constituera le cadre central permettant d’expérimenter en toute sécurité les outils d’IA dans les processus judiciaires, tout en garantissant la transparence, la conformité juridique et la capacité d’adaptation.</t>
  </si>
  <si>
    <t>Amica</t>
  </si>
  <si>
    <t>Amica is an Australian government-supported online platform designed to help separating couples reach agreements on parenting and property matters without going to court. Using AI, it provides personalised suggestions based on factors such as the duration of the relationship, financial contributions, and future needs. The platform guides users through structured negotiations, enabling them to create legally enforceable agreements confidentially and cost-effectively. Amica is particularly well-suited for couples experiencing relatively amicable separations who want a structured yet flexible approach to resolving family law issues.</t>
  </si>
  <si>
    <t>Amica est une plateforme en ligne soutenue par le gouvernement australien, conçue pour aider les couples en séparation à parvenir à des accords concernant la garde des enfants et le partage des biens sans avoir à se rendre au tribunal. Grâce à l’intelligence artificielle, elle fournit des recommandations personnalisées fondées sur des facteurs tels que la durée de la relation, les contributions financières et les besoins futurs. La plateforme guide les utilisateurs à travers des négociations structurées, leur permettant de créer des accords juridiquement contraignants de manière confidentielle et économique. Amica convient particulièrement aux couples dont la séparation est relativement consensuelle et qui recherchent une approche à la fois structurée et flexible pour résoudre les questions relevant du droit de la famille.</t>
  </si>
  <si>
    <t xml:space="preserve">https://amica.gov.au/ </t>
  </si>
  <si>
    <t>https://radar.ircai.org/en/tools/amica/</t>
  </si>
  <si>
    <t>Cabo Verde</t>
  </si>
  <si>
    <t>The Justice Portal of Cabo Verde is an official digital platform created to modernize, integrate, and facilitate access to justice information and services for citizens, businesses, and legal professionals. Launched in 2024,  the portal aims to digitize procedures, reduce bureaucracy, and enhance the efficiency and transparency of judicial services.
The platform offers a wide range of online services, including AI interactive chat , requests for certificates (birth, marriage, death, criminal record), registrations (land, vehicle, commercial), renewal of the National Identification Card (CNI), appointment scheduling, and remote access to legal cases for lawyers. Services are organized by thematic areas — such as Civil Registry, Notary, Civil Identification, Justice, Prison Management, among others — and are classified as informational, interactive, or transactional, depending on their complexity and whether authentication is required.
Secure access to the portal is provided through the Autentika do Estado platform, ensuring user data protection in accordance with Cape Verdean legislation. The Justice Portal is integrated with other public administration systems, ensuring interoperability and contributing to a more accessible, digital, and citizen-centered justice system.</t>
  </si>
  <si>
    <t>Le Portail de la justice du Cap-Vert est une plateforme numérique officielle créée pour moderniser, intégrer et faciliter l'accès aux informations et aux services judiciaires pour les citoyens, les entreprises et les professionnels du droit. Lancé en 2024, le portail vise à numériser les procédures, à réduire la bureaucratie et à améliorer l'efficacité et la transparence des services judiciaires.
La plateforme offre un large éventail de services en ligne, notamment un chat interactif basé sur l'intelligence artificielle, des demandes de certificats (naissance, mariage, décès, casier judiciaire), des enregistrements (terrain, véhicule, commerce), le renouvellement de la carte d'identité nationale (CNI), la prise de rendez-vous et l'accès à distance aux dossiers judiciaires pour les avocats. Les services sont organisés par thèmes (état civil, notariat, identification civile, justice, gestion pénitentiaire, entre autres) et classés comme informatifs, interactifs ou transactionnels, en fonction de leur complexité et de la nécessité ou non d'une authentification.
L'accès sécurisé au portail est assuré par la plateforme Autentika do Estado, qui garantit la protection des données des utilisateurs conformément à la législation capverdienne. Le portail de la justice est intégré à d'autres systèmes de l'administration publique, ce qui garantit l'interopérabilité et contribue à rendre le système judiciaire plus accessible, plus numérique et plus centré sur les citoyens.
Traduit avec DeepL.com (version gratuite)</t>
  </si>
  <si>
    <t xml:space="preserve">https://justica.gov.cv/chat/ </t>
  </si>
  <si>
    <t>https://justica.gov.cv/</t>
  </si>
  <si>
    <t>IFZO / Matching offender to forensic care location</t>
  </si>
  <si>
    <t>The judge imposes forensic care on people who committed a crime from a psychiatric disorder, mental illness or intellectual disability. The judge gives a punishment or measure. DJI carries out that punishment or measure and places litigants with a forensic care provider. This algorithm suggests suitable care providers.</t>
  </si>
  <si>
    <t>Le juge impose des soins médico-légaux aux personnes ayant commis une infraction en raison d’un trouble psychiatrique, d’une maladie mentale ou d’une déficience intellectuelle. Il prononce alors une peine ou une mesure. Le DJI exécute cette peine ou cette mesure et place les justiciables auprès d’un prestataire de soins médico-légaux. Cet algorithme propose des prestataires de soins adaptés.</t>
  </si>
  <si>
    <t>https://algoritmes.overheid.nl/en/algoritme/oorg10114/85258929/matching-offender-to-forensic-care-location-ifzo-algorithm</t>
  </si>
  <si>
    <t>Calculating detention periods</t>
  </si>
  <si>
    <t>This algorithm calculates the end date of one or more sentences or measures imposed on a person. This ensures that this person serves their sentence in full and is released on time.</t>
  </si>
  <si>
    <t>Cet algorithme calcule la date de fin d’une ou de plusieurs peines ou mesures imposées à une personne. Il garantit ainsi que cette personne exécute l’intégralité de sa peine et soit libérée au moment prévu.</t>
  </si>
  <si>
    <t>https://algoritmes.overheid.nl/en/algoritme/oorg10114/93743583/calculating-detention-periods</t>
  </si>
  <si>
    <t xml:space="preserve">RITAX / Risk Assessment Instrument Juvenile Criminal Justice </t>
  </si>
  <si>
    <t>The Ritax is part of the LIJ and is used for young people suspected of committing a crime. Ritax is a scientifically based risk assessment instrument. It allows a substantiated recommendation to be made for an intervention to prevent recidivism and encourage positive development of the young person.</t>
  </si>
  <si>
    <t>Le Ritax fait partie du LIJ et est utilisé pour les jeunes soupçonnés d’avoir commis une infraction. Ritax est un instrument d’évaluation des risques fondé scientifiquement. Il permet de formuler une recommandation étayée concernant une intervention visant à prévenir la récidive et à favoriser le développement positif du jeune.</t>
  </si>
  <si>
    <t>https://algoritmes.overheid.nl/en/algoritme/mnre1058/535137/537490/15996611/risk-assessment-instrument-juvenile-criminal-justice-ritax</t>
  </si>
  <si>
    <t>Register criminal database</t>
  </si>
  <si>
    <t>The criminal justice database assists in determining leading identity in criminal cases. The personal details of a suspect or convicted person are stored in this system under a unique number supported by an algorithm. The algorithm follows the rules given to it by experts from the Judicial Information Service (Justid) in the field of identity determination. This is also known as a rule-based algorithm. Using these rules, the algorithm first checks whether there is sufficient similarity with an existing registration to which the new set of personal details can be automatically linked. If this is not the case, the algorithm uses the rules to check whether there are registrations of persons that have a lot of similarities with the supplied set of personal details. In the latter situation, this suggestion from the algorithm is submitted to a Matching Authority employee. The Matching Authority employee then examines whether the supplied set of personalia and the result found by the algorithm are the same person</t>
  </si>
  <si>
    <t>La base de données de justice pénale aide à déterminer l’identité principale dans les affaires pénales. Les données personnelles d’un suspect ou d’un condamné y sont enregistrées sous un numéro unique généré grâce à un algorithme. L'algorithme suit les règles qui lui sont fournies par les experts du Service d'information judiciaire (Justid) dans le domaine de la détermination de l'identité. On parle également d'algorithme basé sur des règles. À l'aide de ces règles, l'algorithme vérifie d'abord s'il existe une similitude suffisante avec un enregistrement existant auquel le nouvel ensemble de données personnelles peut être automatiquement lié. Si ce n'est pas le cas, l'algorithme utilise les règles pour vérifier s'il existe des enregistrements de personnes présentant de nombreuses similitudes avec l'ensemble de données personnelles fourni. Dans ce dernier cas, la suggestion de l'algorithme est soumise à un employé de l'autorité de correspondance. L'employé de l'autorité de correspondance examine alors si l'ensemble de données personnelles fourni et le résultat trouvé par l'algorithme correspondent à la même personne.
Traduit avec DeepL.com (version gratuite)</t>
  </si>
  <si>
    <t>https://algoritmes.overheid.nl/en/algoritme/oorg10249/71975649/register-criminal-database</t>
  </si>
  <si>
    <t>The CENDOJ, Spain’s judicial documentation centre, has introduced an AI-powered summarisation system to assist judges and magistrates. The tool uses natural language processing to identify and summarise essential information in judgments while preserving context. Unlike commercial AI systems, CENDOJ’s tools operate in a secure, closed environment with anonymised data and no reliance on foreign models.
Among the innovations is a Summary Generator and Legal Event Detector, which produces accurate summaries focused on the ratio decidendi and creates visual maps of key elements in a judgment—facts, reasoning, and operative parts. Over 130,000 graphical relationships have already been integrated into the system, improving navigation through jurisprudence.
The goal is to to equip judges with secure, transparent, and highly specialised tools that enhance their work without replacing judicial discretion.</t>
  </si>
  <si>
    <t xml:space="preserve">This tool automatically identifies the case law and legislation cited in a document, links them to the Thesaurus, highlights their relevance, and provides one-click access to the BOE or the corresponding CENDOJ decision.
What was originally designed to streamline judicial work can now also be used to detect fabricated or incorrect citations.
</t>
  </si>
  <si>
    <t>The project involves the technical development and training of an AI pilot model within the SJC’s regulatory laboratory, in collaboration with INSAIT. The model is trained on a wide range of anonymised court decisions, selected by judges across various legal fields, to detect and analyse recurring patterns. It is expected to process this data and demonstrate AI capabilities for automating case analysis and supporting judicial work by generating draft judicial acts based on mandatory case law and case law selected by appellate and cassation judges.
The pilot will also include tools to detect inconsistencies and divergent practices, helping to improve predictability and consistency in the administration of justice.
The project further includes testing and deploying the pilot model across the entire justice system and maintaining it during the programming period. The model will also be used to promote out-of-court settlements and mediation, helping to reduce the courts’ workload. The app uses AI to interpret user requests and generate the required documents, instructions, or actions. Users input their issue, and the system produces the appropriate template or communication; in some cases, the AI negotiates directly with companies on the user’s behalf.</t>
  </si>
  <si>
    <t>2025</t>
  </si>
  <si>
    <t>5 - Anonymisation et pseudonymisation; 3 - Prévision des résultats des litiges</t>
  </si>
  <si>
    <t>https://rm.coe.int/internal-system/4880299b55</t>
  </si>
  <si>
    <t>Generative AI knowledge retrieval assistant</t>
  </si>
  <si>
    <t>In a busy court environment, finding the right information quickly and easily is critical to ensuring efficient and compliant operations. However, frontline staff have access to hundreds of operational procedures and guidance documents – meaning it can take tens of minutes to find relevant content, with staff often eventually resorting to colleagues for advice, impacting productivity of the whole team. 
To solve this, we developed and piloted a generative AI knowledge retrieval assistant. Staff can ask questions using natural language and the tool interrogates over 300 unstructured documents before returning a simple summary, accompanied by a citation to the source document. Evaluation showed court staff could access the information they need so they can digest key information more quickly, ultimately increasing the pace of case administration in the justice system. Following a successful pilot, we are now exploring ways to scale the solution.</t>
  </si>
  <si>
    <t>https://www.gov.uk/government/publications/ai-action-plan-for-justice/ai-action-plan-for-justice</t>
  </si>
  <si>
    <t>Lee Howse, HM Courts and Tribunals Service. lee.howse@justice.gov.uk</t>
  </si>
  <si>
    <t>Novel transcription  to support the administration of justice across the courts and tribunals</t>
  </si>
  <si>
    <t>HMCTS has conducted a 12-week pilot to assess how AI transcription of hearings and oral judgements could assist judges in preparing and writing decisions in the Immigration and Asylum Chamber. The technology could speed up manual transcription, enable transcripts where none currently exist, and improve public access to court proceedings. Early findings have been encouraging, and HMCTS is continuing to explore options to expand this pilot subject to funding. With a scaled transcription capability in place, there is significant opportunity for HMCTS to explore additional applications of AI, including summarisation, to support the effective and efficient administration of justice.</t>
  </si>
  <si>
    <t>Intelligent document processing to speed up processing of paper forms</t>
  </si>
  <si>
    <t>HM Courts and Tribunals Service processes over eight million paper forms each year, with staff spending significant time manually uploading and reviewing them. This slows down case processing and takes time away from higher-value work. We piloted machine learning and computer vision technology to extract and analyse information from paper-based forms. The technology enabled faster and more accurate processing, reduced the number of exceptions, and cut configuration costs. Subject to funding, we plan to scale this capability across our bulk scanning service.</t>
  </si>
  <si>
    <t>Dans un environnement judiciaire très actif, il est essentiel de trouver rapidement et facilement les informations pertinentes pour garantir l'efficacité et la conformité des opérations. Cependant, le personnel de première ligne a accès à des centaines de procédures opérationnelles et de documents d'orientation, ce qui signifie qu'il peut prendre plusieurs dizaines de minutes pour trouver le contenu pertinent. Le personnel finit souvent par demander conseil à ses collègues, ce qui affecte la productivité de toute l'équipe. 
Pour résoudre ce problème, nous avons développé et testé un assistant de recherche de connaissances basé sur l'IA générative. Le personnel peut poser des questions en langage naturel et l'outil interroge plus de 300 documents non structurés avant de renvoyer un résumé simple, accompagné d'une référence au document source. L'évaluation a montré que le personnel judiciaire pouvait accéder aux informations dont il avait besoin, ce qui lui permettait d'assimiler plus rapidement les informations clés et, au final, d'accélérer le traitement des affaires dans le système judiciaire. Après un essai pilote concluant, nous explorons actuellement les moyens de déployer cette solution à plus grande échelle.</t>
  </si>
  <si>
    <t>Le HMCTS a mené un projet pilote de 12 semaines afin d'évaluer dans quelle mesure la transcription par IA des audiences et des jugements oraux pourrait aider les juges à préparer et à rédiger leurs décisions au sein de la chambre de l'immigration et de l'asile. Cette technologie pourrait accélérer la transcription manuelle, permettre la création de transcriptions là où il n'en existe actuellement aucune et améliorer l'accès du public aux procédures judiciaires. Les premiers résultats sont encourageants et le HMCTS continue d'étudier les possibilités d'étendre ce projet pilote, sous réserve du financement nécessaire. Grâce à la mise en place d'une capacité de transcription à grande échelle, le HMCTS dispose d'une opportunité significative d'explorer d'autres applications de l'IA, notamment la synthèse, afin de soutenir une administration efficace et efficiente de la justice.</t>
  </si>
  <si>
    <t>Le HM Courts and Tribunals Service traite plus de huit millions de formulaires papier chaque année, ce qui nécessite un temps considérable de la part du personnel pour les télécharger et les examiner manuellement. Cela ralentit le traitement des dossiers et empêche le personnel de se consacrer à des tâches à plus forte valeur ajoutée. Nous avons testé l'apprentissage automatique et la technologie de vision par ordinateur pour extraire et analyser les informations contenues dans les formulaires papier. Cette technologie a permis un traitement plus rapide et plus précis, une réduction du nombre d'exceptions et une diminution des coûts de configuration. Sous réserve d'un financement, nous prévoyons d'étendre cette capacité à l'ensemble de notre service de numérisation en masse.</t>
  </si>
  <si>
    <t>Pseudonymisation tool for court decisions</t>
  </si>
  <si>
    <t>The judiciary has the ambition to publish substantially more court rulings, in a responsible manner. It is expected that AI can help achieve this ambition. A rough test version of a pseudonymisation tool has been developed. If the test results show that this rough test version has sufficient potential to be of value in the publishing process, the tool will be further developed and put into use by publishers within the Judiciary.</t>
  </si>
  <si>
    <t>La justice ambitionne de publier un nombre substantiellement plus élevé de décisions judiciaires, de manière responsable. On s’attend à ce que l’IA puisse contribuer à atteindre cet objectif. Une première version d’essai d’un outil de pseudonymisation a été développée. Si les résultats des tests montrent que cette version préliminaire présente un potentiel suffisant pour être utile dans le processus de publication, l’outil sera davantage développé et mis à disposition des éditeurs au sein de la Justice.</t>
  </si>
  <si>
    <t>Justis</t>
  </si>
  <si>
    <t>The Justis algorithm screens legal entities for potential misuse under the Control of Legal Entities Act, automatically identifying high-risk cases for human review while discarding the rest, thereby enabling efficient, legally compliant supervision with minimal impact on citizens and organisations.</t>
  </si>
  <si>
    <t>L’algorithme Justis analyse les personnes morales pour détecter un risque potentiel d’abus dans le cadre de la Loi sur le contrôle des personnes morales, en ne transmettant que les dossiers à risque élevé à un agent pour examen, ce qui permet un contrôle efficace et conforme à la loi tout en limitant l’impact sur les citoyens et les organisations.</t>
  </si>
  <si>
    <t>https://algoritmes.overheid.nl/en/algoritme/geautomatiseerde-voorselectie-bij-controle-op-rechtspersonen-justis/88952925#verantwoordGebruik</t>
  </si>
  <si>
    <t>214</t>
  </si>
  <si>
    <t>215</t>
  </si>
  <si>
    <t>216</t>
  </si>
  <si>
    <t>217</t>
  </si>
  <si>
    <t>218</t>
  </si>
  <si>
    <t>219</t>
  </si>
  <si>
    <t>220</t>
  </si>
  <si>
    <t>221</t>
  </si>
  <si>
    <t>222</t>
  </si>
  <si>
    <t>223</t>
  </si>
  <si>
    <t>224</t>
  </si>
  <si>
    <t>225</t>
  </si>
  <si>
    <t>226</t>
  </si>
  <si>
    <t>227</t>
  </si>
  <si>
    <t>228</t>
  </si>
  <si>
    <t>229</t>
  </si>
  <si>
    <t>230</t>
  </si>
  <si>
    <t>Italy/Bulgaria/Sweden</t>
  </si>
  <si>
    <t xml:space="preserve">https://poline-tool.eu </t>
  </si>
  <si>
    <t>The POLINE Pilot Tool is an AI-powered platform that retrieves and analyses Judicial Interpretative Formulas (JIFs) from selected VAT-related case-law of the CJEU and the supreme courts of Italy, Sweden and Bulgaria. Freely accessible to judges, legal professionals, policymakers and taxpayers, it uses AI and network analysis to extract, organise and visualise JIFs. The system includes a searchable JIF database with semantic and reference mapping, a collection of relevant EU and national VAT legislation, and a detection module that identifies and compares JIFs within judicial decisions.</t>
  </si>
  <si>
    <t>Le POLINE Pilot Tool est une plateforme alimentée par l’IA permettant de rechercher et d’analyser les Formules Interprétatives Jurisprudentielles (FIJ) issues d’arrêts sélectionnés en matière de TVA de la CJUE et des Cours suprêmes d’Italie, de Suède et de Bulgarie. Libre d’accès pour les juges, les professionnels du droit, les décideurs fiscaux et les contribuables, il utilise l’intelligence artificielle et l’analyse de réseaux pour extraire, organiser et visualiser les FIJ. Le système comprend une base de données interrogeable de FIJ avec cartographie sémantique et références, une sélection de législation européenne et nationale pertinente, ainsi qu’un module de détection permettant d’identifier et de comparer les FIJ dans les décisions de justice.</t>
  </si>
  <si>
    <t xml:space="preserve">https://algoritmes.overheid.nl/en/algoritme/zb000150/38595787/addon-dispenser#algemeneInformatie </t>
  </si>
  <si>
    <t xml:space="preserve">The Add-on Dispenser automatically approves eligible applications from court users for subsidised legal assistance to speed up access to lawyers, while ensuring that any unclear or exceptional cases are sent for human review. </t>
  </si>
  <si>
    <t>Le distributeur d’aides juridiques approuve automatiquement les demandes éligibles d’usagers des tribunaux pour l’aide juridictionnelle afin d’accélérer l’accès à un avocat, tout en veillant à ce que les dossiers ambigus ou exceptionnels soient transmis à un examen humain.</t>
  </si>
  <si>
    <t xml:space="preserve">Sampler is an automated tool used to randomly select cases for post-approval auditing of subsidised legal aid applications, ensuring thus objective and uniform oversight while all substantive checks remain under human review. </t>
  </si>
  <si>
    <t>https://algoritmes.overheid.nl/en/algoritme/zb000150/73772213/sampler#algemeneInformatie</t>
  </si>
  <si>
    <t>Le Sélecteur aléatoire est un outil automatisé utilisé pour tirer au sort des dossiers en vue de contrôles a posteriori des demandes d’aide juridictionnelle subventionnée, garantissant ainsi un contrôle objectif et uniforme tandis que toutes les vérifications de fond restent soumises à un examen humain.</t>
  </si>
  <si>
    <t xml:space="preserve">TributarIA is an LLM-based system designed to identify and extract legal issues from tax judgments. With many new rulings recently published in the open Tax Case Law Database, TributarIA automatically analyzes these decisions, generates issue summaries using large language models, and makes them searchable. The platform also provides advanced tools for navigating and exploring the extracted legal issues across different cases. </t>
  </si>
  <si>
    <t>TributarIA est un système basé sur le langage naturel (LLM) conçu pour identifier et extraire les questions juridiques des jugements fiscaux. Grâce aux nombreuses nouvelles décisions récemment publiées dans la base de données ouverte Tax Case Law Database, TributarIA analyse automatiquement ces décisions, génère résumés des questions à l'aide de modèles linguistiques volumineux et les rend consultables. La plateforme fournit également des outils avancés pour naviguer et explorer les questions juridiques extraites dans différents cas.</t>
  </si>
  <si>
    <t xml:space="preserve">https://tributar-ia.it/# </t>
  </si>
  <si>
    <t xml:space="preserve">pending ERC application </t>
  </si>
  <si>
    <t>A follow-up project of the POLINE pilot tool - to update info in Spring 2026</t>
  </si>
  <si>
    <t>Tesauro</t>
  </si>
  <si>
    <t>https://tesauro.supersociedades.gov.co/#/</t>
  </si>
  <si>
    <t>Tesauro is an AI-driven legal ontology tool created by Colombia’s Superintendencia de Sociedades to improve legal decision-making. It analyzes, indexes, and organizes judgments and legal concepts, enabling fast, accurate search and retrieval. The tool can also transcribe hearings, generate metadata, and draft rulings using historical case data. By classifying more than 200 legal topics, Tesauro helps both legal professionals and citizens access relevant information and make better-informed business and economic decisions.</t>
  </si>
  <si>
    <t>Tesauro est un outil d’ontologie juridique développé par la Superintendencia de Sociedades de Colombie pour améliorer la prise de décision juridique. Il utilise l’intelligence artificielle et l’apprentissage automatique pour analyser, indexer et organiser des documents juridiques tels que des jugements et des concepts juridiques, permettant une recherche et une récupération rapides et précises de l’information. L’outil peut également transcrire des audiences, générer des métadonnées et proposer des projets de décisions fondés sur des données historiques. En classant plus de 200 thèmes juridiques, Tesauro aide aussi bien les professionnels du droit que les citoyens à accéder à des informations pertinentes et à prendre des décisions mieux éclairées dans les domaines économique et entrepreneurial.</t>
  </si>
  <si>
    <t>AUDETTE</t>
  </si>
  <si>
    <t>Batch 9</t>
  </si>
  <si>
    <t xml:space="preserve">POLINE - AI-powered platform for retrieval and analysis of Judicial Interpretative Formulas </t>
  </si>
  <si>
    <t>Add-on Dispenser (Legal aid eligibility assessment)</t>
  </si>
  <si>
    <t>Sampler (Post-approval audit for legal aid)</t>
  </si>
  <si>
    <t>TributarIA - Tax judgment analyser</t>
  </si>
  <si>
    <t xml:space="preserve">Online Dispute Resolution </t>
  </si>
  <si>
    <t>non-Gen AI</t>
  </si>
  <si>
    <t>An online dispute resolution system is planned, but its implementation is expected to take one to two years due to limited resources.</t>
  </si>
  <si>
    <t>Une solution de règlement des litiges en ligne est prévue, mais sa mise en œuvre devrait prendre un à deux ans en raison du manque de ressources.</t>
  </si>
  <si>
    <t>KISTRA (Einsatz von KI zur Früherkennung von Straftaten) / Use of AI for the Early Detection of Crimes</t>
  </si>
  <si>
    <t>The project aims to develop adaptive AI methods capable of automatically identifying political statements on the internet and assessing their potential criminal relevance as hate speech. It is led by the Central Office for Information Technology in the Security Sector (ZITiS) of the German Federal Government.</t>
  </si>
  <si>
    <t>Le projet vise à développer des méthodes d’intelligence artificielle adaptatives capables d’identifier automatiquement les déclarations politiques sur Internet et d’évaluer leur pertinence pénale en tant que discours de haine. Il est dirigé par l’Office central des technologies de l’information dans le secteur de la sécurité (ZITiS) du gouvernement fédéral allemand.</t>
  </si>
  <si>
    <t>https://www.zitis.bund.de/DE/WerWirSind/werwirsind_node.html#forschungsprojekte</t>
  </si>
  <si>
    <t>S2T / Speech recognition experiment</t>
  </si>
  <si>
    <t>The project aims to make the creation of civil process protocols more efficient. It requires no prior training and includes an integrated specialist vocabulary. The system is adaptable to other professional fields and supports multilingual use.</t>
  </si>
  <si>
    <t>Le projet vise à rendre la création des procès-verbaux dans les procédures civiles plus efficace. Il ne nécessite aucune formation préalable et intègre un vocabulaire spécialisé. Le système peut également être appliqué à d’autres domaines professionnels et prend en charge plusieurs langues.</t>
  </si>
  <si>
    <t>Planning stage</t>
  </si>
  <si>
    <t xml:space="preserve">Regional </t>
  </si>
  <si>
    <t>Chatbot for legal applications</t>
  </si>
  <si>
    <t>A specification for an initial version has been developed. The chatbot assists applicants by guiding them through electronic forms.</t>
  </si>
  <si>
    <t>Une spécification pour une première version a été élaborée. Le chatbot aide les demandeurs en les guidant à travers les formulaires électroniques.</t>
  </si>
  <si>
    <t>Drafter+</t>
  </si>
  <si>
    <t>https://www.jusgov.uminho.pt/executed-projects/drafter/</t>
  </si>
  <si>
    <t>DRAFTER+: Acquisition of Benchmarking Study Services for Developed and Developing Legislative Production Systems in the European Union (EU) and Latin American Countries
This was a contracted project, whereby the services of JusGov and the ALGORITMI Centre were commissioned by the Portuguese State via the DGPJ (the Directorate-General for Justice Policy).
This project combined research carried out by a number of JusGov researchers with a view to investigating which lawmaking systems are in place or under development in European Union and Latin American countries with the use of AI (Artificial Intelligence). There are many legal issues that need to be addressed when it comes to using AI as an instrument in the legislative process, especially in light of the new EU AI ACT, which came into force in August 2024. Once the legal team had pinpointed the legal standards that had to be met, the technical team of researchers at the ALGORITMI Centre proceeded to develop a prototype system to assist the legislative process, on the basis of the guidelines provided by the legal team of JusGov researchers.
This was, in effect, an interdisciplinary project that brought together diverse branches of legal studies and IT, plus continuous dialogue with the DGPJ.
Duration: December 2023 – October 2024.</t>
  </si>
  <si>
    <t xml:space="preserve">CRIKE / CRIme Knowledge Extraction </t>
  </si>
  <si>
    <t>CRIKE is a knowledge-based framework designed to support the extraction of legal knowledge from collections of legal documents, using a reference ontology known as LATO (Legal Abstract Term Ontology). It was developed for research purposes.</t>
  </si>
  <si>
    <t>CRIKE est un cadre fondé sur la connaissance, conçu pour faciliter l’extraction de savoirs juridiques à partir d’un ensemble de documents juridiques, en s’appuyant sur une ontologie de référence appelée LATO (Legal Abstract Term Ontology). Il a été développé à des fins de recherche.</t>
  </si>
  <si>
    <t xml:space="preserve">https://www.sciencedirect.com/science/article/abs/pii/S0306437921000788 </t>
  </si>
  <si>
    <t>Maltese Transcription Tool - POC</t>
  </si>
  <si>
    <t>The Court Services Agency, in collaboration with the Malta Information Technology Agency (MITA) and Microsoft, is currently developing a proof of concept for Maltese language transcriptions using artificial intelligence.</t>
  </si>
  <si>
    <t>L’Agence des services judiciaires, en collaboration avec l’Agence maltaise des technologies de l’information (MITA) et Microsoft, développe actuellement une preuve de concept pour la transcription en langue maltaise à l’aide de l’intelligence artificielle.</t>
  </si>
  <si>
    <t>intranet only. On premise</t>
  </si>
  <si>
    <t>JustAI Optimus ASR</t>
  </si>
  <si>
    <t>The application will be capable of recognising and analysing speech and written text, as well as generating responses. Its primary use in courts will be for voice and speech recognition, particularly for the transcription of court hearings.</t>
  </si>
  <si>
    <t>L’application sera capable de reconnaître et d’analyser la parole et le texte écrit, ainsi que de formuler des réponses. Son utilisation principale dans les tribunaux concernera la reconnaissance vocale et la transcription des audiences judiciaires.</t>
  </si>
  <si>
    <t xml:space="preserve">intranet only. On premise </t>
  </si>
  <si>
    <t xml:space="preserve">Anonymization of Court Decisions </t>
  </si>
  <si>
    <t>Norway is currently exploring various anonymisation solutions. A recent request for information has been published to identify potential suppliers and system types.</t>
  </si>
  <si>
    <t>La Norvège explore actuellement différentes solutions d’anonymisation. Une récente demande d’informations a été publiée afin d’identifier les fournisseurs potentiels et les types de systèmes disponibles.</t>
  </si>
  <si>
    <t>Transcription of Recordings of Court Hearings</t>
  </si>
  <si>
    <t>Norway is expected to begin testing the AI- and machine learning–based transcription of court hearing recordings, most likely in 2024.</t>
  </si>
  <si>
    <t>La Norvège devrait commencer à tester la transcription des enregistrements d’audiences judiciaires à l’aide de l’intelligence artificielle et de l’apprentissage automatique, probablement en 2024.</t>
  </si>
  <si>
    <t xml:space="preserve">AILE / Artificial Intelligence Law Enforcement </t>
  </si>
  <si>
    <t>at the stage of business analysis</t>
  </si>
  <si>
    <t>The application identifies similar cases using digitised case files and data from the central database of the prosecutor’s office. It also recognises and categorises digitised document types, assisting in their description.</t>
  </si>
  <si>
    <t>L’application identifie les affaires similaires à partir des dossiers numérisés et des données enregistrées dans la base centrale du parquet. Elle reconnaît également les types de documents numérisés et aide à leur description.</t>
  </si>
  <si>
    <t>The Say it, Write it system uses AI and Natural Language Processing to transcribe speech into text, helping judges draft decisions and prosecutors prepare indictments more efficiently. By automating transcription, it speeds up and simplifies writing processes. The system is currently in the end-user testing phase.</t>
  </si>
  <si>
    <t>Le système Say it, Write it utilise l’intelligence artificielle et le traitement du langage naturel pour transcrire la parole en texte, aidant les juges à rédiger leurs décisions et les procureurs à préparer leurs actes d’accusation plus efficacement. En automatisant la transcription, il accélère et simplifie les processus de rédaction. Le système en est actuellement à la phase de test auprès des utilisateurs finaux.</t>
  </si>
  <si>
    <t>Entity Extraction</t>
  </si>
  <si>
    <t>An AI model is being developed to identify file information such as reference number, file number, relevant court name, base number, and decision number. The extracted data are planned to be used in form-filling interfaces starting from the last quarter of 2023.</t>
  </si>
  <si>
    <t>Un modèle d’intelligence artificielle est en cours de développement pour identifier les informations d’un dossier telles que le numéro de référence, le numéro de dossier, le nom du tribunal compétent, le numéro de base et le numéro de décision. Les données extraites devraient être utilisées dans les écrans de saisie de formulaires à partir du dernier trimestre de 2023.</t>
  </si>
  <si>
    <t xml:space="preserve"> 1 - Document search, review and large-scale discovery</t>
  </si>
  <si>
    <t>The system is designed to save time for public prosecutors by detecting inconsistencies between party identity details, statuses, charges, and offence information compared to the UYAP database. It also aims to ensure that indictments forming the basis of public cases are created with accurate data, thereby reducing potential errors and dissatisfaction.</t>
  </si>
  <si>
    <t>Le système vise à faire gagner du temps aux procureurs en détectant les incohérences entre les informations d’identité des parties, leur statut, les chefs d’accusation et les données relatives à l’infraction, en les comparant avec la base de données UYAP. Il a également pour objectif de garantir que les actes d’accusation servant de base aux affaires publiques soient créés avec des données exactes, réduisant ainsi les erreurs et l’insatisfaction potentielles.</t>
  </si>
  <si>
    <t>Intelligent Document Processing</t>
  </si>
  <si>
    <t>A pilot project aims to explore how Intelligent Document Processing (IDP) can be used to automate the review and triage of paper-submitted forms from non-digital service users.</t>
  </si>
  <si>
    <t>Un projet pilote vise à étudier comment le traitement intelligent des documents (IDP) peut être utilisé pour automatiser l’examen et le tri des formulaires papier soumis par les usagers non numériques.</t>
  </si>
  <si>
    <t>Anonymization</t>
  </si>
  <si>
    <t>The application offers an intuitive interface for judicial staff to anonymise court decisions, with text segments pre-marked for anonymisation using AI. Users can review, correct, or add to the marked entities. It also enables information extraction, such as references to laws. The outcome is an anonymised decision ready for publication or citizen access.
The system employs natural language processing in Slovak to identify named entities in unstructured text, using a hybrid model that combines human-defined rules and vocabularies with a CRF statistical model trained on over 1,500 high-quality anonymised documents.</t>
  </si>
  <si>
    <t>L’application propose une interface conviviale destinée au personnel judiciaire pour l’anonymisation des décisions de justice, avec des segments de texte pré-marqués à l’aide de l’intelligence artificielle. L’utilisateur peut corriger ou compléter les entités détectées. Elle permet également l’extraction d’informations, telles que les références légales. Le résultat est une décision anonymisée prête à être publiée ou mise à disposition des citoyens.
Le système utilise le traitement du langage naturel en slovaque pour identifier les entités nommées dans les textes non structurés, grâce à un modèle hybride combinant des règles et vocabulaires définis par des experts et un modèle statistique CRF entraîné sur plus de 1 500 documents anonymisés de haute qualité.</t>
  </si>
  <si>
    <t>https://essential-data.sk/referencie/</t>
  </si>
  <si>
    <t>The software automatically transcribes dictated speech into text in Slovak. It is primarily used in courts for the transcription of court hearings.</t>
  </si>
  <si>
    <t>Le logiciel transcrit automatiquement la parole dictée en texte en langue slovaque. Il est principalement utilisé dans les tribunaux pour la transcription des audiences judiciaires.</t>
  </si>
  <si>
    <t>http://kemt.fei.tuke.sk/automaticky-prepis-diktatu/</t>
  </si>
  <si>
    <t xml:space="preserve">Belonging Decision Prediction </t>
  </si>
  <si>
    <t>The Belonging Decision Prediction project is designed as a decision-support mechanism to determine which departments should review files submitted to the Court of Appeal in civil cases. Its goal is to accelerate judicial proceedings.</t>
  </si>
  <si>
    <t>Le projet Belonging Decision Prediction est conçu comme un mécanisme d’aide à la décision visant à déterminer quels départements doivent examiner les dossiers soumis à la Cour d’appel dans les affaires civiles. Son objectif est d’accélérer le processus judiciaire.</t>
  </si>
  <si>
    <t xml:space="preserve">Accordo Quadro tra il C.E.D. e IUSS </t>
  </si>
  <si>
    <t>5 - Anonymisation</t>
  </si>
  <si>
    <t>Trained on court decisions, the tool automatically recognises and anonymises text elements required by law—such as names, addresses, and personal identification data. It can also be further trained to detect and anonymise additional information if needed. Before publication on the court’s portal, a human reviewer verifies and corrects any anonymisation errors.</t>
  </si>
  <si>
    <t>Formé à partir des décisions judiciaires, l’outil reconnaît et anonymise automatiquement les éléments textuels exigés par la loi, tels que les noms, adresses et données d’identification personnelle. Il peut également être perfectionné pour détecter et anonymiser d’autres informations si nécessaire. Avant la publication sur le portail du tribunal, un agent vérifie et corrige les éventuelles erreurs d’anonymisation.</t>
  </si>
  <si>
    <t xml:space="preserve">https://www.cortedicassazione.it/corte-di-cassazione/it/dett_cst.page?contentId=CST26104 </t>
  </si>
  <si>
    <t>Collected Cases not considered for publication</t>
  </si>
  <si>
    <t>EOtinishAI</t>
  </si>
  <si>
    <t>Presented at Worldbank Webinar on 5/3/2025</t>
  </si>
  <si>
    <t>LawAssistant Eotinish</t>
  </si>
  <si>
    <t>Fabaobao / Legal Robot</t>
  </si>
  <si>
    <t>The application aims to improve access to justice for people living in remote areas of China. Its main features include answering legal questions, providing online legal counselling, retrieving legal information and case records, offering templates for legal documents, and granting access to an online dispute resolution (ODR) system.</t>
  </si>
  <si>
    <t>L’application vise à faciliter l’accès à la justice pour les personnes vivant dans les zones rurales éloignées de Chine. Ses principales fonctionnalités incluent la réponse aux questions juridiques, la consultation juridique en ligne, la recherche d’informations et de jurisprudence, la mise à disposition de modèles de documents juridiques et l’accès à un système de règlement en ligne des litiges (ODR).</t>
  </si>
  <si>
    <t>http://www.legaldaily.com.cn/IT/content/2021-08/09/content_8575512.htm</t>
  </si>
  <si>
    <t>http://dongfang.hnzhengfa.gov.cn/dfdt/show-3633.html</t>
  </si>
  <si>
    <t>Athos</t>
  </si>
  <si>
    <t>Using a corpus of 328,000 documents from the Superior Court of Justice, the model was trained to generate vector representations of legal documents. These representations enable semantic similarity searches, automatic grouping of related documents, and real-time monitoring of cases with similarities to predefined examples. Fully integrated with the Court’s procedural monitoring system, the solution currently includes around 10 million vectorised procedural records.</t>
  </si>
  <si>
    <t>À partir d’un corpus de 328 000 documents extraits de la Cour supérieure de justice, le modèle a été entraîné à générer des représentations vectorielles de documents juridiques. Ces représentations permettent la recherche par similarité sémantique, la formation automatique de groupes de documents connexes et le suivi en temps réel des affaires présentant des similitudes avec des cas de référence. Entièrement intégrée au système de suivi procédural de la Cour, la solution comprend actuellement environ 10 millions de pièces de procédure vectorisées.</t>
  </si>
  <si>
    <t>Document classification</t>
  </si>
  <si>
    <t>Launched in January 2022 within the UYAP information system, this project aims to reduce the human workload involved in transferring non-digital physical documents to UYAP and in classifying them into more than 300 document categories.</t>
  </si>
  <si>
    <t>Mis en service en janvier 2022 dans le cadre du système d’information UYAP, ce projet vise à réduire la charge de travail humaine liée au transfert des documents physiques non numériques vers UYAP et à la détermination de leur type parmi plus de 300 catégories de documents.</t>
  </si>
  <si>
    <t>Object and Slang Detection in Photos</t>
  </si>
  <si>
    <t>This tool was developed to address issues encountered with another system, the E-Sales Portal. On that platform, tender images are uploaded, which may sometimes contain text. While the E-Sales Portal can detect text, it cannot determine whether the content is offensive. Therefore, the Object and Slang Detection in Photos tool was created to filter and prevent such issues.</t>
  </si>
  <si>
    <t>Cet outil a été développé pour résoudre les problèmes rencontrés avec un autre système, le Portail E-Sales. Sur cette plateforme, des images d’appels d’offres sont téléchargées et peuvent parfois contenir du texte. Bien que le Portail E-Sales soit capable de détecter du texte, il ne peut pas déterminer si le contenu est offensant. C’est pourquoi l’outil Détection d’objets et d’argot dans les photos a été créé afin de filtrer et d’éviter ces situations.</t>
  </si>
  <si>
    <t>An AI service was developed to accurately identify suspicious organisational information within prosecution investigation and ongoing case files. Testing reported an accuracy rate above 80%, and the service has been operational since December 2022.</t>
  </si>
  <si>
    <t>Un service d’intelligence artificielle a été développé pour identifier avec précision les informations suspectes concernant des organisations dans les dossiers d’enquête et de poursuite. Les tests ont indiqué un taux de précision supérieur à 80 %, et le service est opérationnel depuis décembre 2022.</t>
  </si>
  <si>
    <t>CompuLaw / Computable Law</t>
  </si>
  <si>
    <t>The motivation behind CompuLaw stems from the need to regulate intelligent computational entities and the human–artificial ecosystems in which they operate. These entities are so numerous, fast, and pervasive that human oversight alone cannot prevent or anticipate unlawful behaviour. CompuLaw proposes a computation-oriented legal framework — integrating, mapping, and partially translating legal and ethical requirements into computable representations of legal knowledge and reasoning.</t>
  </si>
  <si>
    <t>La motivation du projet CompuLaw réside dans la nécessité de réguler les entités computationnelles intelligentes et l’écosystème humain-artificiel dans lequel elles évoluent. Ces entités sont si nombreuses, rapides et omniprésentes qu’il est impossible pour les humains de les surveiller et de prévenir les comportements illégaux. CompuLaw propose de rendre le droit orienté vers le calcul, en intégrant, cartographiant et traduisant partiellement les exigences juridiques et éthiques en représentations informatisables des connaissances et raisonnements juridiques.</t>
  </si>
  <si>
    <t>https://site.unibo.it/compulaw/en/project</t>
  </si>
  <si>
    <t xml:space="preserve">Anomynization of court decisions. </t>
  </si>
  <si>
    <t>LAILA / Legal Analytics for Italian Law</t>
  </si>
  <si>
    <t>LAILA is a project funded by the Ministry of Education and Research with three main objectives: to develop technologies for the legal field; to provide methodological analyses and ethical guidelines for the effective use of such technologies; and to enhance understanding of the structure, logic, and dynamics of Italian law in relation to EU law through the use of legal technologies.</t>
  </si>
  <si>
    <t>LAILA est un projet financé par le ministère de l’Éducation et de la Recherche qui poursuit trois objectifs principaux : développer des technologies appliquées au droit ; fournir des analyses méthodologiques et des lignes directrices éthiques pour leur utilisation efficace ; et approfondir la compréhension de la structure, de la logique et de la dynamique du droit italien dans sa relation avec le droit de l’Union européenne, grâce à l’usage des technologies juridiques.</t>
  </si>
  <si>
    <t>https://site.unibo.it/laila/en/people</t>
  </si>
  <si>
    <t xml:space="preserve">Mandamus </t>
  </si>
  <si>
    <t>An application for notification routing and creation, developed for the State Court of Roraima.</t>
  </si>
  <si>
    <t>Une application de création et d’acheminement des notifications, développée pour le tribunal d’État de Roraima.</t>
  </si>
  <si>
    <t xml:space="preserve">UNESCO MOOC on AI and the Rule of Law: https://www.judges.org/ai_and_law/english/ </t>
  </si>
  <si>
    <t>ALEI / Legal Intelligence Analysis</t>
  </si>
  <si>
    <t>The system groups similar cases for batch decision-making. Trained on a dataset of 450,000 lawsuits, it was developed to ease the workload of the Federal Court of the 1st Region.</t>
  </si>
  <si>
    <t>Le système regroupe les affaires similaires afin de permettre une prise de décision par lots. Entraîné sur un ensemble de 450 000 affaires, il a été développé pour alléger la charge de travail du tribunal fédéral de première région.</t>
  </si>
  <si>
    <t>Lex Rosetta</t>
  </si>
  <si>
    <t>The project focuses on transferring predictive models across different languages, jurisdictions, and legal domains.</t>
  </si>
  <si>
    <t>Le projet porte sur le transfert de modèles prédictifs entre différentes langues, juridictions et branches du droit.</t>
  </si>
  <si>
    <t>https://dl.acm.org/doi/abs/10.1145/3462757.3466149</t>
  </si>
  <si>
    <t>The project was developed to reduce the workload of the Call Centre and provide faster information to users. Built entirely with open-source and free software, it has been implemented in the E-Sales Portal, Institution Portal, and Citizen Portal information systems.</t>
  </si>
  <si>
    <t>Le projet a été développé afin de réduire la charge de travail du centre d’appels et d’informer plus rapidement les utilisateurs. Conçu entièrement à partir de logiciels libres et open source, il a été mis en service dans les systèmes d’information du Portail E-Sales, du Portail Institutionnel et du Portail Citoyen.</t>
  </si>
  <si>
    <t xml:space="preserve">Digital Case Management System </t>
  </si>
  <si>
    <t>The functions of these systems rely on traditional pre-programmed if-then logic and do not incorporate machine learning or other AI-based features.</t>
  </si>
  <si>
    <t>Les fonctions de ces systèmes reposent sur une logique traditionnelle if-then préprogrammée et n’intègrent ni apprentissage automatique ni autres caractéristiques de l’intelligence artificielle.</t>
  </si>
  <si>
    <t>Rules on Online Litigation</t>
  </si>
  <si>
    <t>The Supreme People’s Court of China (SPC) has issued the Rules on Online Litigation of the People’s Courts of China, a set of judicial interpretations binding on courts across Mainland China. The rules entered into force on 1 August 2021.</t>
  </si>
  <si>
    <t>La Cour populaire suprême de Chine (SPC) a publié les Règles relatives au contentieux en ligne des tribunaux populaires de Chine, un ensemble d’interprétations judiciaires contraignantes pour les tribunaux de Chine continentale. Ces règles sont entrées en vigueur le 1er août 2021.</t>
  </si>
  <si>
    <t>https://cicc.court.gov.cn/html/1/219/199/201/2208.html</t>
  </si>
  <si>
    <t>Banque de France</t>
  </si>
  <si>
    <t>Legal information research and legal monitoring.</t>
  </si>
  <si>
    <t>Recherches informations juridiques et veille juridique</t>
  </si>
  <si>
    <t>https://www.banque-france.fr</t>
  </si>
  <si>
    <t>The Supreme People’s Court of China (SPC) has issued the Rules on Online Litigation of the People’s Courts of China. These judicial interpretations, formulated by the SPC, are binding on all courts in Mainland China and entered into force on 1 August 2021.</t>
  </si>
  <si>
    <t>La Cour populaire suprême de Chine (SPC) a publié les Règles relatives au contentieux en ligne des tribunaux populaires de Chine. Ces interprétations judiciaires, élaborées par la SPC, sont contraignantes pour l’ensemble des tribunaux de Chine continentale et sont entrées en vigueur le 1er août 2021.</t>
  </si>
  <si>
    <t>Auto-generated company names</t>
  </si>
  <si>
    <t>Artificial Intelligence algorithms were developed to automatically generate company names for business registries, making the process faster and more efficient. In Portugal, maintaining the list of pre-approved company names requires the daily creation of new names — a task that, until September 2022, was carried out entirely manually, consuming unnecessary time and resources.</t>
  </si>
  <si>
    <t>Des algorithmes d’intelligence artificielle ont été développés pour générer automatiquement des noms d’entreprises destinés aux registres du commerce, rendant le processus plus rapide et plus efficace. Au Portugal, la mise à jour de la liste des noms d’entreprises préapprouvés nécessite la création quotidienne de nouveaux noms — une tâche qui, jusqu’en septembre 2022, était effectuée manuellement, entraînant une perte de temps et de ressources.</t>
  </si>
  <si>
    <t>https://govtech.justica.gov.pt/en/portfolio/auto-generated-company-names/</t>
  </si>
  <si>
    <t>Anonymization of Court Decisions</t>
  </si>
  <si>
    <t>As a rule, court decisions in Luxembourg are anonymised upon publication, regardless of the type of court. Under national law, only banks appear to be excluded from anonymisation. The process covers not only the names of the parties and, where applicable, other natural persons, but also various identifying details such as addresses or dates. In some cases, anonymisation also extends to the parties’ representatives and witnesses.</t>
  </si>
  <si>
    <t>En règle générale, les décisions judiciaires au Luxembourg sont anonymisées lors de leur publication, quel que soit le type de juridiction. Selon la législation nationale, seules les banques semblent être exclues du champ d’application de l’anonymisation. Ce processus couvre non seulement les noms des parties et, le cas échéant, d’autres personnes physiques, mais également divers éléments d’identification tels que les adresses ou les dates. Dans certains cas, l’anonymisation s’étend aussi aux représentants des parties et aux témoins.</t>
  </si>
  <si>
    <t>https://justice.public.lu/fr/jurisprudence/jurisprudence-judoc.html</t>
  </si>
  <si>
    <t xml:space="preserve">DWH &amp; BI / Data Warehouse and Business Intelligence System </t>
  </si>
  <si>
    <t>2023 (planned)</t>
  </si>
  <si>
    <t>The Ministry of Justice, together with other judicial institutions, aims to strengthen analytical and statistical capacities within the justice system to produce comprehensive and reliable reports. Montenegro’s Justice Information System (JIS) includes four sub-systems — the Judiciary, Public Prosecution, Ministry of Justice, and Administration for Enforcement of Criminal Sanctions — each using different data processing and analysis tools. To address this, a Business Intelligence (BI) system is being implemented to enable unified processing and analysis of data from all four JIS sub-systems.</t>
  </si>
  <si>
    <t>Le ministère de la Justice, en collaboration avec d’autres institutions judiciaires, vise à renforcer les capacités d’analyse et de production de statistiques du système judiciaire afin de générer des rapports complets et fiables. Le Système d’information judiciaire du Monténégro (JIS) comprend quatre sous-systèmes — la magistrature, le ministère public, le ministère de la Justice et l’administration chargée de l’exécution des sanctions pénales — chacun utilisant des outils distincts de traitement et d’analyse des données. Pour répondre à ce besoin, un système d’intelligence décisionnelle (Business Intelligence – BI) est mis en œuvre afin de permettre le traitement et l’analyse unifiés des données provenant des quatre sous-systèmes du JIS.</t>
  </si>
  <si>
    <t xml:space="preserve">https://www.ungm.org/Public/Notice/190423 </t>
  </si>
  <si>
    <t xml:space="preserve">Digital Transformation 10 year-period plan </t>
  </si>
  <si>
    <t>2023-2033</t>
  </si>
  <si>
    <t>The Norwegian courts are developing a new 10-year digital transformation strategy. Key initiatives to realise this vision include: intelligent document search, review, and large-scale discovery; online dispute resolution and AI-powered self-service systems to reduce the number of court proceedings; prediction of case duration and litigation outcomes; and AI-based decision-support tools, including pre-filled judgments, to assist judges in their work.</t>
  </si>
  <si>
    <t>Les tribunaux norvégiens élaborent une nouvelle stratégie de transformation numérique sur dix ans. Parmi les principales initiatives prévues figurent : la recherche intelligente de documents, l’examen et la découverte à grande échelle ; le règlement en ligne des litiges et les systèmes en libre-service fondés sur l’intelligence artificielle pour réduire le nombre de procédures judiciaires ; la prévision de la durée et des résultats des affaires ; ainsi que des outils d’aide à la décision basés sur l’IA, comprenant notamment des jugements préremplis pour soutenir le travail des juges.</t>
  </si>
  <si>
    <t>Job Demand Type Prediction</t>
  </si>
  <si>
    <t>Le projet utilise l’intelligence artificielle pour déterminer automatiquement le type de demande de travail estimé des documents intégrés dans UYAP dans les dossiers modifiés des tribunaux pénaux. Cela permettra de réduire le nombre de demandes classées comme « Autres », de garantir une classification précise et d’améliorer la qualité des résultats pour les audits et les statistiques.</t>
  </si>
  <si>
    <t>Spain’s judicial documentation centre, CENDOJ, has introduced an AI-powered summarisation system to support judges and magistrates. Using natural language processing, it extracts and condenses essential information from judgments while preserving context. Unlike commercial AI systems, CENDOJ’s tools operate in a secure, closed environment with anonymised data and no reliance on external models.
A key feature is the Summary Generator and Legal Event Detector, which produces precise summaries centred on the ratio decidendi and generates visual maps of key elements—facts, legal reasoning, and operative parts. More than 130,000 graphical links have already been incorporated, enabling intuitive navigation across jurisprudence.
The initiative aims to equip judges with secure, transparent, and specialised tools that enhance their work without replacing judicial judgement.</t>
  </si>
  <si>
    <t>Le CENDOJ, centre de documentation judiciaire espagnol, a mis en place un système de résumé automatisé fondé sur l’IA pour soutenir le travail des juges et magistrats. Grâce au traitement automatique du langage naturel, l’outil extrait et condense les informations essentielles des décisions tout en préservant leur contexte. Contrairement aux systèmes commerciaux, les outils du CENDOJ fonctionnent dans un environnement fermé, sécurisé, avec des données anonymisées et sans dépendance à des modèles externes.
L’une des fonctionnalités principales est le Générateur de résumés et Détecteur d’événements juridiques, qui produit des résumés précis centrés sur la ratio decidendi et génère des cartes visuelles des éléments clés — faits, raisonnement juridique et dispositif. Plus de 130 000 liens graphiques ont déjà été intégrés, permettant une navigation intuitive à travers la jurisprudence.
L’objectif est de doter les juges d’outils sécurisés, transparents et spécialisés, qui renforcent leur travail sans jamais se substituer à leur discernement judiciaire.</t>
  </si>
  <si>
    <t>In Spain, this tool automatically detects the case law and legislation cited in a document, links them to the official Thesaurus, highlights their relevance, and provides one-click access to the BOE or the corresponding CENDOJ decision.
Originally developed to streamline judicial work, it now also serves as an effective safeguard against inaccurate or fabricated legal citations.
In practice, if a claim or response is uploaded and the cited judgments or legal provisions are not recognised by the system — and no automatic link appears — this may indicate that the citation is incorrect or non-existent. The document should then be reviewed more closely.</t>
  </si>
  <si>
    <t>En Espagne, cet outil identifie automatiquement la jurisprudence et les textes législatifs cités dans un document, les relie au thésaurus officiel, en indique la pertinence et offre un accès direct, en un clic, au BOE ou à la décision correspondante du CENDOJ.
Initialement conçu pour faciliter le travail juridictionnel, il sert désormais aussi de mécanisme de contrôle permettant de repérer des citations juridiques erronées ou inexistantes.
Concrètement, si l’on télécharge une requête ou une réponse et que les décisions ou dispositions citées ne sont pas automatiquement reconnues — et qu’aucun lien d’accès ne s’affiche — cela constitue un signal d’alerte. Une vérification approfondie s’impose alors.</t>
  </si>
  <si>
    <t xml:space="preserve">Overlap with SUVAS </t>
  </si>
  <si>
    <t xml:space="preserve">Legal AI </t>
  </si>
  <si>
    <t>AI is used
•	to analyze files to facilitate editing (identifying of files, extractrion of meta) 
•	to analyze enormous sets of data in preliminary investigations done by public prosecutors in cooperation with the police and in extensive legal proceedings for structured preparation of the facts 
•	for intelligent linking of citations and references to literature in digitally kept files with legal databases
•	to facilitate prompt-based searching of judiciary 
•	for first translations of documents.
AI is also used for anonymization of court decisions and templates, automated speech recognition as part of the preparation of transcripts and judgments.</t>
  </si>
  <si>
    <t>L’IA est utilisée
• pour analyser les dossiers afin de faciliter leur traitement (identification des fichiers, extraction de métadonnées) ;
• pour analyser d’immenses ensembles de données dans le cadre des enquêtes préliminaires menées par les procureurs en coopération avec la police, ainsi que dans des procédures judiciaires complexes, afin de préparer les faits de manière structurée ;
• pour le lien intelligent des citations et références doctrinales dans les dossiers numériques avec les bases de données juridiques ;
• pour faciliter la recherche par requêtes (prompt-based) au sein du pouvoir judiciaire ;
• pour réaliser des premières traductions de documents.
L’IA est également utilisée pour l’anonymisation des décisions de justice et des modèles, ainsi que pour la reconnaissance automatique de la parole dans le cadre de la préparation des procès-verbaux et des jugements.</t>
  </si>
  <si>
    <t>https://rm.coe.int/2025-thematic-study-of-the-ccpe/488028fc1b</t>
  </si>
  <si>
    <t xml:space="preserve">CCPE(2025)4, Compilation of responses to the questionnaire </t>
  </si>
  <si>
    <t>naio</t>
  </si>
  <si>
    <t xml:space="preserve">AI for Prosecution </t>
  </si>
  <si>
    <t>Prosecutors use artificial intelligence only in limited and experimental ways, mainly as a support tool. AI is employed for simple legal research, for preliminary translation of documents written in rare languages, and occasionally to transcribe audio testimonies to facilitate internal case preparation. In guideline-based cases, AI is being tested to compare a file with similar past criminal situations and propose a prosecutorial direction and draft response—always subject to the prosecutor’s review, validation, or correction. Additional experiments explore generating draft prosecutorial requests (such as search-warrant applications or wiretap authorizations), producing summaries of large and complex case files, and assisting in locating documents within multi-volume dossiers. Although none of these uses replace human decision-making, they aim to better structure case materials, reduce repetitive tasks, and prepare work products that the prosecutor fully supervises.</t>
  </si>
  <si>
    <t>Les procureurs utilisent l’intelligence artificielle de manière ponctuelle et expérimentale, principalement pour des tâches de soutien. L’IA intervient notamment pour la recherche juridique simple, la traduction préliminaire de pièces rédigées dans des langues rares, et exceptionnellement pour la retranscription de témoignages audio afin de faciliter le travail interne. Dans le cadre de contentieux barémisés, elle est testée pour rapprocher un dossier de situations pénales comparables afin de proposer une orientation pénale et une trame de réponse, que le procureur vérifie, valide ou corrige systématiquement. Des expérimentations supplémentaires explorent la possibilité de générer des trames de requêtes du parquet (par exemple des demandes d’autorisation de perquisition ou de placement sous écoute), de synthétiser des procédures volumineuses ou encore de faciliter la recherche de pièces et documents au sein de dossiers comportant plusieurs tomes. Bien qu’aucune de ces utilisations ne remplace la prise de décision humaine, elles visent à mieux structurer les dossiers, réduire certaines tâches répétitives et préparer des éléments de travail que le procureur contrôle intégralement.</t>
  </si>
  <si>
    <t xml:space="preserve">https://rm.coe.int/2025-thematic-study-of-the-ccpe/488028fc1b </t>
  </si>
  <si>
    <t>CCPE(2025)4, Compilation of responses to the questionnaire 
for the preparation of the CCPE thematic study 
on the use of artificial intelligence (AI) 
in the work of prosecution services (2025)</t>
  </si>
  <si>
    <t xml:space="preserve">DoNotPay system </t>
  </si>
  <si>
    <t>DoNotPay is an AI-powered application often described as a “robo-lawyer.” It assists users with a wide range of legal and administrative tasks, such as contesting traffic fines, appealing fees, canceling subscriptions, and navigating government processes. Designed to help consumers handle issues involving large companies and bureaucracy, some of its services require a paid subscription.</t>
  </si>
  <si>
    <t>DoNotPay est une application alimentée par l’IA, souvent qualifiée de « robo-avocat ». Elle aide les utilisateurs dans un large éventail de tâches juridiques et administratives, comme contester des amendes de circulation, faire appel de frais, résilier des abonnements ou gérer certaines démarches administratives. Conçue pour aider les consommateurs face aux grandes entreprises et à la bureaucratie, certaines de ses fonctionnalités sont accessibles par abonnement payant. L’application utilise l’IA pour comprendre les demandes de l’utilisateur et générer les documents ou instructions nécessaires. L’utilisateur décrit son problème, et l’IA produit le modèle ou la démarche appropriée ; pour certaines tâches, elle peut même négocier directement avec des entreprises au nom de l’utilisateur.</t>
  </si>
  <si>
    <t xml:space="preserve">https://donotpay.com/learn/dispute-traffic-tickets/ </t>
  </si>
  <si>
    <t>The project involves the technical development and training of an AI pilot model within the SJC’s regulatory laboratory, in collaboration with the Institute for Computer Science, AI and Technology (INSAIT). The model is trained on a wide range of anonymised court decisions, selected by judges across various legal fields, to detect and analyse recurring patterns. It is expected to process this data and demonstrate AI capabilities for automating case analysis and supporting judicial work by generating draft judicial acts based on mandatory case law and case law selected by appellate and cassation judges.
The pilot will also include tools to detect inconsistencies and divergent practices, helping to improve predictability and consistency in the administration of justice.
The project further includes testing and deploying the pilot model across the entire justice system and maintaining it during the programming period. The model will also be used to promote out-of-court settlements and mediation, helping to reduce the courts’ workload. The app uses AI to interpret user requests and generate the required documents, instructions, or actions. Users input their issue, and the system produces the appropriate template or communication; in some cases, the AI negotiates directly with companies on the user’s behalf.</t>
  </si>
  <si>
    <t>Le projet prévoit le développement technique et l’entraînement d’un modèle pilote d’IA au sein du laboratoire réglementaire du CSM, en collaboration avecl'Institut de science informatique, d'IA et de technologie (INSAIT). Le modèle est formé à partir d’un large ensemble de décisions judiciaires anonymisées, sélectionnées par des juges dans différents domaines du droit, afin de détecter et d’analyser des schémas récurrents. Il doit être en mesure de traiter ces données et de démontrer les capacités de l’IA pour l’automatisation de l’analyse des affaires et le soutien au travail juridictionnel, notamment par la génération de projets d’actes judiciaires fondés sur la jurisprudence obligatoire et celle retenue par les juges d’appel et de cassation.
Le modèle pilote comprendra également des outils permettant de détecter les contradictions et les divergences de pratique, afin d’améliorer la prévisibilité et l’uniformité de l’administration de la justice.
Le projet prévoit en outre le test et le déploiement du modèle pilote dans l’ensemble du système judiciaire, ainsi que sa maintenance durant la période de programmation. Le modèle sera également utilisé pour encourager les règlements extrajudiciaires et la médiation, contribuant ainsi à alléger la charge de travail des tribunaux.</t>
  </si>
  <si>
    <t>Prosecutors/ clerks</t>
  </si>
  <si>
    <t>AALAP</t>
  </si>
  <si>
    <t>AALAP is a specialised AI tool developed to support legal tasks in India. Built on the Mistral 7B language model and fine-tuned on extensive Indian legal datasets, it is designed to answer legal queries, explain legal concepts, and assist with problem-solving in Indian law. Although not a general-purpose legal assistant, AALAP performs effectively within the legal functions for which it has been trained.</t>
  </si>
  <si>
    <t>AALAP est un outil d’intelligence artificielle spécialisé, développé pour soutenir les tâches juridiques en Inde. Construit sur le modèle linguistique Mistral 7B et affiné à partir de vastes ensembles de données juridiques indiennes, il est conçu pour répondre à des questions juridiques, expliquer des notions de droit et aider à la résolution de problèmes relevant du droit indien. Bien qu’il ne s’agisse pas d’un assistant juridique polyvalent, AALAP est particulièrement performant dans les fonctions juridiques pour lesquelles il a été entraîné.â</t>
  </si>
  <si>
    <t>https://github.com/OpenNyAI/aalap_legal_llm</t>
  </si>
  <si>
    <t xml:space="preserve">https://www.mediasupport.org/wp-content/uploads/2021/07/AI-ML-in-Emerging-Markets-vFinal4.pdf </t>
  </si>
  <si>
    <t xml:space="preserve">Gen AI </t>
  </si>
  <si>
    <t>Anuvaad / AI Translation platform</t>
  </si>
  <si>
    <t>Anuvaad is an open-source, AI-powered platform designed for large-scale document translation, with a strong focus on Indic languages. Built on modular Neural Machine Translation (NMT) models, it provides a streamlined, easy-to-edit interface that supports fast, customisable translation workflows. The platform has been deployed in major institutions—including India’s Supreme Court (SUVAS), Bangladesh’s Supreme Court (Amar Vasha), and NCERT’s Diksha portal—facilitating efficient translation in both legal and educational settings.</t>
  </si>
  <si>
    <t>Translation missing</t>
  </si>
  <si>
    <t xml:space="preserve">https://www.anuvaad.org/ </t>
  </si>
  <si>
    <t>https://radar.ircai.org/en/tools/anuvaad/</t>
  </si>
  <si>
    <t>Ai</t>
  </si>
  <si>
    <t>As of 20 February 2025, justice sector employees in the Czech Republic may use Microsoft Copilot Chat, an AI tool integrated into Microsoft 365 that supports more efficient work with legal texts, document analysis, and routine task automation, with a pilot project for the licensed version now underway. Public prosecution services also use several AI-enabled tools—such as Newton Dictate, Beey, Word Dictate, DeepL, and the EU eTranslation service—as well as AI-supported legal information systems and databases. In practice, AI is already applied in tasks such as searching and analysing case law, retrieving legislation and legal commentaries, reviewing judicial decisions, conducting information searches, producing translations, and performing speech-to-text transcription.</t>
  </si>
  <si>
    <t>Depuis le 20 février 2025, les agents du secteur judiciaire en République tchèque peuvent utiliser Microsoft Copilot Chat, un outil d’IA intégré à Microsoft 365 qui permet de travailler plus efficacement avec les textes juridiques, d’analyser des documents et d’automatiser des tâches routinières. Un projet pilote pour tester la version sous licence est actuellement en cours dans le secteur de la justice. Les parquets utilisent également plusieurs outils intégrant de l’IA — tels que Newton Dictate, Beey, Word Dictate, DeepL et le service européen eTranslation — ainsi que des systèmes d’information juridique et des bases de données de législation, de jurisprudence et de publications professionnelles. Concrètement, l’IA est déjà utilisée pour la recherche et l’analyse de jurisprudence, la consultation de lois et de commentaires juridiques, l’examen de décisions judiciaires, la recherche d’informations, la traduction et la transcription de la parole en texte.</t>
  </si>
  <si>
    <t>info received from Daniel</t>
  </si>
  <si>
    <t>N/A</t>
  </si>
  <si>
    <t>The criminal justice database assists in determining leading identity in criminal cases. The personal details of a suspect or convicted person are stored in this system under a unique number supported by an algorithm.</t>
  </si>
  <si>
    <t>La base de données de justice pénale aide à déterminer l’identité principale dans les affaires pénales. Les données personnelles d’un suspect ou d’un condamné y sont enregistrées sous un numéro unique généré grâce à un algorithme.</t>
  </si>
  <si>
    <t>Legal Aid Board</t>
  </si>
  <si>
    <t>Pending info (algorithm to assess the income statement)</t>
  </si>
  <si>
    <t>https://algoritmes.overheid.nl/en/algoritme/inkomensverklaring-raad-voor-rechtsbijstand/25228393#verantwoordGebruik</t>
  </si>
  <si>
    <t>Justid</t>
  </si>
  <si>
    <t xml:space="preserve">Pending info (enrollment in the suspect database) </t>
  </si>
  <si>
    <t>AymurAI</t>
  </si>
  <si>
    <t>AymurAI is an open-source AI system developed in Argentina to enhance the extraction and analysis of information on gender-based violence (GBV) from judicial rulings. Using techniques such as Named Entity Recognition (NER) and pattern-matching, it automatically identifies key data points within legal texts, enabling more accurate and structured monitoring of GBV cases. The tool supports researchers, policymakers, and feminist organisations by revealing patterns and trends in anonymised court data, helping to inform evidence-based policy and advocacy. AymurAI also prioritises privacy and ethical compliance by ensuring all processed information meets data-protection standards, thereby promoting transparency and trust in judicial analysis.</t>
  </si>
  <si>
    <t>AymurAI est un système d’IA open source développé en Argentine pour améliorer l’extraction et l’analyse d’informations sur les violences fondées sur le genre à partir des décisions judiciaires. Grâce à des techniques telles que la reconnaissance d’entités nommées (NER) et la détection de motifs, l’outil identifie automatiquement les données essentielles dans les textes juridiques, permettant un suivi plus précis et structuré des affaires de violence de genre. Il soutient les chercheurs, les décideurs publics et les organisations féministes en mettant en évidence des tendances et des schémas dans des données judiciaires anonymisées, facilitant ainsi l’élaboration de politiques fondées sur des preuves. AymurAI accorde également une grande importance à la protection de la vie privée et au respect des normes éthiques, garantissant que toutes les informations traitées répondent aux exigences en matière de protection des données et renforçant la transparence et la confiance dans l’analyse judiciaire.</t>
  </si>
  <si>
    <t xml:space="preserve">https://sites.google.com/view/aymurai-en </t>
  </si>
  <si>
    <t>https://radar.ircai.org/en/tools/aymurai/</t>
  </si>
  <si>
    <t>Academic+Civil Society</t>
  </si>
  <si>
    <t>Checkbox</t>
  </si>
  <si>
    <t>Checkbox is a no-code automation platform used in the legal sector in Australia to streamline and modernize legal workflows. It allows legal teams to automate intake, triage, document generation, and matter management without requiring IT support. AI-powered chatbots guide users, generate documents, and provide instant assistance, improving access to legal information and reducing manual workload. Centralized request tracking, workflow automation, and real-time analytics enhance operational efficiency and decision-making across legal processes.</t>
  </si>
  <si>
    <t>Checkbox est une plateforme d’automatisation no-code utilisée dans le secteur juridique en Australie pour rationaliser et moderniser les flux de travail. Elle permet aux équipes juridiques d’automatiser la réception et le tri des demandes, la génération de documents et la gestion des dossiers, sans dépendre d’un service informatique. Des chatbots alimentés par l’IA offrent une assistance immédiate, génèrent des documents et guident les utilisateurs, améliorant ainsi l’accès à l’information juridique tout en réduisant les tâches manuelles. La centralisation des demandes, l’automatisation des processus et les analyses en temps réel renforcent l’efficacité opérationnelle et la prise de décision dans l’ensemble des activités juridiques.</t>
  </si>
  <si>
    <t>https://www.checkbox.ai/</t>
  </si>
  <si>
    <t>https://radar.ircai.org/en/tools/checkbox/</t>
  </si>
  <si>
    <t>Datalex</t>
  </si>
  <si>
    <t>Datalex, developed by AustLII in Australia, is an AI-supported “rules as code” platform that converts legislation into executable code. Using its dedicated yscript language and the ylegis pre-processor, the system transforms legal texts into machine-readable rules capable of generating automated legal consultations, reports, and decision support. Through the DataLex development tools, users can import legislation, convert it to code, edit it, and test interactive legal reasoning. This enables the creation of applications that offer real-time guidance, automate compliance tasks, and interpret regulatory frameworks. Datalex also supports advanced use cases such as predictive analytics, judgment-drafting assistance, and automated case-management workflows.</t>
  </si>
  <si>
    <t>Datalex, développé par AustLII en Australie, est une plateforme d’« rules as code » alimentée par l’IA qui convertit la législation en code exécutable. Grâce à son langage dédié yscript et au préprocesseur ylegis, le système transforme les textes juridiques en règles lisibles par machine capables de produire des consultations juridiques automatisées, des rapports et une aide à la décision. Les outils de développement DataLex permettent d’importer des textes législatifs, de les convertir en code, de les modifier et de tester le raisonnement juridique de manière interactive. Cela permet de créer des applications offrant un accompagnement en temps réel, d’automatiser les tâches de conformité et d’interpréter les cadres réglementaires. Datalex prend également en charge des usages avancés tels que l’analyse prédictive, l’assistance à la rédaction de jugements et l’automatisation de la gestion des dossiers.</t>
  </si>
  <si>
    <t>https://datalex.org/</t>
  </si>
  <si>
    <t>https://radar.ircai.org/en/tools/datalex/</t>
  </si>
  <si>
    <t>The project uses AI to automatically determine the Work Request Type Estimation for documents included in UYAP within amended case files of the Criminal Courts. This will reduce the number of requests categorised as “Other,” ensure accurate classification, and improve the quality of outputs for both audits and statistical reporting. Description needs clarification</t>
  </si>
  <si>
    <t xml:space="preserve">AI intake manager / AI in the entrance area </t>
  </si>
  <si>
    <t>Court Practice Database / Sudska praksa</t>
  </si>
  <si>
    <t xml:space="preserve">Electronic Insolvency Accounting System / Elektroniskās maksātnespējas uzskaites sistēma </t>
  </si>
  <si>
    <t xml:space="preserve">Case Allocation Module / Bylų skirsymo modulis </t>
  </si>
  <si>
    <t xml:space="preserve">CRT / Civil Resolution Tribunal </t>
  </si>
  <si>
    <t xml:space="preserve">Process mining / Dataanalys för verksamhetsutveckling </t>
  </si>
  <si>
    <t xml:space="preserve">Court Information System / Tiesu informatīvā sistēma </t>
  </si>
  <si>
    <t xml:space="preserve">Predictive Justice / Giustizia Predittiva (Brescia) </t>
  </si>
  <si>
    <t xml:space="preserve">Judgment database with anonymisation / Domsdatabasen </t>
  </si>
  <si>
    <t>RISc (Recidive InschattingsSchalen) / Recidivism Assessment Scales</t>
  </si>
  <si>
    <t xml:space="preserve">Software to combat child pornography / Software zur Bekämpfung von Kinderpornografie </t>
  </si>
  <si>
    <t xml:space="preserve">Anonymization of court decisions / Module d'anonymisation open data des décisions de justice </t>
  </si>
  <si>
    <t xml:space="preserve">Appeal referral module / Module d'orientation des pourvois </t>
  </si>
  <si>
    <t xml:space="preserve">The translation app / Översättningsappen </t>
  </si>
  <si>
    <t xml:space="preserve">Video surveillance for the prison system / Videoüberwachung für den Justizvollzug </t>
  </si>
  <si>
    <t>Smart  (Erfassung von bei Gericht eingereichten elektronischen Dokumenten) / Recording of electronic documents filed with the court</t>
  </si>
  <si>
    <t xml:space="preserve"> Document comparison / Dokumentenergleich </t>
  </si>
  <si>
    <t xml:space="preserve">Application for anonymization / Anonymiseringsapplikationen </t>
  </si>
  <si>
    <t>Automated dispatch to bailiffs / Automatisierter Versabd and die Gerichtsvollzieher (RPA)</t>
  </si>
  <si>
    <t>ASTRA (analysis and structuring of extensive files) / Analyse und Strukturierung umfangreicher Akten</t>
  </si>
  <si>
    <t>CMS/TCMS Case Management System in courts / Case Management System in prosecutor's offices (CMS/TCMS sistem za upravljanje sudskim i tužilačkim predmetima)</t>
  </si>
  <si>
    <t>6 - Triaging, allocation and workflow automation;</t>
  </si>
  <si>
    <t>2005</t>
  </si>
  <si>
    <t>CMS/TCMS is a system for automatic management of cases in courts and prosecutor's offices, which enables electronic registration, handling and tracking of court and prosecutor's cases, statistical reporting and data exchange, including electronic communication between courts and prosecutor's offices. The system also uses automatic, independent and unpredictable assigning of cases to judges and prosecutors.  
CMS/TCMS has significantly improved the transparency, efficiency and accountability of courts and prosecutor's office.</t>
  </si>
  <si>
    <t>https://vstv.pravosudje.ba/vstvfo/B/141/article/129432?utm</t>
  </si>
  <si>
    <t>Judges/clerks;Prosecutors/clerks;Bailiffs;</t>
  </si>
  <si>
    <t>Online access to court cases (Online pristup sudskim predmetima)</t>
  </si>
  <si>
    <t>8 - Information/assistance services;</t>
  </si>
  <si>
    <t>2010</t>
  </si>
  <si>
    <t xml:space="preserve">This service allows parties involved in cases, their legal representatives and attorneys to access data on all court cases, with exception to criminal cases, that are registered in the CMS. Access is provided through judicial web portal using the case number and a unique access code. </t>
  </si>
  <si>
    <t>https://pravosudje.ba/predmeti/B/login</t>
  </si>
  <si>
    <t>Lawyers;Court users (general public);</t>
  </si>
  <si>
    <t>E-Court - Mobile access to court cases (E-Sud - mobilni pristup sudskim predmetima)</t>
  </si>
  <si>
    <t>2019</t>
  </si>
  <si>
    <t>This service allows parties involved in cases, their legal representatives and attorneys to access data on all court cases, with exception to criminal cases, that are registered in the CMS. Access is provided using the case number and a unique access code. In 2019, a free mobile application for Android and iOS operating systems called E-court was developed, which enables parties involved in cases, lawyers and other users to track the status of court cases, hearing schedules and other relevant information via their mobile devices. The application provides notifications for all updates in the user's cases.</t>
  </si>
  <si>
    <t>pravosudje.ba/predmeti/B/login</t>
  </si>
  <si>
    <t>Video conferencing system (Videokonferencijski sistem )</t>
  </si>
  <si>
    <t>2013</t>
  </si>
  <si>
    <t>Video conferencing system in the judicial institutions has been implemented to enable efficient hearing of witnesses and other participants in proceedings, especially in cases of war crimes and when witnesses or experts are abroad and are unable to physically access the court.</t>
  </si>
  <si>
    <t>https://pravosudje.ba/vstvfo/H/10001/article/56611</t>
  </si>
  <si>
    <t>Judges/clerks;</t>
  </si>
  <si>
    <t>SOKOP-Mal - System for electronic filing and processing of small claims utility cases (Sistem za elektronsko podnošenje i obradu predmeta male vrijednosti)</t>
  </si>
  <si>
    <t>2012</t>
  </si>
  <si>
    <t>System for electronic filing and processing of small claims utility cases. Communication between public utility services and the court takes place exclusively through electronic means, from the filing of proposals or lawsuits to the delivery of the court’s decision.</t>
  </si>
  <si>
    <t>https://vstv.pravosudje.ba/vstvfo/B/10001/kategorije-vijesti/7694/10748?</t>
  </si>
  <si>
    <t>Judges/clerks;Court users (general public);</t>
  </si>
  <si>
    <t>Judicial Practice Portal (Portal sudske prakse)</t>
  </si>
  <si>
    <t>1 - Document search, review and Large-scale Discovery;</t>
  </si>
  <si>
    <t>2022</t>
  </si>
  <si>
    <t>Judicial Practice Portal of Bosnia and Herzegovina is a platform that provides access to selected judicial practice stances, court decisions, and legal interpretations from the four highest instance courts in BiH - the Court of Bosnia and Herzegovina, the Supreme Court of the Federation of BiH, the Supreme Court of the Republika Srpska and the Appellate Court of Brčko District. The judicial practice stances include not only the sentence but also the final decision of the court. In addition to the decision, the stated stances may also include decisions from lower instance courts, as well as decisions from the Constitutional Court of BiH and the European Court for Human Rights.</t>
  </si>
  <si>
    <t>https://sudskapraksa.pravosudje.ba/</t>
  </si>
  <si>
    <t>Lawyers;Court users (general public);Judges/clerks;</t>
  </si>
  <si>
    <t>Database of Judicial Decisions (Baza sudskih odluka)</t>
  </si>
  <si>
    <t>2007</t>
  </si>
  <si>
    <t>The database of court decisions is primarily intended for monitoring selected case law of courts in Bosnia and Herzegovina. Currently, the database provides access to selected case law from the Court of Bosnia and Herzegovina, Supreme Court of the Republika Srpska, the Supreme Court of the Federation of Bosnia and Herzegovina, and the Appellate Court of the Brcko District, covering the period from 2003 to the present. In addition to the decisions of these courts, the database also includes a significant number of related rulings from lower-instance courts, as well as relevant decisions of the Constitutional Court of Bosnia and Herzegovina. Each decision in the database is presented in full text, differing from the original only in the parts modified to protect the privacy of the parties involved. All decisions are manually anonymized prior to publication.</t>
  </si>
  <si>
    <t>https://csd.pravosudje.ba/vstvfo/B/142/kategorije-vijesti/141/simple</t>
  </si>
  <si>
    <t>Lawyers;Court users (general public);Judges/clerks;Prosecutors/clerks;</t>
  </si>
  <si>
    <t>Map of Court Cases of Public Interest (Mapa predmeta od javnog interesa)</t>
  </si>
  <si>
    <t>1 - Document search, review and Large-scale Discovery;8 - Information/assistance services;</t>
  </si>
  <si>
    <t>The interactive map provides the public with easy access to information about finalized cases of war crimes, organized and economic crime, and corruption. Cases can be searched using various criteria, including case number, the court that issued the decision, type of case, role of the perpetrator, and location of the crime. Summaries of war crimes and major corruption cases are available in English, in addition to BHS languages. Detailed information about these decisions can be found in the Court Decisions Database.</t>
  </si>
  <si>
    <t>https://mapepredmeta.pravosudje.ba/</t>
  </si>
  <si>
    <t>https://csd.pravosudje.ba/vstvfo/E/142/article/146161</t>
  </si>
  <si>
    <t>Court users (general public);</t>
  </si>
  <si>
    <t>Module for estimating approximate court procedure costs (Modul za procjenu okvirnih troškova sudskog postupka)</t>
  </si>
  <si>
    <t>2018</t>
  </si>
  <si>
    <t>The procedure cost calculator is an interactive tool developed to provide citizens and legal professionals with information about potential costs of court proceedings. This calculator enables users to estimate the costs of various stages of civil or enforcement proceedings before courts in Bosnia and Herzegovina, based on applicable attorney fee schedules and court fee regulations.</t>
  </si>
  <si>
    <t>https://www.pravosudje.ba/vstvfo/B/10001/calculators/tariff</t>
  </si>
  <si>
    <t>Court users (general public);Lawyers;</t>
  </si>
  <si>
    <t>Judicial Web Portal (Portal pravosuđa Bosne i Hercegovine)</t>
  </si>
  <si>
    <t>2011</t>
  </si>
  <si>
    <t>Judicial Web Portal of Bosnia and Herzegovina is a central access point and a hub for all information related to the judiciary in BiH. A new, fully redesigned and improved version of the web portal was released in 2021. The web portal serves as a central platform for accessing information about the judiciary system in Bosnia and Herzegovina. It provides users with details about the structure and functioning of judicial institutions, as well as access to various e-services such as case tracking, hearing schedules, court decision databases, fee calculators, and electronic notice boards. All individual websites of courts and prosecutor’s offices in Bosnia and Herzegovina, as well as that of the High Judicial and Prosecutorial Council, are developed within the framework of Judicial Web Portal and can be accessed either through the portal or individually.</t>
  </si>
  <si>
    <t>https://www.pravosudje.ba</t>
  </si>
  <si>
    <t>Admir Dulas, High Judicial and Prosecutorial Council of Bosnia and Herzegovina, admir.dulas@pravosudje.ba</t>
  </si>
  <si>
    <t>VioGén est un outil d'évaluation des risques conçu pour améliorer la protection des victimes et prévenir l'escalade de la violence domestique. Il attribue un niveau de risque qui détermine les mesures de protection nécessaires, telles que les contrôles de police ou les alarmes d'urgence.</t>
  </si>
  <si>
    <t>VioGén2 - Monitoring System for Gender-Based Violence Cases</t>
  </si>
  <si>
    <t>VioGén2 is a risk assessment tool designed to improve victim protection and prevent escalations of domestic violence. It assigns a risk level, which determines the necessary protective measures, such as police check-ins or emergency alarms.</t>
  </si>
  <si>
    <t>https://sistemaviogen.ses.mir.es/publico/viogen/en/</t>
  </si>
  <si>
    <t>https://eucpn.org/sites/default/files/document/files/Buena%20practica%20VIOGEN_0.pdf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</si>
</sst>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0" x14ac:knownFonts="1">
    <font>
      <sz val="11"/>
      <name val="Calibri"/>
    </font>
    <font>
      <sz val="11"/>
      <color theme="1"/>
      <name val="Calibri"/>
      <family val="2"/>
      <scheme val="minor"/>
    </font>
    <font>
      <sz val="11"/>
      <color theme="1"/>
      <name val="Calibri"/>
      <family val="2"/>
      <scheme val="minor"/>
    </font>
    <font>
      <sz val="11"/>
      <name val="Calibri"/>
      <family val="2"/>
    </font>
    <font>
      <u/>
      <sz val="11"/>
      <color theme="10"/>
      <name val="Calibri"/>
      <family val="2"/>
    </font>
    <font>
      <u/>
      <sz val="11"/>
      <color theme="10"/>
      <name val="Calibri"/>
      <family val="2"/>
      <scheme val="minor"/>
    </font>
    <font>
      <sz val="12"/>
      <color rgb="FFFF0000"/>
      <name val="Calibri"/>
      <family val="2"/>
      <scheme val="minor"/>
    </font>
    <font>
      <i/>
      <sz val="12"/>
      <color rgb="FFFF0000"/>
      <name val="Calibri"/>
      <family val="2"/>
    </font>
    <font>
      <b/>
      <sz val="11"/>
      <name val="Calibri"/>
      <family val="2"/>
    </font>
    <font>
      <sz val="8"/>
      <name val="Calibri"/>
      <family val="2"/>
    </font>
    <font>
      <sz val="11"/>
      <color theme="1"/>
      <name val="Calibri"/>
      <family val="2"/>
    </font>
    <font>
      <b/>
      <sz val="11"/>
      <color theme="1"/>
      <name val="Calibri"/>
      <family val="2"/>
    </font>
    <font>
      <sz val="11"/>
      <color rgb="FF000000"/>
      <name val="Calibri"/>
      <family val="2"/>
      <scheme val="minor"/>
    </font>
    <font>
      <sz val="11"/>
      <color theme="1"/>
      <name val="Calibri"/>
      <family val="2"/>
    </font>
    <font>
      <sz val="11"/>
      <color rgb="FFFF0000"/>
      <name val="Calibri"/>
      <family val="2"/>
    </font>
    <font>
      <sz val="11"/>
      <color theme="10"/>
      <name val="Calibri"/>
      <family val="2"/>
    </font>
    <font>
      <sz val="12"/>
      <color theme="1"/>
      <name val="Calibri"/>
      <family val="2"/>
    </font>
    <font>
      <u/>
      <sz val="11"/>
      <color rgb="FF0563C1"/>
      <name val="Calibri"/>
      <family val="2"/>
    </font>
    <font>
      <sz val="8"/>
      <name val="Calibri"/>
      <family val="2"/>
    </font>
    <font>
      <u/>
      <sz val="11"/>
      <color theme="10"/>
      <name val="Calibri"/>
      <family val="2"/>
    </font>
    <font>
      <sz val="11"/>
      <color rgb="FF000000"/>
      <name val="Calibri"/>
      <family val="2"/>
    </font>
    <font>
      <sz val="12"/>
      <name val="Calibri"/>
      <family val="2"/>
      <scheme val="minor"/>
    </font>
    <font>
      <sz val="11"/>
      <color rgb="FF000000"/>
      <name val="Calibri"/>
      <family val="2"/>
      <charset val="1"/>
    </font>
    <font>
      <sz val="11"/>
      <color rgb="FFC9211E"/>
      <name val="Calibri"/>
      <family val="2"/>
      <charset val="1"/>
    </font>
    <font>
      <u/>
      <sz val="11"/>
      <color rgb="FF000000"/>
      <name val="Calibri"/>
      <family val="2"/>
      <charset val="1"/>
    </font>
    <font>
      <u/>
      <sz val="12"/>
      <color rgb="FF0563C1"/>
      <name val="Calibri"/>
      <family val="2"/>
    </font>
    <font>
      <sz val="11"/>
      <color theme="1"/>
      <name val="Calibri"/>
      <family val="2"/>
    </font>
    <font>
      <sz val="12"/>
      <color rgb="FF000000"/>
      <name val="Calibri"/>
      <family val="2"/>
    </font>
    <font>
      <sz val="11"/>
      <color theme="1"/>
      <name val="Calibri"/>
      <family val="2"/>
    </font>
    <font>
      <sz val="11"/>
      <color rgb="FFFF0000"/>
      <name val="Calibri"/>
      <family val="2"/>
      <scheme val="minor"/>
    </font>
    <font>
      <u/>
      <sz val="11"/>
      <color theme="1"/>
      <name val="Calibri"/>
      <family val="2"/>
    </font>
    <font>
      <sz val="11"/>
      <color rgb="FF00B050"/>
      <name val="Calibri"/>
      <family val="2"/>
      <charset val="1"/>
    </font>
    <font>
      <sz val="11"/>
      <color theme="9" tint="-0.249977111117893"/>
      <name val="Calibri"/>
      <family val="2"/>
    </font>
    <font>
      <sz val="11"/>
      <color rgb="FF00B050"/>
      <name val="Calibri"/>
      <family val="2"/>
    </font>
    <font>
      <u/>
      <sz val="11"/>
      <color rgb="FF0000FF"/>
      <name val="Calibri"/>
      <family val="2"/>
    </font>
    <font>
      <sz val="11"/>
      <color rgb="FFFF0000"/>
      <name val="Calibri"/>
      <family val="2"/>
      <charset val="1"/>
    </font>
    <font>
      <sz val="11"/>
      <color theme="9"/>
      <name val="Calibri"/>
      <family val="2"/>
      <charset val="1"/>
    </font>
    <font>
      <sz val="11"/>
      <color theme="9" tint="-0.249977111117893"/>
      <name val="Calibri"/>
      <family val="2"/>
      <charset val="1"/>
    </font>
    <font>
      <sz val="11"/>
      <color theme="1"/>
      <name val="Calibri"/>
      <family val="2"/>
      <charset val="1"/>
    </font>
    <font>
      <sz val="11"/>
      <name val="Calibri"/>
      <family val="2"/>
      <scheme val="minor"/>
    </font>
  </fonts>
  <fills count="28">
    <fill>
      <patternFill patternType="none"/>
    </fill>
    <fill>
      <patternFill patternType="gray125"/>
    </fill>
    <fill>
      <patternFill patternType="solid">
        <fgColor theme="5" tint="0.39997558519241921"/>
        <bgColor indexed="64"/>
      </patternFill>
    </fill>
    <fill>
      <patternFill patternType="solid">
        <fgColor theme="9"/>
        <bgColor theme="9"/>
      </patternFill>
    </fill>
    <fill>
      <patternFill patternType="solid">
        <fgColor rgb="FFD9E2F3"/>
        <bgColor rgb="FFD9E2F3"/>
      </patternFill>
    </fill>
    <fill>
      <patternFill patternType="solid">
        <fgColor theme="7"/>
        <bgColor theme="7"/>
      </patternFill>
    </fill>
    <fill>
      <patternFill patternType="solid">
        <fgColor theme="9" tint="0.79998168889431442"/>
        <bgColor theme="9" tint="0.79998168889431442"/>
      </patternFill>
    </fill>
    <fill>
      <patternFill patternType="solid">
        <fgColor rgb="FFFF0000"/>
        <bgColor indexed="64"/>
      </patternFill>
    </fill>
    <fill>
      <patternFill patternType="solid">
        <fgColor theme="4" tint="0.79998168889431442"/>
        <bgColor theme="7"/>
      </patternFill>
    </fill>
    <fill>
      <patternFill patternType="solid">
        <fgColor theme="4" tint="0.79998168889431442"/>
        <bgColor indexed="64"/>
      </patternFill>
    </fill>
    <fill>
      <patternFill patternType="solid">
        <fgColor theme="4" tint="0.79998168889431442"/>
        <bgColor theme="0"/>
      </patternFill>
    </fill>
    <fill>
      <patternFill patternType="solid">
        <fgColor theme="9" tint="0.79998168889431442"/>
        <bgColor indexed="64"/>
      </patternFill>
    </fill>
    <fill>
      <patternFill patternType="solid">
        <fgColor theme="4" tint="0.79998168889431442"/>
        <bgColor theme="5"/>
      </patternFill>
    </fill>
    <fill>
      <patternFill patternType="solid">
        <fgColor rgb="FFFFFF00"/>
        <bgColor indexed="64"/>
      </patternFill>
    </fill>
    <fill>
      <patternFill patternType="solid">
        <fgColor theme="5"/>
        <bgColor indexed="64"/>
      </patternFill>
    </fill>
    <fill>
      <patternFill patternType="solid">
        <fgColor rgb="FFFF0000"/>
        <bgColor rgb="FFFF0000"/>
      </patternFill>
    </fill>
    <fill>
      <patternFill patternType="solid">
        <fgColor theme="4"/>
        <bgColor theme="4"/>
      </patternFill>
    </fill>
    <fill>
      <patternFill patternType="solid">
        <fgColor theme="5"/>
        <bgColor rgb="FFC00000"/>
      </patternFill>
    </fill>
    <fill>
      <patternFill patternType="solid">
        <fgColor rgb="FFD9E2F3"/>
        <bgColor rgb="FFE2F0D9"/>
      </patternFill>
    </fill>
    <fill>
      <patternFill patternType="solid">
        <fgColor theme="4" tint="0.79998168889431442"/>
        <bgColor rgb="FFC00000"/>
      </patternFill>
    </fill>
    <fill>
      <patternFill patternType="solid">
        <fgColor theme="9" tint="0.79998168889431442"/>
        <bgColor rgb="FFFF9900"/>
      </patternFill>
    </fill>
    <fill>
      <patternFill patternType="solid">
        <fgColor theme="9"/>
        <bgColor indexed="64"/>
      </patternFill>
    </fill>
    <fill>
      <patternFill patternType="solid">
        <fgColor rgb="FFFF0000"/>
        <bgColor theme="9"/>
      </patternFill>
    </fill>
    <fill>
      <patternFill patternType="solid">
        <fgColor rgb="FFFFC000"/>
        <bgColor indexed="64"/>
      </patternFill>
    </fill>
    <fill>
      <patternFill patternType="solid">
        <fgColor rgb="FFFFFF00"/>
        <bgColor theme="7"/>
      </patternFill>
    </fill>
    <fill>
      <patternFill patternType="solid">
        <fgColor theme="5"/>
        <bgColor theme="5"/>
      </patternFill>
    </fill>
    <fill>
      <patternFill patternType="solid">
        <fgColor rgb="FFFF9900"/>
        <bgColor rgb="FFFF9900"/>
      </patternFill>
    </fill>
    <fill>
      <patternFill patternType="solid">
        <fgColor theme="4" tint="0.79998168889431442"/>
        <bgColor theme="4" tint="0.79998168889431442"/>
      </patternFill>
    </fill>
  </fills>
  <borders count="2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bottom/>
      <diagonal/>
    </border>
    <border>
      <left style="thin">
        <color theme="9" tint="0.39997558519241921"/>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6">
    <xf numFmtId="0" fontId="0" fillId="0" borderId="0"/>
    <xf numFmtId="0" fontId="3" fillId="0" borderId="0"/>
    <xf numFmtId="0" fontId="2" fillId="0" borderId="0"/>
    <xf numFmtId="0" fontId="5" fillId="0" borderId="0" applyNumberFormat="0" applyFill="0" applyBorder="0" applyAlignment="0" applyProtection="0"/>
    <xf numFmtId="0" fontId="19" fillId="0" borderId="0" applyNumberFormat="0" applyFill="0" applyBorder="0" applyAlignment="0" applyProtection="0"/>
    <xf numFmtId="0" fontId="4" fillId="0" borderId="0" applyNumberFormat="0" applyFill="0" applyBorder="0" applyAlignment="0" applyProtection="0"/>
  </cellStyleXfs>
  <cellXfs count="278">
    <xf numFmtId="0" fontId="0" fillId="0" borderId="0" xfId="0"/>
    <xf numFmtId="0" fontId="0" fillId="0" borderId="0" xfId="0"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6" fillId="0" borderId="1" xfId="0" applyFont="1" applyBorder="1" applyAlignment="1">
      <alignment horizontal="left" vertical="center"/>
    </xf>
    <xf numFmtId="0" fontId="0" fillId="2" borderId="0" xfId="0" applyFill="1" applyAlignment="1">
      <alignment horizontal="left" vertical="center" wrapText="1"/>
    </xf>
    <xf numFmtId="0" fontId="3" fillId="0" borderId="0" xfId="0" applyFont="1"/>
    <xf numFmtId="0" fontId="8" fillId="0" borderId="0" xfId="0" applyFont="1"/>
    <xf numFmtId="0" fontId="0" fillId="0" borderId="0" xfId="0" applyAlignment="1">
      <alignment wrapText="1"/>
    </xf>
    <xf numFmtId="0" fontId="11" fillId="0" borderId="3" xfId="0" applyFont="1" applyBorder="1" applyAlignment="1">
      <alignment horizontal="left" vertical="top" wrapText="1"/>
    </xf>
    <xf numFmtId="14" fontId="11" fillId="0" borderId="3" xfId="0" applyNumberFormat="1" applyFont="1" applyBorder="1" applyAlignment="1">
      <alignment horizontal="left" vertical="top" wrapText="1"/>
    </xf>
    <xf numFmtId="0" fontId="11" fillId="0" borderId="4" xfId="0" applyFont="1" applyBorder="1" applyAlignment="1">
      <alignment horizontal="left" vertical="top" wrapText="1"/>
    </xf>
    <xf numFmtId="0" fontId="11" fillId="0" borderId="6" xfId="0" applyFont="1" applyBorder="1" applyAlignment="1">
      <alignment horizontal="left" vertical="top" wrapText="1"/>
    </xf>
    <xf numFmtId="0" fontId="3" fillId="0" borderId="0" xfId="0" applyFont="1" applyAlignment="1">
      <alignment horizontal="center" vertical="center" wrapText="1"/>
    </xf>
    <xf numFmtId="0" fontId="3" fillId="0" borderId="0" xfId="0" applyFont="1" applyAlignment="1">
      <alignment horizontal="left" vertical="center" wrapText="1"/>
    </xf>
    <xf numFmtId="1" fontId="3" fillId="0" borderId="0" xfId="0" applyNumberFormat="1" applyFont="1" applyAlignment="1">
      <alignment horizontal="left" vertical="center" wrapText="1"/>
    </xf>
    <xf numFmtId="14" fontId="3" fillId="0" borderId="0" xfId="0" applyNumberFormat="1" applyFont="1" applyAlignment="1">
      <alignment horizontal="left" vertical="center" wrapText="1"/>
    </xf>
    <xf numFmtId="0" fontId="16" fillId="0" borderId="3" xfId="0" applyFont="1" applyBorder="1" applyAlignment="1">
      <alignment horizontal="left" vertical="top" wrapText="1"/>
    </xf>
    <xf numFmtId="0" fontId="10" fillId="0" borderId="3" xfId="0" applyFont="1" applyBorder="1" applyAlignment="1">
      <alignment horizontal="left" vertical="top" wrapText="1"/>
    </xf>
    <xf numFmtId="0" fontId="13" fillId="0" borderId="3" xfId="0" applyFont="1" applyBorder="1" applyAlignment="1">
      <alignment horizontal="left" vertical="top" wrapText="1"/>
    </xf>
    <xf numFmtId="0" fontId="0" fillId="6" borderId="7" xfId="0" applyFill="1" applyBorder="1"/>
    <xf numFmtId="0" fontId="0" fillId="0" borderId="7" xfId="0" applyBorder="1"/>
    <xf numFmtId="0" fontId="0" fillId="6" borderId="8" xfId="0" applyFill="1" applyBorder="1"/>
    <xf numFmtId="0" fontId="0" fillId="0" borderId="8" xfId="0" applyBorder="1"/>
    <xf numFmtId="0" fontId="0" fillId="6" borderId="9" xfId="0" applyFill="1" applyBorder="1"/>
    <xf numFmtId="0" fontId="0" fillId="0" borderId="9" xfId="0" applyBorder="1"/>
    <xf numFmtId="0" fontId="3" fillId="6" borderId="8" xfId="0" applyFont="1" applyFill="1" applyBorder="1"/>
    <xf numFmtId="0" fontId="3" fillId="0" borderId="8" xfId="0" applyFont="1" applyBorder="1"/>
    <xf numFmtId="0" fontId="8" fillId="0" borderId="3" xfId="0" applyFont="1" applyBorder="1" applyAlignment="1">
      <alignment horizontal="left" vertical="top" wrapText="1"/>
    </xf>
    <xf numFmtId="0" fontId="14" fillId="0" borderId="3" xfId="0" applyFont="1" applyBorder="1" applyAlignment="1">
      <alignment horizontal="left" vertical="top" wrapText="1"/>
    </xf>
    <xf numFmtId="0" fontId="3" fillId="0" borderId="3" xfId="0" applyFont="1" applyBorder="1" applyAlignment="1">
      <alignment horizontal="left" vertical="top" wrapText="1"/>
    </xf>
    <xf numFmtId="0" fontId="0" fillId="0" borderId="2" xfId="0" applyBorder="1"/>
    <xf numFmtId="0" fontId="0" fillId="0" borderId="8" xfId="0" applyBorder="1" applyAlignment="1">
      <alignment wrapText="1"/>
    </xf>
    <xf numFmtId="0" fontId="0" fillId="6" borderId="10" xfId="0" applyFill="1" applyBorder="1"/>
    <xf numFmtId="0" fontId="3" fillId="6" borderId="7" xfId="0" applyFont="1" applyFill="1" applyBorder="1"/>
    <xf numFmtId="0" fontId="3" fillId="0" borderId="7" xfId="0" applyFont="1" applyBorder="1"/>
    <xf numFmtId="0" fontId="0" fillId="6" borderId="11" xfId="0" applyFill="1" applyBorder="1"/>
    <xf numFmtId="0" fontId="0" fillId="0" borderId="11" xfId="0" applyBorder="1"/>
    <xf numFmtId="0" fontId="3" fillId="0" borderId="0" xfId="0" applyFont="1" applyAlignment="1">
      <alignment wrapText="1"/>
    </xf>
    <xf numFmtId="0" fontId="3" fillId="0" borderId="8" xfId="0" applyFont="1" applyBorder="1" applyAlignment="1">
      <alignment wrapText="1"/>
    </xf>
    <xf numFmtId="0" fontId="3" fillId="6" borderId="8" xfId="0" applyFont="1" applyFill="1" applyBorder="1" applyAlignment="1">
      <alignment wrapText="1"/>
    </xf>
    <xf numFmtId="0" fontId="10" fillId="0" borderId="5" xfId="0" applyFont="1" applyBorder="1" applyAlignment="1">
      <alignment horizontal="left" vertical="top" wrapText="1"/>
    </xf>
    <xf numFmtId="0" fontId="10" fillId="3" borderId="3" xfId="0" applyFont="1" applyFill="1" applyBorder="1" applyAlignment="1">
      <alignment horizontal="left" vertical="top" wrapText="1"/>
    </xf>
    <xf numFmtId="0" fontId="14" fillId="0" borderId="12" xfId="0" applyFont="1" applyBorder="1" applyAlignment="1">
      <alignment horizontal="left" vertical="top" wrapText="1"/>
    </xf>
    <xf numFmtId="0" fontId="10" fillId="0" borderId="13" xfId="0" applyFont="1" applyBorder="1" applyAlignment="1">
      <alignment horizontal="left" vertical="top" wrapText="1"/>
    </xf>
    <xf numFmtId="0" fontId="10" fillId="8" borderId="13" xfId="0" applyFont="1" applyFill="1" applyBorder="1" applyAlignment="1">
      <alignment horizontal="left" vertical="top" wrapText="1"/>
    </xf>
    <xf numFmtId="1" fontId="10" fillId="0" borderId="3" xfId="0" applyNumberFormat="1" applyFont="1" applyBorder="1" applyAlignment="1">
      <alignment horizontal="left" vertical="top" wrapText="1"/>
    </xf>
    <xf numFmtId="0" fontId="10" fillId="4" borderId="3" xfId="0" applyFont="1" applyFill="1" applyBorder="1" applyAlignment="1">
      <alignment horizontal="left" vertical="top" wrapText="1"/>
    </xf>
    <xf numFmtId="0" fontId="10" fillId="9" borderId="13" xfId="0" applyFont="1" applyFill="1" applyBorder="1" applyAlignment="1">
      <alignment horizontal="left" vertical="top" wrapText="1"/>
    </xf>
    <xf numFmtId="0" fontId="10" fillId="10" borderId="3" xfId="0" applyFont="1" applyFill="1" applyBorder="1" applyAlignment="1">
      <alignment horizontal="left" vertical="top" wrapText="1"/>
    </xf>
    <xf numFmtId="0" fontId="20" fillId="0" borderId="0" xfId="0" applyFont="1" applyAlignment="1">
      <alignment wrapText="1"/>
    </xf>
    <xf numFmtId="0" fontId="16" fillId="0" borderId="13" xfId="0" applyFont="1" applyBorder="1" applyAlignment="1">
      <alignment horizontal="left" vertical="top" wrapText="1"/>
    </xf>
    <xf numFmtId="0" fontId="3" fillId="8" borderId="3" xfId="0" applyFont="1" applyFill="1" applyBorder="1" applyAlignment="1">
      <alignment horizontal="left" vertical="top" wrapText="1"/>
    </xf>
    <xf numFmtId="0" fontId="14" fillId="0" borderId="14" xfId="0" applyFont="1" applyBorder="1" applyAlignment="1">
      <alignment horizontal="left" vertical="top" wrapText="1"/>
    </xf>
    <xf numFmtId="0" fontId="10" fillId="0" borderId="15" xfId="0" applyFont="1" applyBorder="1" applyAlignment="1">
      <alignment horizontal="left" vertical="top" wrapText="1"/>
    </xf>
    <xf numFmtId="0" fontId="3" fillId="0" borderId="5" xfId="0" applyFont="1" applyBorder="1" applyAlignment="1">
      <alignment horizontal="left" vertical="top" wrapText="1"/>
    </xf>
    <xf numFmtId="0" fontId="11" fillId="0" borderId="2" xfId="0" applyFont="1" applyBorder="1" applyAlignment="1">
      <alignment horizontal="left" vertical="top" wrapText="1"/>
    </xf>
    <xf numFmtId="0" fontId="17" fillId="0" borderId="0" xfId="0" applyFont="1" applyAlignment="1">
      <alignment wrapText="1"/>
    </xf>
    <xf numFmtId="14" fontId="10" fillId="0" borderId="12" xfId="0" applyNumberFormat="1" applyFont="1" applyBorder="1" applyAlignment="1">
      <alignment horizontal="left" vertical="top" wrapText="1"/>
    </xf>
    <xf numFmtId="0" fontId="10" fillId="0" borderId="0" xfId="0" applyFont="1" applyAlignment="1">
      <alignment horizontal="left" vertical="top" wrapText="1"/>
    </xf>
    <xf numFmtId="0" fontId="3" fillId="0" borderId="17" xfId="0" applyFont="1" applyBorder="1" applyAlignment="1">
      <alignment wrapText="1"/>
    </xf>
    <xf numFmtId="0" fontId="4" fillId="0" borderId="0" xfId="0" applyFont="1" applyAlignment="1">
      <alignment horizontal="left" vertical="top" wrapText="1"/>
    </xf>
    <xf numFmtId="0" fontId="17" fillId="0" borderId="0" xfId="0" applyFont="1" applyAlignment="1">
      <alignment horizontal="left" vertical="top" wrapText="1"/>
    </xf>
    <xf numFmtId="0" fontId="15" fillId="0" borderId="0" xfId="0" applyFont="1" applyAlignment="1">
      <alignment horizontal="left" vertical="top" wrapText="1"/>
    </xf>
    <xf numFmtId="1" fontId="4" fillId="0" borderId="0" xfId="0" applyNumberFormat="1" applyFont="1" applyAlignment="1">
      <alignment horizontal="left" vertical="top" wrapText="1"/>
    </xf>
    <xf numFmtId="1" fontId="15" fillId="0" borderId="0" xfId="0" applyNumberFormat="1" applyFont="1" applyAlignment="1">
      <alignment horizontal="left" vertical="top" wrapText="1"/>
    </xf>
    <xf numFmtId="1" fontId="17" fillId="0" borderId="0" xfId="0" applyNumberFormat="1" applyFont="1" applyAlignment="1">
      <alignment wrapText="1"/>
    </xf>
    <xf numFmtId="1" fontId="19" fillId="13" borderId="0" xfId="4" applyNumberFormat="1" applyFill="1" applyBorder="1" applyAlignment="1">
      <alignment horizontal="left" vertical="top" wrapText="1"/>
    </xf>
    <xf numFmtId="1" fontId="17" fillId="0" borderId="0" xfId="0" applyNumberFormat="1" applyFont="1" applyAlignment="1">
      <alignment horizontal="left" vertical="top" wrapText="1"/>
    </xf>
    <xf numFmtId="1" fontId="10" fillId="0" borderId="0" xfId="0" applyNumberFormat="1" applyFont="1" applyAlignment="1">
      <alignment horizontal="left" vertical="top" wrapText="1"/>
    </xf>
    <xf numFmtId="0" fontId="15" fillId="9" borderId="0" xfId="0" applyFont="1" applyFill="1" applyAlignment="1">
      <alignment horizontal="left" vertical="top" wrapText="1"/>
    </xf>
    <xf numFmtId="0" fontId="0" fillId="0" borderId="17" xfId="0" applyBorder="1" applyAlignment="1">
      <alignment wrapText="1"/>
    </xf>
    <xf numFmtId="1" fontId="10" fillId="12" borderId="0" xfId="0" applyNumberFormat="1" applyFont="1" applyFill="1" applyAlignment="1">
      <alignment horizontal="left" vertical="top" wrapText="1"/>
    </xf>
    <xf numFmtId="0" fontId="19" fillId="0" borderId="0" xfId="4" applyBorder="1" applyAlignment="1">
      <alignment horizontal="left" vertical="top" wrapText="1"/>
    </xf>
    <xf numFmtId="14" fontId="10" fillId="0" borderId="14" xfId="0" applyNumberFormat="1" applyFont="1" applyBorder="1" applyAlignment="1">
      <alignment horizontal="left" vertical="top" wrapText="1"/>
    </xf>
    <xf numFmtId="0" fontId="3" fillId="0" borderId="18" xfId="0" applyFont="1" applyBorder="1" applyAlignment="1">
      <alignment wrapText="1"/>
    </xf>
    <xf numFmtId="1" fontId="19" fillId="0" borderId="0" xfId="4" applyNumberFormat="1" applyBorder="1" applyAlignment="1">
      <alignment horizontal="left" vertical="top" wrapText="1"/>
    </xf>
    <xf numFmtId="14" fontId="10" fillId="0" borderId="0" xfId="0" applyNumberFormat="1" applyFont="1" applyAlignment="1">
      <alignment horizontal="left" vertical="top" wrapText="1"/>
    </xf>
    <xf numFmtId="1" fontId="19" fillId="5" borderId="0" xfId="4" applyNumberFormat="1" applyFill="1" applyBorder="1" applyAlignment="1">
      <alignment horizontal="left" vertical="top" wrapText="1"/>
    </xf>
    <xf numFmtId="1" fontId="4" fillId="0" borderId="0" xfId="4" applyNumberFormat="1" applyFont="1" applyBorder="1" applyAlignment="1">
      <alignment horizontal="left" vertical="top" wrapText="1"/>
    </xf>
    <xf numFmtId="1" fontId="4" fillId="0" borderId="0" xfId="4" applyNumberFormat="1" applyFont="1" applyFill="1" applyBorder="1" applyAlignment="1">
      <alignment horizontal="left" vertical="top" wrapText="1"/>
    </xf>
    <xf numFmtId="0" fontId="3" fillId="0" borderId="2" xfId="0" applyFont="1" applyBorder="1"/>
    <xf numFmtId="14" fontId="10" fillId="14" borderId="0" xfId="0" applyNumberFormat="1" applyFont="1" applyFill="1" applyAlignment="1">
      <alignment horizontal="left" vertical="top" wrapText="1"/>
    </xf>
    <xf numFmtId="0" fontId="19" fillId="0" borderId="0" xfId="4" applyBorder="1" applyAlignment="1">
      <alignment wrapText="1"/>
    </xf>
    <xf numFmtId="0" fontId="10" fillId="0" borderId="12" xfId="0" applyFont="1" applyBorder="1" applyAlignment="1">
      <alignment horizontal="left" vertical="top" wrapText="1"/>
    </xf>
    <xf numFmtId="0" fontId="0" fillId="0" borderId="2" xfId="0" applyBorder="1" applyAlignment="1">
      <alignment wrapText="1"/>
    </xf>
    <xf numFmtId="0" fontId="19" fillId="0" borderId="0" xfId="4" applyBorder="1"/>
    <xf numFmtId="0" fontId="0" fillId="0" borderId="18" xfId="0" applyBorder="1" applyAlignment="1">
      <alignment wrapText="1"/>
    </xf>
    <xf numFmtId="0" fontId="21" fillId="0" borderId="0" xfId="0" applyFont="1" applyAlignment="1">
      <alignment horizontal="justify" vertical="center"/>
    </xf>
    <xf numFmtId="164" fontId="10" fillId="0" borderId="12" xfId="0" applyNumberFormat="1" applyFont="1" applyBorder="1" applyAlignment="1">
      <alignment horizontal="left" vertical="top" wrapText="1"/>
    </xf>
    <xf numFmtId="0" fontId="22" fillId="11" borderId="2" xfId="0" applyFont="1" applyFill="1" applyBorder="1" applyAlignment="1">
      <alignment horizontal="left" vertical="top"/>
    </xf>
    <xf numFmtId="0" fontId="22" fillId="0" borderId="2" xfId="0" applyFont="1" applyBorder="1" applyAlignment="1">
      <alignment horizontal="left" vertical="top" wrapText="1"/>
    </xf>
    <xf numFmtId="0" fontId="22" fillId="0" borderId="2" xfId="0" applyFont="1" applyBorder="1" applyAlignment="1">
      <alignment horizontal="justify" vertical="top" wrapText="1"/>
    </xf>
    <xf numFmtId="0" fontId="22" fillId="0" borderId="16" xfId="0" applyFont="1" applyBorder="1" applyAlignment="1">
      <alignment horizontal="justify" vertical="top" wrapText="1"/>
    </xf>
    <xf numFmtId="1" fontId="22" fillId="0" borderId="0" xfId="0" applyNumberFormat="1" applyFont="1" applyAlignment="1">
      <alignment horizontal="justify" vertical="top" wrapText="1"/>
    </xf>
    <xf numFmtId="1" fontId="22" fillId="0" borderId="0" xfId="0" applyNumberFormat="1" applyFont="1" applyAlignment="1">
      <alignment horizontal="left" vertical="top"/>
    </xf>
    <xf numFmtId="0" fontId="22" fillId="0" borderId="17" xfId="0" applyFont="1" applyBorder="1" applyAlignment="1">
      <alignment horizontal="left" vertical="top" wrapText="1"/>
    </xf>
    <xf numFmtId="164" fontId="22" fillId="0" borderId="16" xfId="0" applyNumberFormat="1" applyFont="1" applyBorder="1" applyAlignment="1">
      <alignment horizontal="left" vertical="top"/>
    </xf>
    <xf numFmtId="0" fontId="22" fillId="9" borderId="2" xfId="0" applyFont="1" applyFill="1" applyBorder="1" applyAlignment="1">
      <alignment horizontal="left" vertical="top" wrapText="1"/>
    </xf>
    <xf numFmtId="0" fontId="10" fillId="14" borderId="3" xfId="0" applyFont="1" applyFill="1" applyBorder="1" applyAlignment="1">
      <alignment horizontal="left" vertical="top" wrapText="1"/>
    </xf>
    <xf numFmtId="0" fontId="10" fillId="0" borderId="4" xfId="0" applyFont="1" applyBorder="1" applyAlignment="1">
      <alignment horizontal="left" vertical="top" wrapText="1"/>
    </xf>
    <xf numFmtId="0" fontId="10" fillId="7" borderId="3" xfId="0" applyFont="1" applyFill="1" applyBorder="1" applyAlignment="1">
      <alignment horizontal="left" vertical="top" wrapText="1"/>
    </xf>
    <xf numFmtId="0" fontId="10" fillId="15" borderId="3" xfId="0" applyFont="1" applyFill="1" applyBorder="1" applyAlignment="1">
      <alignment horizontal="left" vertical="top" wrapText="1"/>
    </xf>
    <xf numFmtId="0" fontId="14" fillId="0" borderId="0" xfId="0" applyFont="1"/>
    <xf numFmtId="1" fontId="19" fillId="0" borderId="2" xfId="4" applyNumberFormat="1" applyBorder="1" applyAlignment="1">
      <alignment horizontal="left" vertical="top" wrapText="1"/>
    </xf>
    <xf numFmtId="1" fontId="10" fillId="0" borderId="2" xfId="0" applyNumberFormat="1" applyFont="1" applyBorder="1" applyAlignment="1">
      <alignment horizontal="left" vertical="top" wrapText="1"/>
    </xf>
    <xf numFmtId="0" fontId="10" fillId="0" borderId="2" xfId="0" applyFont="1" applyBorder="1" applyAlignment="1">
      <alignment horizontal="left" vertical="top" wrapText="1"/>
    </xf>
    <xf numFmtId="1" fontId="15" fillId="0" borderId="2" xfId="0" applyNumberFormat="1" applyFont="1" applyBorder="1" applyAlignment="1">
      <alignment horizontal="left" vertical="top" wrapText="1"/>
    </xf>
    <xf numFmtId="1" fontId="4" fillId="0" borderId="2" xfId="0" applyNumberFormat="1" applyFont="1" applyBorder="1" applyAlignment="1">
      <alignment horizontal="left" vertical="top" wrapText="1"/>
    </xf>
    <xf numFmtId="1" fontId="4" fillId="0" borderId="2" xfId="5" applyNumberFormat="1" applyBorder="1" applyAlignment="1">
      <alignment horizontal="left" vertical="top" wrapText="1"/>
    </xf>
    <xf numFmtId="14" fontId="10" fillId="0" borderId="2" xfId="0" applyNumberFormat="1" applyFont="1" applyBorder="1" applyAlignment="1">
      <alignment horizontal="left" vertical="top" wrapText="1"/>
    </xf>
    <xf numFmtId="1" fontId="4" fillId="17" borderId="2" xfId="0" applyNumberFormat="1" applyFont="1" applyFill="1" applyBorder="1" applyAlignment="1">
      <alignment horizontal="left" vertical="top" wrapText="1"/>
    </xf>
    <xf numFmtId="0" fontId="10" fillId="17" borderId="3" xfId="0" applyFont="1" applyFill="1" applyBorder="1" applyAlignment="1">
      <alignment horizontal="left" vertical="top" wrapText="1"/>
    </xf>
    <xf numFmtId="1" fontId="22" fillId="0" borderId="2" xfId="0" applyNumberFormat="1" applyFont="1" applyBorder="1" applyAlignment="1">
      <alignment horizontal="left" vertical="top"/>
    </xf>
    <xf numFmtId="1" fontId="24" fillId="0" borderId="2" xfId="0" applyNumberFormat="1" applyFont="1" applyBorder="1" applyAlignment="1">
      <alignment horizontal="justify" vertical="top" wrapText="1"/>
    </xf>
    <xf numFmtId="0" fontId="22" fillId="18" borderId="2" xfId="0" applyFont="1" applyFill="1" applyBorder="1" applyAlignment="1">
      <alignment horizontal="left" vertical="top" wrapText="1"/>
    </xf>
    <xf numFmtId="1" fontId="10" fillId="12" borderId="2" xfId="0" applyNumberFormat="1" applyFont="1" applyFill="1" applyBorder="1" applyAlignment="1">
      <alignment horizontal="left" vertical="top" wrapText="1"/>
    </xf>
    <xf numFmtId="1" fontId="4" fillId="0" borderId="2" xfId="5" applyNumberFormat="1" applyFill="1" applyBorder="1" applyAlignment="1">
      <alignment horizontal="left" vertical="top" wrapText="1"/>
    </xf>
    <xf numFmtId="0" fontId="10" fillId="19" borderId="3" xfId="0" applyFont="1" applyFill="1" applyBorder="1" applyAlignment="1">
      <alignment horizontal="left" vertical="top" wrapText="1"/>
    </xf>
    <xf numFmtId="0" fontId="15" fillId="0" borderId="2" xfId="0" applyFont="1" applyBorder="1" applyAlignment="1">
      <alignment horizontal="left" vertical="top" wrapText="1"/>
    </xf>
    <xf numFmtId="0" fontId="4" fillId="0" borderId="2" xfId="0" applyFont="1" applyBorder="1" applyAlignment="1">
      <alignment horizontal="left" vertical="top" wrapText="1"/>
    </xf>
    <xf numFmtId="0" fontId="10" fillId="14" borderId="5" xfId="0" applyFont="1" applyFill="1" applyBorder="1" applyAlignment="1">
      <alignment horizontal="left" vertical="top" wrapText="1"/>
    </xf>
    <xf numFmtId="1" fontId="4" fillId="20" borderId="2" xfId="5" applyNumberFormat="1" applyFill="1" applyBorder="1" applyAlignment="1">
      <alignment horizontal="left" vertical="top" wrapText="1"/>
    </xf>
    <xf numFmtId="0" fontId="4" fillId="0" borderId="3" xfId="5" applyBorder="1" applyAlignment="1">
      <alignment horizontal="left" vertical="top" wrapText="1"/>
    </xf>
    <xf numFmtId="0" fontId="14" fillId="0" borderId="3" xfId="5" applyFont="1" applyBorder="1" applyAlignment="1">
      <alignment horizontal="left" vertical="top" wrapText="1"/>
    </xf>
    <xf numFmtId="14" fontId="10" fillId="14" borderId="2" xfId="0" applyNumberFormat="1" applyFont="1" applyFill="1" applyBorder="1" applyAlignment="1">
      <alignment horizontal="left" vertical="top" wrapText="1"/>
    </xf>
    <xf numFmtId="0" fontId="14" fillId="0" borderId="13" xfId="0" applyFont="1" applyBorder="1" applyAlignment="1">
      <alignment horizontal="left" vertical="top" wrapText="1"/>
    </xf>
    <xf numFmtId="0" fontId="4" fillId="0" borderId="0" xfId="5" applyBorder="1"/>
    <xf numFmtId="0" fontId="3" fillId="0" borderId="2" xfId="0" applyFont="1" applyBorder="1" applyAlignment="1">
      <alignment wrapText="1"/>
    </xf>
    <xf numFmtId="0" fontId="25" fillId="0" borderId="2" xfId="0" applyFont="1" applyBorder="1" applyAlignment="1">
      <alignment horizontal="left" vertical="top" wrapText="1"/>
    </xf>
    <xf numFmtId="0" fontId="17" fillId="0" borderId="2" xfId="0" applyFont="1" applyBorder="1" applyAlignment="1">
      <alignment horizontal="left" vertical="top" wrapText="1"/>
    </xf>
    <xf numFmtId="0" fontId="4" fillId="0" borderId="0" xfId="5"/>
    <xf numFmtId="0" fontId="11" fillId="16" borderId="3" xfId="0" applyFont="1" applyFill="1" applyBorder="1" applyAlignment="1">
      <alignment horizontal="left" vertical="top" wrapText="1"/>
    </xf>
    <xf numFmtId="14" fontId="11" fillId="16" borderId="3" xfId="0" applyNumberFormat="1" applyFont="1" applyFill="1" applyBorder="1" applyAlignment="1">
      <alignment horizontal="left" vertical="top" wrapText="1"/>
    </xf>
    <xf numFmtId="0" fontId="11" fillId="16" borderId="2" xfId="0" applyFont="1" applyFill="1" applyBorder="1" applyAlignment="1">
      <alignment horizontal="left" vertical="top" wrapText="1"/>
    </xf>
    <xf numFmtId="0" fontId="11" fillId="16" borderId="4" xfId="0" applyFont="1" applyFill="1" applyBorder="1" applyAlignment="1">
      <alignment horizontal="left" vertical="top" wrapText="1"/>
    </xf>
    <xf numFmtId="0" fontId="3" fillId="0" borderId="12" xfId="0" applyFont="1" applyBorder="1" applyAlignment="1">
      <alignment horizontal="left" vertical="top" wrapText="1"/>
    </xf>
    <xf numFmtId="0" fontId="27" fillId="0" borderId="0" xfId="0" applyFont="1"/>
    <xf numFmtId="1" fontId="4" fillId="0" borderId="3" xfId="5" applyNumberFormat="1" applyBorder="1" applyAlignment="1">
      <alignment horizontal="justify" vertical="top" wrapText="1"/>
    </xf>
    <xf numFmtId="1" fontId="4" fillId="0" borderId="3" xfId="5" applyNumberFormat="1" applyBorder="1" applyAlignment="1">
      <alignment horizontal="left" vertical="top" wrapText="1"/>
    </xf>
    <xf numFmtId="0" fontId="26" fillId="0" borderId="3" xfId="0" applyFont="1" applyBorder="1" applyAlignment="1">
      <alignment horizontal="left" vertical="top" wrapText="1"/>
    </xf>
    <xf numFmtId="0" fontId="4" fillId="0" borderId="0" xfId="5" applyAlignment="1">
      <alignment wrapText="1"/>
    </xf>
    <xf numFmtId="1" fontId="24" fillId="0" borderId="3" xfId="0" applyNumberFormat="1" applyFont="1" applyBorder="1" applyAlignment="1">
      <alignment horizontal="left" vertical="top"/>
    </xf>
    <xf numFmtId="0" fontId="0" fillId="0" borderId="0" xfId="0" pivotButton="1"/>
    <xf numFmtId="0" fontId="0" fillId="0" borderId="0" xfId="0" applyAlignment="1">
      <alignment horizontal="left"/>
    </xf>
    <xf numFmtId="0" fontId="28" fillId="0" borderId="3" xfId="0" applyFont="1" applyBorder="1" applyAlignment="1">
      <alignment horizontal="left" vertical="top" wrapText="1"/>
    </xf>
    <xf numFmtId="1" fontId="24" fillId="0" borderId="3" xfId="0" applyNumberFormat="1" applyFont="1" applyBorder="1" applyAlignment="1">
      <alignment horizontal="justify" vertical="top" wrapText="1"/>
    </xf>
    <xf numFmtId="0" fontId="22" fillId="0" borderId="2" xfId="0" quotePrefix="1" applyFont="1" applyBorder="1" applyAlignment="1">
      <alignment horizontal="left" vertical="top" wrapText="1"/>
    </xf>
    <xf numFmtId="0" fontId="22" fillId="11" borderId="20" xfId="0" applyFont="1" applyFill="1" applyBorder="1" applyAlignment="1">
      <alignment horizontal="left" vertical="top"/>
    </xf>
    <xf numFmtId="0" fontId="22" fillId="9" borderId="20" xfId="0" applyFont="1" applyFill="1" applyBorder="1" applyAlignment="1">
      <alignment horizontal="left" vertical="top" wrapText="1"/>
    </xf>
    <xf numFmtId="0" fontId="22" fillId="0" borderId="20" xfId="0" applyFont="1" applyBorder="1" applyAlignment="1">
      <alignment horizontal="left" vertical="top" wrapText="1"/>
    </xf>
    <xf numFmtId="0" fontId="22" fillId="0" borderId="20" xfId="0" quotePrefix="1" applyFont="1" applyBorder="1" applyAlignment="1">
      <alignment horizontal="left" vertical="top" wrapText="1"/>
    </xf>
    <xf numFmtId="0" fontId="22" fillId="0" borderId="20" xfId="0" applyFont="1" applyBorder="1" applyAlignment="1">
      <alignment horizontal="justify" vertical="top" wrapText="1"/>
    </xf>
    <xf numFmtId="0" fontId="22" fillId="0" borderId="21" xfId="0" applyFont="1" applyBorder="1" applyAlignment="1">
      <alignment horizontal="justify" vertical="top" wrapText="1"/>
    </xf>
    <xf numFmtId="1" fontId="24" fillId="0" borderId="5" xfId="0" applyNumberFormat="1" applyFont="1" applyBorder="1" applyAlignment="1">
      <alignment horizontal="justify" vertical="top" wrapText="1"/>
    </xf>
    <xf numFmtId="1" fontId="24" fillId="0" borderId="5" xfId="0" applyNumberFormat="1" applyFont="1" applyBorder="1" applyAlignment="1">
      <alignment horizontal="left" vertical="top"/>
    </xf>
    <xf numFmtId="0" fontId="22" fillId="0" borderId="18" xfId="0" applyFont="1" applyBorder="1" applyAlignment="1">
      <alignment horizontal="left" vertical="top" wrapText="1"/>
    </xf>
    <xf numFmtId="164" fontId="22" fillId="0" borderId="21" xfId="0" applyNumberFormat="1" applyFont="1" applyBorder="1" applyAlignment="1">
      <alignment horizontal="left" vertical="top"/>
    </xf>
    <xf numFmtId="0" fontId="28" fillId="0" borderId="5" xfId="0" applyFont="1" applyBorder="1" applyAlignment="1">
      <alignment horizontal="left" vertical="top" wrapText="1"/>
    </xf>
    <xf numFmtId="0" fontId="3" fillId="0" borderId="20" xfId="0" applyFont="1" applyBorder="1" applyAlignment="1">
      <alignment wrapText="1"/>
    </xf>
    <xf numFmtId="0" fontId="12" fillId="0" borderId="2" xfId="0" applyFont="1" applyBorder="1" applyAlignment="1">
      <alignment horizontal="left" vertical="top" wrapText="1"/>
    </xf>
    <xf numFmtId="1" fontId="24" fillId="0" borderId="2" xfId="0" applyNumberFormat="1" applyFont="1" applyBorder="1" applyAlignment="1">
      <alignment horizontal="left" vertical="top"/>
    </xf>
    <xf numFmtId="164" fontId="22" fillId="0" borderId="2" xfId="0" applyNumberFormat="1" applyFont="1" applyBorder="1" applyAlignment="1">
      <alignment horizontal="left" vertical="top"/>
    </xf>
    <xf numFmtId="0" fontId="12" fillId="0" borderId="20" xfId="0" applyFont="1" applyBorder="1" applyAlignment="1">
      <alignment horizontal="left" vertical="top" wrapText="1"/>
    </xf>
    <xf numFmtId="1" fontId="24" fillId="0" borderId="20" xfId="0" applyNumberFormat="1" applyFont="1" applyBorder="1" applyAlignment="1">
      <alignment horizontal="left" vertical="top"/>
    </xf>
    <xf numFmtId="0" fontId="10" fillId="0" borderId="20" xfId="0" applyFont="1" applyBorder="1" applyAlignment="1">
      <alignment horizontal="left" vertical="top" wrapText="1"/>
    </xf>
    <xf numFmtId="164" fontId="22" fillId="0" borderId="20" xfId="0" applyNumberFormat="1" applyFont="1" applyBorder="1" applyAlignment="1">
      <alignment horizontal="left" vertical="top"/>
    </xf>
    <xf numFmtId="14" fontId="10" fillId="0" borderId="20" xfId="0" applyNumberFormat="1" applyFont="1" applyBorder="1" applyAlignment="1">
      <alignment horizontal="left" vertical="top" wrapText="1"/>
    </xf>
    <xf numFmtId="1" fontId="4" fillId="0" borderId="20" xfId="5" applyNumberFormat="1" applyFill="1" applyBorder="1" applyAlignment="1">
      <alignment horizontal="justify" vertical="top" wrapText="1"/>
    </xf>
    <xf numFmtId="1" fontId="4" fillId="0" borderId="20" xfId="5" applyNumberFormat="1" applyFill="1" applyBorder="1" applyAlignment="1">
      <alignment horizontal="left" vertical="top" wrapText="1"/>
    </xf>
    <xf numFmtId="0" fontId="1" fillId="0" borderId="20" xfId="0" applyFont="1" applyBorder="1" applyAlignment="1">
      <alignment horizontal="left" vertical="top" wrapText="1"/>
    </xf>
    <xf numFmtId="1" fontId="30" fillId="0" borderId="20" xfId="5" applyNumberFormat="1" applyFont="1" applyFill="1" applyBorder="1" applyAlignment="1">
      <alignment horizontal="justify" vertical="top" wrapText="1"/>
    </xf>
    <xf numFmtId="1" fontId="4" fillId="0" borderId="20" xfId="5" applyNumberFormat="1" applyFill="1" applyBorder="1" applyAlignment="1">
      <alignment horizontal="left" vertical="top"/>
    </xf>
    <xf numFmtId="164" fontId="10" fillId="0" borderId="20" xfId="0" applyNumberFormat="1" applyFont="1" applyBorder="1" applyAlignment="1">
      <alignment horizontal="left" vertical="top"/>
    </xf>
    <xf numFmtId="0" fontId="19" fillId="0" borderId="0" xfId="4" applyAlignment="1">
      <alignment horizontal="left" vertical="top" wrapText="1"/>
    </xf>
    <xf numFmtId="1" fontId="19" fillId="0" borderId="0" xfId="4" applyNumberFormat="1" applyAlignment="1">
      <alignment wrapText="1"/>
    </xf>
    <xf numFmtId="164" fontId="22" fillId="0" borderId="2" xfId="0" applyNumberFormat="1" applyFont="1" applyBorder="1" applyAlignment="1">
      <alignment horizontal="left" vertical="top" wrapText="1"/>
    </xf>
    <xf numFmtId="164" fontId="22" fillId="0" borderId="20" xfId="0" applyNumberFormat="1" applyFont="1" applyBorder="1" applyAlignment="1">
      <alignment horizontal="left" vertical="top" wrapText="1"/>
    </xf>
    <xf numFmtId="14" fontId="10" fillId="0" borderId="5" xfId="0" applyNumberFormat="1" applyFont="1" applyBorder="1" applyAlignment="1">
      <alignment horizontal="left" vertical="top" wrapText="1"/>
    </xf>
    <xf numFmtId="0" fontId="0" fillId="0" borderId="0" xfId="0" applyBorder="1"/>
    <xf numFmtId="1" fontId="19" fillId="0" borderId="5" xfId="4" applyNumberFormat="1" applyBorder="1" applyAlignment="1">
      <alignment horizontal="justify" vertical="top" wrapText="1"/>
    </xf>
    <xf numFmtId="0" fontId="22" fillId="7" borderId="20" xfId="0" applyFont="1" applyFill="1" applyBorder="1" applyAlignment="1">
      <alignment horizontal="left" vertical="top" wrapText="1"/>
    </xf>
    <xf numFmtId="0" fontId="22" fillId="7" borderId="20" xfId="0" applyFont="1" applyFill="1" applyBorder="1" applyAlignment="1">
      <alignment horizontal="justify" vertical="top" wrapText="1"/>
    </xf>
    <xf numFmtId="0" fontId="20" fillId="13" borderId="20" xfId="0" applyFont="1" applyFill="1" applyBorder="1" applyAlignment="1">
      <alignment horizontal="left" vertical="top" wrapText="1"/>
    </xf>
    <xf numFmtId="0" fontId="22" fillId="21" borderId="2" xfId="0" applyFont="1" applyFill="1" applyBorder="1" applyAlignment="1">
      <alignment horizontal="left" vertical="top"/>
    </xf>
    <xf numFmtId="0" fontId="10" fillId="21" borderId="3" xfId="0" applyFont="1" applyFill="1" applyBorder="1" applyAlignment="1">
      <alignment horizontal="left" vertical="top" wrapText="1"/>
    </xf>
    <xf numFmtId="0" fontId="22" fillId="21" borderId="20" xfId="0" applyFont="1" applyFill="1" applyBorder="1" applyAlignment="1">
      <alignment horizontal="left" vertical="top"/>
    </xf>
    <xf numFmtId="0" fontId="22" fillId="21" borderId="20" xfId="0" applyFont="1" applyFill="1" applyBorder="1" applyAlignment="1">
      <alignment horizontal="left" vertical="top" wrapText="1"/>
    </xf>
    <xf numFmtId="0" fontId="10" fillId="22" borderId="3" xfId="0" applyFont="1" applyFill="1" applyBorder="1" applyAlignment="1">
      <alignment horizontal="left" vertical="top" wrapText="1"/>
    </xf>
    <xf numFmtId="0" fontId="3" fillId="7" borderId="17" xfId="0" applyFont="1" applyFill="1" applyBorder="1" applyAlignment="1">
      <alignment wrapText="1"/>
    </xf>
    <xf numFmtId="0" fontId="22" fillId="0" borderId="20" xfId="0" applyFont="1" applyFill="1" applyBorder="1" applyAlignment="1">
      <alignment horizontal="left" vertical="top" wrapText="1"/>
    </xf>
    <xf numFmtId="0" fontId="22" fillId="23" borderId="20" xfId="0" applyFont="1" applyFill="1" applyBorder="1" applyAlignment="1">
      <alignment horizontal="left" vertical="top"/>
    </xf>
    <xf numFmtId="0" fontId="22" fillId="23" borderId="2" xfId="0" applyFont="1" applyFill="1" applyBorder="1" applyAlignment="1">
      <alignment horizontal="left" vertical="top"/>
    </xf>
    <xf numFmtId="0" fontId="29" fillId="13" borderId="2" xfId="0" applyFont="1" applyFill="1" applyBorder="1" applyAlignment="1">
      <alignment horizontal="left" vertical="top" wrapText="1"/>
    </xf>
    <xf numFmtId="0" fontId="31" fillId="23" borderId="2" xfId="0" applyFont="1" applyFill="1" applyBorder="1" applyAlignment="1">
      <alignment horizontal="left" vertical="top"/>
    </xf>
    <xf numFmtId="0" fontId="10" fillId="13" borderId="2" xfId="0" applyFont="1" applyFill="1" applyBorder="1" applyAlignment="1">
      <alignment horizontal="left" vertical="top" wrapText="1"/>
    </xf>
    <xf numFmtId="0" fontId="32" fillId="0" borderId="2" xfId="0" applyFont="1" applyBorder="1" applyAlignment="1">
      <alignment horizontal="left" vertical="top" wrapText="1"/>
    </xf>
    <xf numFmtId="0" fontId="10" fillId="14" borderId="2" xfId="0" applyFont="1" applyFill="1" applyBorder="1" applyAlignment="1">
      <alignment horizontal="left" vertical="top" wrapText="1"/>
    </xf>
    <xf numFmtId="0" fontId="22" fillId="7" borderId="2" xfId="0" applyFont="1" applyFill="1" applyBorder="1" applyAlignment="1">
      <alignment horizontal="left" vertical="top"/>
    </xf>
    <xf numFmtId="1" fontId="4" fillId="13" borderId="2" xfId="0" applyNumberFormat="1" applyFont="1" applyFill="1" applyBorder="1" applyAlignment="1">
      <alignment horizontal="left" vertical="top" wrapText="1"/>
    </xf>
    <xf numFmtId="0" fontId="16" fillId="0" borderId="2" xfId="0" applyFont="1" applyBorder="1" applyAlignment="1">
      <alignment horizontal="left" vertical="top" wrapText="1"/>
    </xf>
    <xf numFmtId="0" fontId="10" fillId="4" borderId="2" xfId="0" applyFont="1" applyFill="1" applyBorder="1" applyAlignment="1">
      <alignment horizontal="left" vertical="top" wrapText="1"/>
    </xf>
    <xf numFmtId="164" fontId="10" fillId="0" borderId="2" xfId="0" applyNumberFormat="1" applyFont="1" applyBorder="1" applyAlignment="1">
      <alignment horizontal="left" vertical="top" wrapText="1"/>
    </xf>
    <xf numFmtId="0" fontId="3" fillId="0" borderId="2" xfId="0" applyFont="1" applyBorder="1" applyAlignment="1">
      <alignment horizontal="center" vertical="center" wrapText="1"/>
    </xf>
    <xf numFmtId="1" fontId="24" fillId="0" borderId="2" xfId="5" applyNumberFormat="1" applyFont="1" applyBorder="1" applyAlignment="1">
      <alignment horizontal="justify" vertical="top" wrapText="1"/>
    </xf>
    <xf numFmtId="0" fontId="4" fillId="0" borderId="2" xfId="5" applyBorder="1" applyAlignment="1">
      <alignment horizontal="justify" vertical="center"/>
    </xf>
    <xf numFmtId="1" fontId="4" fillId="24" borderId="2" xfId="5" applyNumberFormat="1" applyFill="1" applyBorder="1" applyAlignment="1">
      <alignment horizontal="left" vertical="top" wrapText="1"/>
    </xf>
    <xf numFmtId="0" fontId="33" fillId="0" borderId="2" xfId="0" applyFont="1" applyBorder="1" applyAlignment="1">
      <alignment horizontal="left" vertical="top" wrapText="1"/>
    </xf>
    <xf numFmtId="1" fontId="10" fillId="25" borderId="2" xfId="0" applyNumberFormat="1" applyFont="1" applyFill="1" applyBorder="1" applyAlignment="1">
      <alignment horizontal="left" vertical="top" wrapText="1"/>
    </xf>
    <xf numFmtId="0" fontId="29" fillId="0" borderId="2" xfId="0" applyFont="1" applyBorder="1" applyAlignment="1">
      <alignment horizontal="left" vertical="top" wrapText="1"/>
    </xf>
    <xf numFmtId="1" fontId="10" fillId="26" borderId="2" xfId="0" applyNumberFormat="1" applyFont="1" applyFill="1" applyBorder="1" applyAlignment="1">
      <alignment horizontal="left" vertical="top" wrapText="1"/>
    </xf>
    <xf numFmtId="0" fontId="14" fillId="0" borderId="2" xfId="0" applyFont="1" applyBorder="1" applyAlignment="1">
      <alignment horizontal="left" vertical="top" wrapText="1"/>
    </xf>
    <xf numFmtId="1" fontId="4" fillId="14" borderId="2" xfId="5" applyNumberFormat="1" applyFill="1" applyBorder="1" applyAlignment="1">
      <alignment horizontal="left" vertical="top" wrapText="1"/>
    </xf>
    <xf numFmtId="1" fontId="34" fillId="0" borderId="2" xfId="0" applyNumberFormat="1" applyFont="1" applyBorder="1" applyAlignment="1">
      <alignment wrapText="1"/>
    </xf>
    <xf numFmtId="0" fontId="10" fillId="25" borderId="2" xfId="0" applyFont="1" applyFill="1" applyBorder="1" applyAlignment="1">
      <alignment horizontal="left" vertical="top" wrapText="1"/>
    </xf>
    <xf numFmtId="0" fontId="14" fillId="14" borderId="2" xfId="0" applyFont="1" applyFill="1" applyBorder="1" applyAlignment="1">
      <alignment horizontal="left" vertical="top" wrapText="1"/>
    </xf>
    <xf numFmtId="0" fontId="33" fillId="14" borderId="2" xfId="0" applyFont="1" applyFill="1" applyBorder="1" applyAlignment="1">
      <alignment horizontal="left" vertical="top" wrapText="1"/>
    </xf>
    <xf numFmtId="0" fontId="31" fillId="13" borderId="2" xfId="0" applyFont="1" applyFill="1" applyBorder="1" applyAlignment="1">
      <alignment horizontal="left" vertical="top"/>
    </xf>
    <xf numFmtId="0" fontId="12" fillId="13" borderId="2" xfId="0" applyFont="1" applyFill="1" applyBorder="1" applyAlignment="1">
      <alignment horizontal="left" vertical="top" wrapText="1"/>
    </xf>
    <xf numFmtId="1" fontId="35" fillId="0" borderId="2" xfId="0" applyNumberFormat="1" applyFont="1" applyBorder="1" applyAlignment="1">
      <alignment horizontal="justify" vertical="top" wrapText="1"/>
    </xf>
    <xf numFmtId="0" fontId="36" fillId="14" borderId="2" xfId="0" applyFont="1" applyFill="1" applyBorder="1" applyAlignment="1">
      <alignment horizontal="left" vertical="top"/>
    </xf>
    <xf numFmtId="0" fontId="3" fillId="14" borderId="2" xfId="0" applyFont="1" applyFill="1" applyBorder="1"/>
    <xf numFmtId="0" fontId="35" fillId="14" borderId="2" xfId="0" applyFont="1" applyFill="1" applyBorder="1" applyAlignment="1">
      <alignment horizontal="left" vertical="top"/>
    </xf>
    <xf numFmtId="0" fontId="35" fillId="7" borderId="2" xfId="0" applyFont="1" applyFill="1" applyBorder="1" applyAlignment="1">
      <alignment horizontal="left" vertical="top" wrapText="1"/>
    </xf>
    <xf numFmtId="1" fontId="4" fillId="0" borderId="2" xfId="5" applyNumberFormat="1" applyBorder="1" applyAlignment="1">
      <alignment horizontal="justify" vertical="top" wrapText="1"/>
    </xf>
    <xf numFmtId="1" fontId="22" fillId="7" borderId="2" xfId="0" applyNumberFormat="1" applyFont="1" applyFill="1" applyBorder="1" applyAlignment="1">
      <alignment horizontal="left" vertical="top" wrapText="1"/>
    </xf>
    <xf numFmtId="0" fontId="22" fillId="7" borderId="2" xfId="0" applyFont="1" applyFill="1" applyBorder="1" applyAlignment="1">
      <alignment horizontal="left" vertical="top" wrapText="1"/>
    </xf>
    <xf numFmtId="0" fontId="35" fillId="13" borderId="2" xfId="0" applyFont="1" applyFill="1" applyBorder="1" applyAlignment="1">
      <alignment horizontal="left" vertical="top"/>
    </xf>
    <xf numFmtId="1" fontId="4" fillId="13" borderId="2" xfId="5" applyNumberFormat="1" applyFill="1" applyBorder="1" applyAlignment="1">
      <alignment horizontal="justify" vertical="top" wrapText="1"/>
    </xf>
    <xf numFmtId="0" fontId="22" fillId="13" borderId="2" xfId="0" applyFont="1" applyFill="1" applyBorder="1" applyAlignment="1">
      <alignment horizontal="left" vertical="top" wrapText="1"/>
    </xf>
    <xf numFmtId="0" fontId="35" fillId="13" borderId="2" xfId="0" applyFont="1" applyFill="1" applyBorder="1" applyAlignment="1">
      <alignment horizontal="left" vertical="top" wrapText="1"/>
    </xf>
    <xf numFmtId="0" fontId="12" fillId="13" borderId="20" xfId="0" applyFont="1" applyFill="1" applyBorder="1" applyAlignment="1">
      <alignment horizontal="left" vertical="top" wrapText="1"/>
    </xf>
    <xf numFmtId="1" fontId="35" fillId="0" borderId="20" xfId="0" applyNumberFormat="1" applyFont="1" applyBorder="1" applyAlignment="1">
      <alignment horizontal="justify" vertical="top" wrapText="1"/>
    </xf>
    <xf numFmtId="0" fontId="0" fillId="0" borderId="20" xfId="0" applyBorder="1"/>
    <xf numFmtId="1" fontId="4" fillId="0" borderId="20" xfId="5" applyNumberFormat="1" applyBorder="1" applyAlignment="1">
      <alignment horizontal="justify" vertical="top" wrapText="1"/>
    </xf>
    <xf numFmtId="1" fontId="4" fillId="0" borderId="20" xfId="5" applyNumberFormat="1" applyBorder="1" applyAlignment="1">
      <alignment horizontal="left" vertical="top" wrapText="1"/>
    </xf>
    <xf numFmtId="0" fontId="29" fillId="13" borderId="20" xfId="0" applyFont="1" applyFill="1" applyBorder="1" applyAlignment="1">
      <alignment horizontal="left" vertical="top" wrapText="1"/>
    </xf>
    <xf numFmtId="1" fontId="4" fillId="0" borderId="20" xfId="5" applyNumberFormat="1" applyBorder="1" applyAlignment="1">
      <alignment horizontal="left" vertical="top"/>
    </xf>
    <xf numFmtId="1" fontId="22" fillId="7" borderId="20" xfId="0" applyNumberFormat="1" applyFont="1" applyFill="1" applyBorder="1" applyAlignment="1">
      <alignment horizontal="left" vertical="top" wrapText="1"/>
    </xf>
    <xf numFmtId="0" fontId="31" fillId="14" borderId="2" xfId="0" applyFont="1" applyFill="1" applyBorder="1" applyAlignment="1">
      <alignment horizontal="left" vertical="top"/>
    </xf>
    <xf numFmtId="0" fontId="35" fillId="0" borderId="20" xfId="0" applyFont="1" applyBorder="1" applyAlignment="1">
      <alignment horizontal="left" vertical="top" wrapText="1"/>
    </xf>
    <xf numFmtId="0" fontId="12" fillId="7" borderId="20" xfId="0" applyFont="1" applyFill="1" applyBorder="1" applyAlignment="1">
      <alignment horizontal="left" vertical="top" wrapText="1"/>
    </xf>
    <xf numFmtId="0" fontId="22" fillId="13" borderId="20" xfId="0" applyFont="1" applyFill="1" applyBorder="1" applyAlignment="1">
      <alignment horizontal="left" vertical="top" wrapText="1"/>
    </xf>
    <xf numFmtId="1" fontId="20" fillId="0" borderId="20" xfId="0" applyNumberFormat="1" applyFont="1" applyBorder="1" applyAlignment="1">
      <alignment horizontal="justify" vertical="top" wrapText="1"/>
    </xf>
    <xf numFmtId="0" fontId="10" fillId="13" borderId="20" xfId="0" applyFont="1" applyFill="1" applyBorder="1" applyAlignment="1">
      <alignment horizontal="left" vertical="top" wrapText="1"/>
    </xf>
    <xf numFmtId="0" fontId="37" fillId="13" borderId="2" xfId="0" applyFont="1" applyFill="1" applyBorder="1" applyAlignment="1">
      <alignment horizontal="left" vertical="top"/>
    </xf>
    <xf numFmtId="0" fontId="38" fillId="0" borderId="20" xfId="0" applyFont="1" applyBorder="1" applyAlignment="1">
      <alignment horizontal="left" vertical="top" wrapText="1"/>
    </xf>
    <xf numFmtId="0" fontId="3" fillId="0" borderId="12" xfId="4" applyFont="1" applyBorder="1" applyAlignment="1">
      <alignment horizontal="left" vertical="top" wrapText="1"/>
    </xf>
    <xf numFmtId="0" fontId="3" fillId="0" borderId="14" xfId="0" applyFont="1" applyBorder="1" applyAlignment="1">
      <alignment horizontal="left" vertical="top" wrapText="1"/>
    </xf>
    <xf numFmtId="0" fontId="3" fillId="0" borderId="19" xfId="0" applyFont="1" applyBorder="1" applyAlignment="1">
      <alignment horizontal="left" vertical="top" wrapText="1"/>
    </xf>
    <xf numFmtId="0" fontId="3" fillId="0" borderId="16" xfId="0" applyFont="1" applyBorder="1" applyAlignment="1">
      <alignment horizontal="justify" vertical="top" wrapText="1"/>
    </xf>
    <xf numFmtId="0" fontId="3" fillId="0" borderId="16" xfId="0" applyFont="1" applyBorder="1" applyAlignment="1">
      <alignment horizontal="justify" vertical="top"/>
    </xf>
    <xf numFmtId="0" fontId="3" fillId="0" borderId="21" xfId="0" applyFont="1" applyBorder="1" applyAlignment="1">
      <alignment horizontal="justify" vertical="top" wrapText="1"/>
    </xf>
    <xf numFmtId="0" fontId="39" fillId="0" borderId="2" xfId="0" applyFont="1" applyBorder="1" applyAlignment="1">
      <alignment horizontal="left" vertical="top" wrapText="1"/>
    </xf>
    <xf numFmtId="0" fontId="39" fillId="0" borderId="20" xfId="0" applyFont="1" applyBorder="1" applyAlignment="1">
      <alignment horizontal="left" vertical="top" wrapText="1"/>
    </xf>
    <xf numFmtId="1" fontId="3" fillId="0" borderId="16" xfId="0" applyNumberFormat="1" applyFont="1" applyBorder="1" applyAlignment="1">
      <alignment horizontal="justify" vertical="top" wrapText="1"/>
    </xf>
    <xf numFmtId="1" fontId="3" fillId="0" borderId="21" xfId="0" applyNumberFormat="1" applyFont="1" applyBorder="1" applyAlignment="1">
      <alignment horizontal="justify" vertical="top" wrapText="1"/>
    </xf>
    <xf numFmtId="0" fontId="39" fillId="13" borderId="2" xfId="0" applyFont="1" applyFill="1" applyBorder="1" applyAlignment="1">
      <alignment horizontal="left" vertical="top" wrapText="1"/>
    </xf>
    <xf numFmtId="0" fontId="39" fillId="7" borderId="2" xfId="0" applyFont="1" applyFill="1" applyBorder="1" applyAlignment="1">
      <alignment horizontal="left" vertical="top" wrapText="1"/>
    </xf>
    <xf numFmtId="0" fontId="39" fillId="5" borderId="2" xfId="0" applyFont="1" applyFill="1" applyBorder="1" applyAlignment="1">
      <alignment horizontal="left" vertical="top" wrapText="1"/>
    </xf>
    <xf numFmtId="0" fontId="39" fillId="14" borderId="2" xfId="0" applyFont="1" applyFill="1" applyBorder="1" applyAlignment="1">
      <alignment horizontal="left" vertical="top" wrapText="1"/>
    </xf>
    <xf numFmtId="0" fontId="39" fillId="13" borderId="20" xfId="0" applyFont="1" applyFill="1" applyBorder="1" applyAlignment="1">
      <alignment horizontal="left" vertical="top" wrapText="1"/>
    </xf>
    <xf numFmtId="0" fontId="39" fillId="7" borderId="20" xfId="0" applyFont="1" applyFill="1" applyBorder="1" applyAlignment="1">
      <alignment horizontal="left" vertical="top" wrapText="1"/>
    </xf>
    <xf numFmtId="0" fontId="16" fillId="13" borderId="3" xfId="0" applyFont="1" applyFill="1" applyBorder="1" applyAlignment="1">
      <alignment horizontal="left" vertical="top" wrapText="1"/>
    </xf>
    <xf numFmtId="0" fontId="10" fillId="13" borderId="3" xfId="0" applyFont="1" applyFill="1" applyBorder="1" applyAlignment="1">
      <alignment horizontal="left" vertical="top" wrapText="1"/>
    </xf>
    <xf numFmtId="0" fontId="16" fillId="13" borderId="2" xfId="0" applyFont="1" applyFill="1" applyBorder="1" applyAlignment="1">
      <alignment horizontal="left" vertical="top" wrapText="1"/>
    </xf>
    <xf numFmtId="0" fontId="10" fillId="13" borderId="5" xfId="0" applyFont="1" applyFill="1" applyBorder="1" applyAlignment="1">
      <alignment horizontal="left" vertical="top" wrapText="1"/>
    </xf>
    <xf numFmtId="0" fontId="3" fillId="13" borderId="0" xfId="0" applyFont="1" applyFill="1"/>
    <xf numFmtId="0" fontId="3" fillId="13" borderId="2" xfId="0" applyFont="1" applyFill="1" applyBorder="1"/>
    <xf numFmtId="0" fontId="0" fillId="0" borderId="22" xfId="0" applyBorder="1"/>
    <xf numFmtId="0" fontId="0" fillId="0" borderId="22" xfId="0" quotePrefix="1" applyBorder="1"/>
    <xf numFmtId="0" fontId="0" fillId="0" borderId="22" xfId="0" applyBorder="1" applyAlignment="1">
      <alignment wrapText="1"/>
    </xf>
    <xf numFmtId="0" fontId="0" fillId="27" borderId="22" xfId="0" applyFill="1" applyBorder="1"/>
    <xf numFmtId="0" fontId="0" fillId="27" borderId="22" xfId="0" quotePrefix="1" applyFill="1" applyBorder="1"/>
    <xf numFmtId="0" fontId="0" fillId="27" borderId="22" xfId="0" applyFill="1" applyBorder="1" applyAlignment="1">
      <alignment wrapText="1"/>
    </xf>
    <xf numFmtId="0" fontId="0" fillId="0" borderId="23" xfId="0" applyBorder="1"/>
    <xf numFmtId="1" fontId="19" fillId="0" borderId="3" xfId="4" applyNumberFormat="1" applyBorder="1" applyAlignment="1">
      <alignment horizontal="justify" vertical="top" wrapText="1"/>
    </xf>
    <xf numFmtId="1" fontId="19" fillId="0" borderId="3" xfId="4" applyNumberFormat="1" applyBorder="1" applyAlignment="1">
      <alignment horizontal="left" vertical="top" wrapText="1"/>
    </xf>
  </cellXfs>
  <cellStyles count="6">
    <cellStyle name="Hyperlink" xfId="4" builtinId="8"/>
    <cellStyle name="Hyperlink 2" xfId="5" xr:uid="{62428E5E-D9F1-445D-B86C-079451F72655}"/>
    <cellStyle name="Lien hypertexte 2" xfId="3" xr:uid="{149AA549-0F65-43F0-A634-0491C51D8F6B}"/>
    <cellStyle name="Normal" xfId="0" builtinId="0"/>
    <cellStyle name="Normal 2" xfId="1" xr:uid="{627CAEED-351B-4BB1-88ED-A5D59A3EA7B4}"/>
    <cellStyle name="Normal 3" xfId="2" xr:uid="{17857AA3-C389-4FA0-8674-8DB7406146DC}"/>
  </cellStyles>
  <dxfs count="68">
    <dxf>
      <font>
        <color rgb="FFFFFF00"/>
      </font>
      <fill>
        <patternFill>
          <bgColor rgb="FFFF0000"/>
        </patternFill>
      </fill>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auto="1"/>
        <name val="Calibri"/>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bgColor auto="1"/>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FF0000"/>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fill>
        <patternFill patternType="none">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none">
          <bgColor auto="1"/>
        </patternFill>
      </fill>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bgColor auto="1"/>
        </patternFill>
      </fill>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charset val="1"/>
        <scheme val="none"/>
      </font>
      <numFmt numFmtId="164" formatCode="m/d/yyyy"/>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ertAlign val="baseline"/>
        <sz val="11"/>
        <color rgb="FF000000"/>
        <name val="Calibri"/>
        <family val="2"/>
        <charset val="1"/>
        <scheme val="none"/>
      </font>
      <numFmt numFmtId="1" formatCode="0"/>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1"/>
        <color rgb="FF000000"/>
        <name val="Calibri"/>
        <family val="2"/>
        <charset val="1"/>
        <scheme val="none"/>
      </font>
      <numFmt numFmtId="1" formatCode="0"/>
      <alignment horizontal="justify"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alignment horizontal="justify"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000000"/>
        <name val="Calibri"/>
        <family val="2"/>
        <charset val="1"/>
        <scheme val="none"/>
      </font>
      <alignment horizontal="justify"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charset val="1"/>
        <scheme val="none"/>
      </font>
      <fill>
        <patternFill patternType="solid">
          <fgColor indexed="64"/>
          <bgColor theme="9"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Projects-style" pivot="0" count="3" xr9:uid="{8F4539DC-C0D8-42E9-A4C3-E4D3AE1CAE13}">
      <tableStyleElement type="headerRow" dxfId="67"/>
      <tableStyleElement type="firstRowStripe" dxfId="66"/>
      <tableStyleElement type="secondRowStripe" dxfId="65"/>
    </tableStyle>
  </tableStyles>
  <colors>
    <mruColors>
      <color rgb="FFC9A6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OVSKA Lidija" refreshedDate="45734.46541203704" createdVersion="8" refreshedVersion="8" minRefreshableVersion="3" recordCount="748" xr:uid="{F2FDD76D-2365-47F6-B7E9-B410B3B9CC11}">
  <cacheSource type="worksheet">
    <worksheetSource name="Data"/>
  </cacheSource>
  <cacheFields count="16">
    <cacheField name="NR" numFmtId="0">
      <sharedItems count="140">
        <s v="1"/>
        <s v="2"/>
        <s v="7"/>
        <s v="3"/>
        <s v="5"/>
        <s v="9"/>
        <s v="11"/>
        <s v="12"/>
        <s v="13"/>
        <s v="14"/>
        <s v="15"/>
        <s v="16"/>
        <s v="17"/>
        <s v="24"/>
        <s v="26"/>
        <s v="28"/>
        <s v="31"/>
        <s v="32"/>
        <s v="33"/>
        <s v="35"/>
        <s v="36"/>
        <s v="38"/>
        <s v="39"/>
        <s v="40"/>
        <s v="41"/>
        <s v="42"/>
        <s v="43"/>
        <s v="44"/>
        <s v="45"/>
        <s v="46"/>
        <s v="47"/>
        <s v="48"/>
        <s v="49"/>
        <s v="51"/>
        <s v="52"/>
        <s v="53"/>
        <s v="54"/>
        <s v="55"/>
        <s v="56"/>
        <s v="57"/>
        <s v="58"/>
        <s v="59"/>
        <s v="60"/>
        <s v="61"/>
        <s v="62"/>
        <s v="63"/>
        <s v="64"/>
        <s v="65"/>
        <s v="67"/>
        <s v="68"/>
        <s v="69"/>
        <s v="70"/>
        <s v="81"/>
        <s v="82"/>
        <s v="83"/>
        <s v="84"/>
        <s v="85"/>
        <s v="86"/>
        <s v="87"/>
        <s v="88"/>
        <s v="89"/>
        <s v="91"/>
        <s v="92"/>
        <s v="93"/>
        <s v="94"/>
        <s v="95"/>
        <s v="96"/>
        <s v="97"/>
        <s v="98"/>
        <s v="100"/>
        <s v="104"/>
        <s v="106"/>
        <s v="108"/>
        <s v="109"/>
        <s v="110"/>
        <s v="111"/>
        <s v="112"/>
        <s v="113"/>
        <s v="114"/>
        <s v="115"/>
        <s v="116"/>
        <s v="117"/>
        <s v="118"/>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7"/>
        <s v="169"/>
        <s v="171"/>
        <s v="173"/>
        <s v="175"/>
        <s v="177"/>
        <s v="179"/>
        <s v="181"/>
        <s v="183"/>
        <s v="184"/>
        <s v="185"/>
      </sharedItems>
    </cacheField>
    <cacheField name="Language" numFmtId="0">
      <sharedItems count="2">
        <s v="EN"/>
        <s v="FR"/>
      </sharedItems>
    </cacheField>
    <cacheField name="Title" numFmtId="0">
      <sharedItems longText="1"/>
    </cacheField>
    <cacheField name="AI Relevance" numFmtId="0">
      <sharedItems containsBlank="1"/>
    </cacheField>
    <cacheField name="Year" numFmtId="0">
      <sharedItems containsSemiMixedTypes="0" containsString="0" containsNumber="1" containsInteger="1" minValue="1990" maxValue="2025"/>
    </cacheField>
    <cacheField name="Country" numFmtId="0">
      <sharedItems/>
    </cacheField>
    <cacheField name="Description" numFmtId="0">
      <sharedItems longText="1"/>
    </cacheField>
    <cacheField name="Link1" numFmtId="0">
      <sharedItems containsBlank="1"/>
    </cacheField>
    <cacheField name="Link" numFmtId="0">
      <sharedItems containsBlank="1"/>
    </cacheField>
    <cacheField name="Implemented by" numFmtId="0">
      <sharedItems containsBlank="1"/>
    </cacheField>
    <cacheField name="Status" numFmtId="0">
      <sharedItems/>
    </cacheField>
    <cacheField name="Coverage" numFmtId="0">
      <sharedItems containsBlank="1"/>
    </cacheField>
    <cacheField name="Target" numFmtId="0">
      <sharedItems/>
    </cacheField>
    <cacheField name="Area" numFmtId="0">
      <sharedItems/>
    </cacheField>
    <cacheField name="AreaDescription" numFmtId="0">
      <sharedItems containsBlank="1" longText="1"/>
    </cacheField>
    <cacheField name="Aare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8">
  <r>
    <x v="0"/>
    <x v="0"/>
    <s v="Automated allocation and processing of incoming documents "/>
    <s v="AI"/>
    <n v="2017"/>
    <s v="Austria"/>
    <s v="Fully automated allocation and processing of incoming documents from electronic channels and/or scanned documents; the extraction of metadata and identification of case numbers with NLP, the categorisation and titling of documents; as well as the recognition of the type of proceedings of new incoming cases. It aims to solve the problem of time-consuming manual document management. The digital filing system also provides other (small) AI tools, e.g. suggests workflows or tasks to the judge (e.g. treating the costs of proceedings). The solution is based on machine learning. "/>
    <s v="https://www.justiz.gv.at/file/2c94848b6ff7074f017493349cf54406.de.0/it-anwendungen%20in%20der%20%C3%B6sterreichischen%20justiz%20stand%20august%202020.pdf?forcedownload=true"/>
    <s v="Internal system, no direct public link available."/>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0"/>
    <x v="0"/>
    <s v="Automated allocation and processing of incoming documents "/>
    <s v="AI"/>
    <n v="2017"/>
    <s v="Austria"/>
    <s v="Fully automated allocation and processing of incoming documents from electronic channels and/or scanned documents; the extraction of metadata and identification of case numbers with NLP, the categorisation and titling of documents; as well as the recognition of the type of proceedings of new incoming cases. It aims to solve the problem of time-consuming manual document management. The digital filing system also provides other (small) AI tools, e.g. suggests workflows or tasks to the judge (e.g. treating the costs of proceedings). The solution is based on machine learning. "/>
    <s v="https://www.justiz.gv.at/file/2c94848b6ff7074f017493349cf54406.de.0/it-anwendungen%20in%20der%20%C3%B6sterreichischen%20justiz%20stand%20august%202020.pdf?forcedownload=true"/>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
    <x v="0"/>
    <s v="Assegnazione Automatica Contenzioso Civile e Volontaria Giurisdizione / Automatic civil case assignment to judges"/>
    <s v="non-AI"/>
    <n v="2014"/>
    <s v="Italy"/>
    <s v="Algorithm developed by the Ministry of Justice for assigning civil files to judges, according to the following requirements: random assignment, fair distribution of case, both in quantitative and qualitative terms. According to the assignment criteria defined through specific configuration parameters, the algorithm is customizable by each court."/>
    <s v="https://www.tribunale.napolinord.giustizia.it/documentazione/D_59023.pdf"/>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2"/>
    <x v="0"/>
    <s v="SLPS / Random Case Allocation System"/>
    <s v="non-AI"/>
    <n v="2018"/>
    <s v="Poland"/>
    <s v="The Random Allocation of Judges System (Polish abbreviation: SLPS) is a web-based application used to randomly assign cases to judges. It is configured in such a way that there is no possibility of interference in the randomization process, which is carried out automatically - without user participation. The system provides judges with a guarantee of uniformity of workload rules in the court. It makes it possible to preserve the existing specializations of judges and considers the performance of a judge's functions - such as department chairman or visiting judge -, guarantees the correct workload of a judge, and gives the possibility of withholding the assignment of cases to a judge who is handling an exceptionally heavy case."/>
    <m/>
    <s v="https://www.gov.pl/web/sprawiedliwosc/algorytm"/>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3"/>
    <x v="0"/>
    <s v="CLAUDETTE / An Automated Detector for Potentially Unfair Clauses"/>
    <s v="AI"/>
    <n v="2019"/>
    <s v="Italy"/>
    <s v="CLAUDETTE is a web server for the automatic detection of potentially unfair clauses in Terms of Service documents, developed and maintained for research purposes only."/>
    <m/>
    <s v="http://claudette.eui.eu/demo/"/>
    <s v="Academic"/>
    <s v="Functional"/>
    <s v="International"/>
    <s v="Lawyer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3"/>
    <x v="0"/>
    <s v="CLAUDETTE / An Automated Detector for Potentially Unfair Clauses"/>
    <s v="AI"/>
    <n v="2019"/>
    <s v="Italy"/>
    <s v="CLAUDETTE is a web server for the automatic detection of potentially unfair clauses in Terms of Service documents, developed and maintained for research purposes only."/>
    <m/>
    <s v="http://claudette.eui.eu/demo/"/>
    <s v="Academic"/>
    <s v="Functional"/>
    <s v="Inter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
    <x v="0"/>
    <s v="LEXIQ / Case Law Engine"/>
    <s v="AI"/>
    <n v="2017"/>
    <s v="Netherlands"/>
    <s v="LexIQ developed a Case Law Engine for the Dutch Public Prosecution Service, aimed to support prosecutors and researchers in their daily work to search, analyse and make use of insights in criminal cases. Its main purpose is to save time and give users an indication of the possible outcomes in court. Additionally, it also helps them discover hidden information. Using machine learning algorithms and features, such as data visualisations and intuitive search functionalities, offers a new approach to the overload of existing information. "/>
    <m/>
    <s v="https://www.lexiq.nl"/>
    <s v="Public authority"/>
    <s v="Functional"/>
    <s v="National"/>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
    <x v="0"/>
    <s v="LEXIQ / Case Law Engine"/>
    <s v="AI"/>
    <n v="2017"/>
    <s v="Netherlands"/>
    <s v="LexIQ developed a Case Law Engine for the Dutch Public Prosecution Service, aimed to support prosecutors and researchers in their daily work to search, analyse and make use of insights in criminal cases. Its main purpose is to save time and give users an indication of the possible outcomes in court. Additionally, it also helps them discover hidden information. Using machine learning algorithms and features, such as data visualisations and intuitive search functionalities, offers a new approach to the overload of existing information. "/>
    <m/>
    <s v="https://www.lexiq.nl"/>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
    <x v="0"/>
    <s v="LEXIQ / Case Law Engine"/>
    <s v="AI"/>
    <n v="2017"/>
    <s v="Netherlands"/>
    <s v="LexIQ developed a Case Law Engine for the Dutch Public Prosecution Service, aimed to support prosecutors and researchers in their daily work to search, analyse and make use of insights in criminal cases. Its main purpose is to save time and give users an indication of the possible outcomes in court. Additionally, it also helps them discover hidden information. Using machine learning algorithms and features, such as data visualisations and intuitive search functionalities, offers a new approach to the overload of existing information. "/>
    <m/>
    <s v="https://www.lexiq.nl"/>
    <s v="Public authority"/>
    <s v="Functional"/>
    <s v="National"/>
    <s v="Prosecutors/clerks"/>
    <s v="3 - Prediction of Litigation Outcomes"/>
    <m/>
    <m/>
  </r>
  <r>
    <x v="4"/>
    <x v="0"/>
    <s v="LEXIQ / Case Law Engine"/>
    <s v="AI"/>
    <n v="2017"/>
    <s v="Netherlands"/>
    <s v="LexIQ developed a Case Law Engine for the Dutch Public Prosecution Service, aimed to support prosecutors and researchers in their daily work to search, analyse and make use of insights in criminal cases. Its main purpose is to save time and give users an indication of the possible outcomes in court. Additionally, it also helps them discover hidden information. Using machine learning algorithms and features, such as data visualisations and intuitive search functionalities, offers a new approach to the overload of existing information. "/>
    <m/>
    <s v="https://www.lexiq.nl"/>
    <s v="Public authority"/>
    <s v="Functional"/>
    <s v="National"/>
    <s v="Court users (general public)"/>
    <s v="3 - Prediction of Litigation Outcomes"/>
    <m/>
    <m/>
  </r>
  <r>
    <x v="2"/>
    <x v="0"/>
    <s v="SLPS / Random Case Allocation System"/>
    <s v="non-AI"/>
    <n v="2018"/>
    <s v="Poland"/>
    <s v="The Random Allocation of Judges System (Polish abbreviation: SLPS) is a web-based application used to randomly assign cases to judges. It is configured in such a way that there is no possibility of interference in the randomization process, which is carried out automatically - without user participation. The system provides judges with a guarantee of uniformity of workload rules in the court. It makes it possible to preserve the existing specializations of judges and considers the performance of a judge's functions - such as department chairman or visiting judge -, guarantees the correct workload of a judge, and gives the possibility of withholding the assignment of cases to a judge who is handling an exceptionally heavy case."/>
    <m/>
    <s v="https://www.gov.pl/web/sprawiedliwosc/algorytm"/>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
    <x v="0"/>
    <s v="Speech-to-Text"/>
    <s v="AI"/>
    <n v="2018"/>
    <s v="Croatia"/>
    <s v="Speech-to-text aims to generate documents (i.e., meeting minutes, decisions from courts and state attorney offices). It aims to help the business processes of courts and state attorney offices. Its algorithm is built on an existing solution (vendor-based: Newton Technology Adria (NTA)), which is then customised to Croatian vocabulary and language usage, along with special requests/needs from the judicial sector. The solution is trained to transcribe speech into a text document. It can be used in a variety of contexts, such as the transcription of meeting minutes or the recording of a court decision. "/>
    <s v="https://www.diktiranje.hr/newton-dictate/"/>
    <s v="Internal system, no direct public link available."/>
    <s v="Public authority"/>
    <s v="Functional"/>
    <s v="National"/>
    <s v="Judges/clerks"/>
    <s v="7 - Recording, transcription and translation"/>
    <s v="These solutions are capable of recognizing and analysing speech, written text and communicating back. Their main use for courts is in speech recognition and transcription of court proceedings."/>
    <m/>
  </r>
  <r>
    <x v="5"/>
    <x v="0"/>
    <s v="Speech-to-Text"/>
    <s v="AI"/>
    <n v="2018"/>
    <s v="Croatia"/>
    <s v="Speech-to-text aims to generate documents (i.e., meeting minutes, decisions from courts and state attorney offices). It aims to help the business processes of courts and state attorney offices. Its algorithm is built on an existing solution (vendor-based: Newton Technology Adria (NTA)), which is then customised to Croatian vocabulary and language usage, along with special requests/needs from the judicial sector. The solution is trained to transcribe speech into a text document. It can be used in a variety of contexts, such as the transcription of meeting minutes or the recording of a court decision. "/>
    <s v="https://www.diktiranje.hr/newton-dictate/"/>
    <s v="Internal system, no direct public link available."/>
    <s v="Public authority"/>
    <s v="Functional"/>
    <s v="National"/>
    <s v="Management"/>
    <s v="7 - Recording, transcription and translation"/>
    <s v="These solutions are capable of recognizing and analysing speech, written text and communicating back. Their main use for courts is in speech recognition and transcription of court proceedings."/>
    <m/>
  </r>
  <r>
    <x v="6"/>
    <x v="0"/>
    <s v="Unified state register of court decisions / Єдиний державний реєстр судових рішень_x000a_"/>
    <s v="AI"/>
    <n v="2006"/>
    <s v="Ukraine"/>
    <s v="The register of court decisions provides web-based public access to all court decisions in Ukraine. Personal data and other types of information which are defined by law must be anonymized in public access. Anonymization is automated since 2018 and supervised."/>
    <m/>
    <s v="https://reyestr.court.gov.ua"/>
    <s v="Public authority"/>
    <s v="Functional"/>
    <s v="National"/>
    <s v="Court users (general public)"/>
    <s v="5 - Anonymisation and pseudonymisation"/>
    <s v="These solutions are used for removing identifying information such as personal data of court users"/>
    <m/>
  </r>
  <r>
    <x v="6"/>
    <x v="0"/>
    <s v="Unified state register of court decisions / Єдиний державний реєстр судових рішень_x000a_"/>
    <s v="AI"/>
    <n v="2006"/>
    <s v="Ukraine"/>
    <s v="The register of court decisions provides web-based public access to all court decisions in Ukraine. Personal data and other types of information which are defined by law must be anonymized in public access. Anonymization is automated since 2018 and supervised."/>
    <m/>
    <s v="https://reyestr.court.gov.ua"/>
    <s v="Public authority"/>
    <s v="Functional"/>
    <s v="National"/>
    <s v="Lawyers"/>
    <s v="5 - Anonymisation and pseudonymisation"/>
    <s v="These solutions are used for removing identifying information such as personal data of court users"/>
    <m/>
  </r>
  <r>
    <x v="6"/>
    <x v="0"/>
    <s v="Unified state register of court decisions / Єдиний державний реєстр судових рішень_x000a_"/>
    <s v="AI"/>
    <n v="2006"/>
    <s v="Ukraine"/>
    <s v="The register of court decisions provides web-based public access to all court decisions in Ukraine. Personal data and other types of information which are defined by law must be anonymized in public access. Anonymization is automated since 2018 and supervised."/>
    <m/>
    <s v="https://reyestr.court.gov.ua"/>
    <s v="Public authority"/>
    <s v="Functional"/>
    <s v="National"/>
    <s v="Judges/clerks"/>
    <s v="5 - Anonymisation and pseudonymisation"/>
    <s v="These solutions are used for removing identifying information such as personal data of court users"/>
    <m/>
  </r>
  <r>
    <x v="7"/>
    <x v="0"/>
    <s v="AI in the entrance area "/>
    <s v="AI"/>
    <n v="2018"/>
    <s v="Austria"/>
    <s v="Fully automated allocation and preparation of incoming documents, without intervention by the entry office or law firm. It is used for document analysis, including extraction of metadata, then categorisation and direct allocation, as well as follow up of the documents' lifecycle.  "/>
    <s v="https://www.justiz.gv.at/file/2c94848b6ff7074f017493349cf54406.de.0/it-anwendungen%20in%20der%20%C3%B6sterreichischen%20justiz%20stand%20august%202020.pdf?forcedownload=true"/>
    <s v="Internal system, no direct public link available."/>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8"/>
    <x v="0"/>
    <s v="AI in file processing"/>
    <s v="AI"/>
    <n v="2018"/>
    <s v="Austria"/>
    <s v="The use of AI primarily concerns the recognition of internal judicial responsibilities. The basis for an allocation by the AI system is the fixed distribution of business, as required by Art. 87 (3) B-VG. Based on the submission to the court and the information contained therein, the AI system recognizes which judge is responsible for the specific act. Extensions to this solution are planned and they concern the course of proceedings and their management by the judiciary as a whole (complete mapping of selected procedural steps). "/>
    <s v="https://www.justiz.gv.at/file/2c94848b6ff7074f017493349cf54406.de.0/it-anwendungen%20in%20der%20%C3%B6sterreichischen%20justiz%20stand%20august%202020.pdf?forcedownload=true"/>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8"/>
    <x v="0"/>
    <s v="AI in file processing"/>
    <s v="AI"/>
    <n v="2018"/>
    <s v="Austria"/>
    <s v="The use of AI primarily concerns the recognition of internal judicial responsibilities. The basis for an allocation by the AI system is the fixed distribution of business, as required by Art. 87 (3) B-VG. Based on the submission to the court and the information contained therein, the AI system recognizes which judge is responsible for the specific act. Extensions to this solution are planned and they concern the course of proceedings and their management by the judiciary as a whole (complete mapping of selected procedural steps). "/>
    <s v="https://www.justiz.gv.at/file/2c94848b6ff7074f017493349cf54406.de.0/it-anwendungen%20in%20der%20%C3%B6sterreichischen%20justiz%20stand%20august%202020.pdf?forcedownload=true"/>
    <s v="Internal system, no direct public link available."/>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9"/>
    <x v="0"/>
    <s v="AI to anonymize decisions "/>
    <s v="AI"/>
    <n v="2022"/>
    <s v="Austria"/>
    <s v="Automated recognition of metadata in court decisions with the aim of anonymizing party data for expanding the publication of decisions (Art. 15 (4) OGHG). This includes, in particular names, addresses, and if necessary, other place and area designations, but not judges and party representatives. "/>
    <s v="https://www.justiz.gv.at/file/2c94848b6ff7074f017493349cf54406.de.0/it-anwendungen%20in%20der%20%C3%B6sterreichischen%20justiz%20stand%20august%202020.pdf?forcedownload=true"/>
    <s v="https://ris.bka.gv.at/Jus/"/>
    <s v="Public authority"/>
    <s v="Functional"/>
    <s v="National"/>
    <s v="Court users (general public)"/>
    <s v="5 - Anonymisation and pseudonymisation"/>
    <s v="These solutions are used for removing identifying information such as personal data of court users"/>
    <m/>
  </r>
  <r>
    <x v="9"/>
    <x v="0"/>
    <s v="AI to anonymize decisions "/>
    <s v="AI"/>
    <n v="2022"/>
    <s v="Austria"/>
    <s v="Automated recognition of metadata in court decisions with the aim of anonymizing party data for expanding the publication of decisions (Art. 15 (4) OGHG). This includes, in particular names, addresses, and if necessary, other place and area designations, but not judges and party representatives. "/>
    <s v="https://www.justiz.gv.at/file/2c94848b6ff7074f017493349cf54406.de.0/it-anwendungen%20in%20der%20%C3%B6sterreichischen%20justiz%20stand%20august%202020.pdf?forcedownload=true"/>
    <s v="https://ris.bka.gv.at/Jus/"/>
    <s v="Public authority"/>
    <s v="Functional"/>
    <s v="National"/>
    <s v="Lawyers"/>
    <s v="5 - Anonymisation and pseudonymisation"/>
    <s v="These solutions are used for removing identifying information such as personal data of court users"/>
    <m/>
  </r>
  <r>
    <x v="9"/>
    <x v="0"/>
    <s v="AI to anonymize decisions "/>
    <s v="AI"/>
    <n v="2022"/>
    <s v="Austria"/>
    <s v="Automated recognition of metadata in court decisions with the aim of anonymizing party data for expanding the publication of decisions (Art. 15 (4) OGHG). This includes, in particular names, addresses, and if necessary, other place and area designations, but not judges and party representatives. "/>
    <s v="https://www.justiz.gv.at/file/2c94848b6ff7074f017493349cf54406.de.0/it-anwendungen%20in%20der%20%C3%B6sterreichischen%20justiz%20stand%20august%202020.pdf?forcedownload=true"/>
    <s v="https://ris.bka.gv.at/Jus/"/>
    <s v="Public authority"/>
    <s v="Functional"/>
    <s v="National"/>
    <s v="Judges/clerks"/>
    <s v="5 - Anonymisation and pseudonymisation"/>
    <s v="These solutions are used for removing identifying information such as personal data of court users"/>
    <m/>
  </r>
  <r>
    <x v="10"/>
    <x v="0"/>
    <s v="AI in the Analysis of Investigation Data"/>
    <s v="AI"/>
    <n v="2018"/>
    <s v="Austria"/>
    <s v="Analysis, classification and extraction of metadata from any form of data, as well as recognition of correlations and communications sequences. It allows judges to find articles of all kinds on relevant legal issues. The advantage: capacity to recognize synonyms and to develop a certain 'understanding' of the context in the course of the learning phase based on the training data. "/>
    <s v="https://www.justiz.gv.at/file/2c94848b6ff7074f017493349cf54406.de.0/it-anwendungen%20in%20der%20%C3%B6sterreichischen%20justiz%20stand%20august%202020.pdf?forcedownload=true"/>
    <s v="Internal system, no direct public link available."/>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0"/>
    <x v="0"/>
    <s v="AI in the Analysis of Investigation Data"/>
    <s v="AI"/>
    <n v="2018"/>
    <s v="Austria"/>
    <s v="Analysis, classification and extraction of metadata from any form of data, as well as recognition of correlations and communications sequences. It allows judges to find articles of all kinds on relevant legal issues. The advantage: capacity to recognize synonyms and to develop a certain 'understanding' of the context in the course of the learning phase based on the training data. "/>
    <s v="https://www.justiz.gv.at/file/2c94848b6ff7074f017493349cf54406.de.0/it-anwendungen%20in%20der%20%C3%B6sterreichischen%20justiz%20stand%20august%202020.pdf?forcedownload=true"/>
    <s v="Internal system, no direct public link available."/>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1"/>
    <x v="0"/>
    <s v="AI-based speech recognition in the justice system"/>
    <s v="AI"/>
    <n v="1997"/>
    <s v="Austria"/>
    <s v="The Austrian judiciary has been using speech recognition systems during hearings, since 1997. The recognition rate is optimized step by step - by the additional integration of a judicial vocabulary based on Supreme Court decisions available in RIS, as well as by feeding the vocabulary added by the users into the overall vocabulary. Advantages: significant increase in efficiency, thus reduction of length of the proceedings. The system is based on the commercial application Dragon Naturally Speaking."/>
    <s v="https://www.justiz.gv.at/file/2c94848b6ff7074f017493349cf54406.de.0/it-anwendungen%20in%20der%20%C3%B6sterreichischen%20justiz%20stand%20august%202020.pdf?forcedownload=true"/>
    <s v="Internal system, no direct public link available."/>
    <s v="Public authority"/>
    <s v="Functional"/>
    <s v="National"/>
    <s v="Management"/>
    <s v="7 - Recording, transcription and translation"/>
    <s v="These solutions are capable of recognizing and analysing speech, written text and communicating back. Their main use for courts is in speech recognition and transcription of court proceedings."/>
    <m/>
  </r>
  <r>
    <x v="12"/>
    <x v="0"/>
    <s v="JUSTITIA / Judicial chatbot"/>
    <s v="AI"/>
    <n v="2022"/>
    <s v="Austria"/>
    <s v="Information and navigation support for legal seekers. Application areas: natural language understanding as part of the Digital Service Platform Justice Online; definition and navigation support; support for registration. "/>
    <s v="https://www.justiz.gv.at/file/2c94848b6ff7074f017493349cf54406.de.0/it-anwendungen%20in%20der%20%C3%B6sterreichischen%20justiz%20stand%20august%202020.pdf?forcedownload=true"/>
    <s v="https://justizonline.gv.at/jop/web/home"/>
    <s v="Public authority"/>
    <s v="Functional"/>
    <s v="National"/>
    <s v="Court users (general public)"/>
    <s v="8 - Information and assistance services"/>
    <s v="These solutions provide individuals with information on services available in the justice systems and links individuals to the services and opportunities that are available"/>
    <m/>
  </r>
  <r>
    <x v="13"/>
    <x v="0"/>
    <s v="E-case / Document management system "/>
    <s v="non-AI"/>
    <n v="2019"/>
    <s v="Croatia"/>
    <s v="Public access to basic data on court cases is a free-of-charge public service for parties, attorneys and other interested persons involved in court proceedings. The search by court and file number allows the visitor to be informed about the progress and dynamics of case resolution in both first-instance and appellate procedures. Given that the system refreshes case data on a daily basis, parties are given access to the current status of their case, and the courts are thus relieved of such queries and can devote more time to effective resolution of cases. "/>
    <m/>
    <s v="https://sudovi.hr/en/citizens/e-cas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4"/>
    <x v="0"/>
    <s v="KIS / Court Information System "/>
    <s v="AI"/>
    <n v="2014"/>
    <s v="Estonia"/>
    <s v="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
    <m/>
    <s v="https://www.rik.ee/en/international/court-information-system"/>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4"/>
    <x v="0"/>
    <s v="KIS / Court Information System "/>
    <s v="AI"/>
    <n v="2014"/>
    <s v="Estonia"/>
    <s v="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
    <m/>
    <s v="https://www.rik.ee/en/international/court-information-system"/>
    <s v="Public authority"/>
    <s v="Functional"/>
    <s v="National"/>
    <s v="Court users (general public)"/>
    <s v="5 - Anonymisation and pseudonymisation"/>
    <s v="These solutions are used for removing identifying information such as personal data of court users"/>
    <m/>
  </r>
  <r>
    <x v="14"/>
    <x v="0"/>
    <s v="KIS / Court Information System "/>
    <s v="AI"/>
    <n v="2014"/>
    <s v="Estonia"/>
    <s v="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
    <m/>
    <s v="https://www.rik.ee/en/international/court-information-system"/>
    <s v="Public authority"/>
    <s v="Functional"/>
    <s v="National"/>
    <s v="Lawyer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4"/>
    <x v="0"/>
    <s v="KIS / Court Information System "/>
    <s v="AI"/>
    <n v="2014"/>
    <s v="Estonia"/>
    <s v="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
    <m/>
    <s v="https://www.rik.ee/en/international/court-information-system"/>
    <s v="Public authority"/>
    <s v="Functional"/>
    <s v="National"/>
    <s v="Lawyers"/>
    <s v="5 - Anonymisation and pseudonymisation"/>
    <s v="These solutions are used for removing identifying information such as personal data of court users"/>
    <m/>
  </r>
  <r>
    <x v="14"/>
    <x v="0"/>
    <s v="KIS / Court Information System "/>
    <s v="AI"/>
    <n v="2014"/>
    <s v="Estonia"/>
    <s v="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
    <m/>
    <s v="https://www.rik.ee/en/international/court-information-system"/>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4"/>
    <x v="0"/>
    <s v="KIS / Court Information System "/>
    <s v="AI"/>
    <n v="2014"/>
    <s v="Estonia"/>
    <s v="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
    <m/>
    <s v="https://www.rik.ee/en/international/court-information-system"/>
    <s v="Public authority"/>
    <s v="Functional"/>
    <s v="National"/>
    <s v="Judges/clerks"/>
    <s v="5 - Anonymisation and pseudonymisation"/>
    <s v="These solutions are used for removing identifying information such as personal data of court users"/>
    <m/>
  </r>
  <r>
    <x v="15"/>
    <x v="0"/>
    <s v="Sudska praksa / Court Practice Database"/>
    <s v="AI"/>
    <n v="2020"/>
    <s v="Serbia"/>
    <s v="The tool, used to search case-law, has been enhanced with an advanced search module that recognizes patterns and search results with terms that appear frequently in a similar context."/>
    <m/>
    <s v="https://www.vk.sud.rs/sr-lat/baza-sudske-prakse-suda"/>
    <s v="Public authority"/>
    <s v="Functional"/>
    <s v="National"/>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5"/>
    <x v="0"/>
    <s v="Sudska praksa / Court Practice Database"/>
    <s v="AI"/>
    <n v="2020"/>
    <s v="Serbia"/>
    <s v="The tool, used to search case-law, has been enhanced with an advanced search module that recognizes patterns and search results with terms that appear frequently in a similar context."/>
    <m/>
    <s v="https://www.vk.sud.rs/sr-lat/baza-sudske-prakse-suda"/>
    <s v="Public authority"/>
    <s v="Functional"/>
    <s v="National"/>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5"/>
    <x v="0"/>
    <s v="Sudska praksa / Court Practice Database"/>
    <s v="AI"/>
    <n v="2020"/>
    <s v="Serbia"/>
    <s v="The tool, used to search case-law, has been enhanced with an advanced search module that recognizes patterns and search results with terms that appear frequently in a similar context."/>
    <m/>
    <s v="https://www.vk.sud.rs/sr-lat/baza-sudske-prakse-suda"/>
    <s v="Public authority"/>
    <s v="Functional"/>
    <s v="National"/>
    <s v="Lawyer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6"/>
    <x v="0"/>
    <s v="Automated Creation of Decision Templates"/>
    <s v="non-AI"/>
    <n v="2010"/>
    <s v="Italy"/>
    <s v="The system allows the creation of customizable templates, that are partially self-filling, using the metadata entered in the electronic registry."/>
    <s v="https://pst.giustizia.it/PST/it/homepage.page# "/>
    <s v="Internal system, no direct public link available."/>
    <s v="Public authority"/>
    <s v="Functional"/>
    <s v="National"/>
    <s v="Judges/clerks"/>
    <s v="4 - Decision support"/>
    <s v="These solutions facilitate or fully automate decision making processes in the justice systems"/>
    <m/>
  </r>
  <r>
    <x v="16"/>
    <x v="0"/>
    <s v="Automated Creation of Decision Templates"/>
    <s v="non-AI"/>
    <n v="2010"/>
    <s v="Italy"/>
    <s v="The system allows the creation of customizable templates, that are partially self-filling, using the metadata entered in the electronic registry."/>
    <s v="https://pst.giustizia.it/PST/it/homepage.page# "/>
    <s v="Internal system, no direct public link available."/>
    <s v="Public authority"/>
    <s v="Functional"/>
    <s v="National"/>
    <s v="Management"/>
    <s v="4 - Decision support"/>
    <s v="These solutions facilitate or fully automate decision making processes in the justice systems"/>
    <m/>
  </r>
  <r>
    <x v="16"/>
    <x v="0"/>
    <s v="Automated Creation of Decision Templates"/>
    <s v="non-AI"/>
    <n v="2010"/>
    <s v="Italy"/>
    <s v="The system allows the creation of customizable templates, that are partially self-filling, using the metadata entered in the electronic registry."/>
    <s v="https://pst.giustizia.it/PST/it/homepage.page# "/>
    <s v="Internal system, no direct public link available."/>
    <s v="Public authority"/>
    <s v="Functional"/>
    <s v="National"/>
    <s v="Lawyers"/>
    <s v="4 - Decision support"/>
    <s v="These solutions facilitate or fully automate decision making processes in the justice systems"/>
    <m/>
  </r>
  <r>
    <x v="17"/>
    <x v="0"/>
    <s v="Anonymization of Civil Decisions"/>
    <s v="non-AI"/>
    <n v="2022"/>
    <s v="Italy"/>
    <s v="Through a simple command, the system automatically removes all the references to the parties involved in the trial, the places and the dates of the proceedings. This is possible because those pieces of information are entered in the decision as metadata/place-holders. The anonymization is then refined by a human operator."/>
    <s v="https://pst.giustizia.it/PST/it/homepage.page# "/>
    <s v="Internal system, no direct public link available."/>
    <s v="Public authority"/>
    <s v="Functional"/>
    <s v="National"/>
    <s v="Court users (general public)"/>
    <s v="5 - Anonymisation and pseudonymisation"/>
    <s v="These solutions are used for removing identifying information such as personal data of court users"/>
    <m/>
  </r>
  <r>
    <x v="17"/>
    <x v="0"/>
    <s v="Anonymization of Civil Decisions"/>
    <s v="non-AI"/>
    <n v="2022"/>
    <s v="Italy"/>
    <s v="Through a simple command, the system automatically removes all the references to the parties involved in the trial, the places and the dates of the proceedings. This is possible because those pieces of information are entered in the decision as metadata/place-holders. The anonymization is then refined by a human operator."/>
    <s v="https://pst.giustizia.it/PST/it/homepage.page# "/>
    <s v="Internal system, no direct public link available."/>
    <s v="Public authority"/>
    <s v="Functional"/>
    <s v="National"/>
    <s v="Lawyers"/>
    <s v="5 - Anonymisation and pseudonymisation"/>
    <s v="These solutions are used for removing identifying information such as personal data of court users"/>
    <m/>
  </r>
  <r>
    <x v="17"/>
    <x v="0"/>
    <s v="Anonymization of Civil Decisions"/>
    <s v="non-AI"/>
    <n v="2022"/>
    <s v="Italy"/>
    <s v="Through a simple command, the system automatically removes all the references to the parties involved in the trial, the places and the dates of the proceedings. This is possible because those pieces of information are entered in the decision as metadata/place-holders. The anonymization is then refined by a human operator."/>
    <s v="https://pst.giustizia.it/PST/it/homepage.page# "/>
    <s v="Internal system, no direct public link available."/>
    <s v="Public authority"/>
    <s v="Functional"/>
    <s v="National"/>
    <s v="Judges/clerks"/>
    <s v="5 - Anonymisation and pseudonymisation"/>
    <s v="These solutions are used for removing identifying information such as personal data of court users"/>
    <m/>
  </r>
  <r>
    <x v="18"/>
    <x v="0"/>
    <s v="Automated Assignment of Criminal Cases"/>
    <s v="non-AI"/>
    <n v="2015"/>
    <s v="Italy"/>
    <s v="GIADA allows the assignment of trials to criminal judges, as well as the organization of the first hearing, by providing for both an objective and fair equal system of assignments. In addition, it determines the weight of the cases (e.g., 2 difficult-negligent manslaughter, 5 easy, 3 with prisoners, 2 urgent, 2 with statute of limitations, and so on)."/>
    <s v="https://pst.giustizia.it/PST/it/homepage.page# "/>
    <s v="Internal system, no direct public link available."/>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8"/>
    <x v="0"/>
    <s v="Automated Assignment of Criminal Cases"/>
    <s v="non-AI"/>
    <n v="2015"/>
    <s v="Italy"/>
    <s v="GIADA allows the assignment of trials to criminal judges, as well as the organization of the first hearing, by providing for both an objective and fair equal system of assignments. In addition, it determines the weight of the cases (e.g., 2 difficult-negligent manslaughter, 5 easy, 3 with prisoners, 2 urgent, 2 with statute of limitations, and so on)."/>
    <s v="https://pst.giustizia.it/PST/it/homepage.page# "/>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8"/>
    <x v="0"/>
    <s v="Automated Assignment of Criminal Cases"/>
    <s v="non-AI"/>
    <n v="2015"/>
    <s v="Italy"/>
    <s v="GIADA allows the assignment of trials to criminal judges, as well as the organization of the first hearing, by providing for both an objective and fair equal system of assignments. In addition, it determines the weight of the cases (e.g., 2 difficult-negligent manslaughter, 5 easy, 3 with prisoners, 2 urgent, 2 with statute of limitations, and so on)."/>
    <s v="https://pst.giustizia.it/PST/it/homepage.page# "/>
    <s v="Internal system, no direct public link available."/>
    <s v="Public authority"/>
    <s v="Functional"/>
    <s v="National"/>
    <s v="Prosecutor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9"/>
    <x v="0"/>
    <s v="Elektroniskās maksātnespējas uzskaites sistēma (Electronic Insolvency Accounting System) /  Tiesu informatīvā sistēma (Court Information System)"/>
    <s v="AI"/>
    <n v="2018"/>
    <s v="Latvia"/>
    <s v="The Electronic Insolvency Accounting System is a single electronic platform for all persons involved in insolvency proceedings and institutions. It ensures the circulation of information between parties involved, as well as the random and proportional distribution of administrators' queue(s)."/>
    <m/>
    <s v="https://www.mkd.gov.lv/en/information-about-emus"/>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20"/>
    <x v="0"/>
    <s v="Bylų skirsymo modulis / Case Allocation Module"/>
    <s v="AI"/>
    <n v="2010"/>
    <s v="Lithuania"/>
    <s v="This tool was developed for random allocation of cases between judges, based on features such as: case type, number of cases received by the court during a given period, random factor, specialization, cases received by a judge during a given period."/>
    <m/>
    <s v="https://www.teismai.lt/data/public/uploads/2022/03/teismai2022-taisytas.pdf"/>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21"/>
    <x v="0"/>
    <s v="VICTOR"/>
    <s v="AI"/>
    <n v="2020"/>
    <s v="Brazil"/>
    <s v="Victor is an AI system applied to cases pending before the Brazilian Federal Supreme Court and seeks to facilitate the process of identifying the so-called general repercussion (only questions that are considered relevant to Brazilian society are heard by the court), contributing to increased performance and efficiency in the processing stages of extraordinary appeals."/>
    <m/>
    <s v="https://ciapj.fgv.br/sites/ciapj.fgv.br/files/relatorio_ia_3a_edicao_0.pdf"/>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21"/>
    <x v="0"/>
    <s v="VICTOR"/>
    <s v="AI"/>
    <n v="2020"/>
    <s v="Brazil"/>
    <s v="Victor is an AI system applied to cases pending before the Brazilian Federal Supreme Court and seeks to facilitate the process of identifying the so-called general repercussion (only questions that are considered relevant to Brazilian society are heard by the court), contributing to increased performance and efficiency in the processing stages of extraordinary appeals."/>
    <m/>
    <s v="https://ciapj.fgv.br/sites/ciapj.fgv.br/files/relatorio_ia_3a_edicao_0.pdf"/>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22"/>
    <x v="0"/>
    <s v="Interlex "/>
    <s v="AI"/>
    <n v="2020"/>
    <s v="Italy"/>
    <s v="InterLex aims to provide information, decision-support and training on private international law. It addresses the identification of the legal system having jurisdiction and of the national law to be applied to a specific case, as well as the retrieval of relevant legal materials. "/>
    <m/>
    <s v="https://interlex-portal.eu/en/index.html"/>
    <s v="Academic"/>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22"/>
    <x v="0"/>
    <s v="Interlex "/>
    <s v="AI"/>
    <n v="2020"/>
    <s v="Italy"/>
    <s v="InterLex aims to provide information, decision-support and training on private international law. It addresses the identification of the legal system having jurisdiction and of the national law to be applied to a specific case, as well as the retrieval of relevant legal materials. "/>
    <m/>
    <s v="https://interlex-portal.eu/en/index.html"/>
    <s v="Academic"/>
    <s v="Functional"/>
    <s v="International"/>
    <s v="Court users (general public)"/>
    <s v="4 - Decision support"/>
    <s v="These solutions facilitate or fully automate decision making processes in the justice systems"/>
    <m/>
  </r>
  <r>
    <x v="22"/>
    <x v="0"/>
    <s v="Interlex "/>
    <s v="AI"/>
    <n v="2020"/>
    <s v="Italy"/>
    <s v="InterLex aims to provide information, decision-support and training on private international law. It addresses the identification of the legal system having jurisdiction and of the national law to be applied to a specific case, as well as the retrieval of relevant legal materials. "/>
    <m/>
    <s v="https://interlex-portal.eu/en/index.html"/>
    <s v="Academic"/>
    <s v="Functional"/>
    <s v="International"/>
    <s v="Lawyers"/>
    <s v="8 - Information and assistance services"/>
    <s v="These solutions provide individuals with information on services available in the justice systems and links individuals to the services and opportunities that are available"/>
    <m/>
  </r>
  <r>
    <x v="22"/>
    <x v="0"/>
    <s v="Interlex "/>
    <s v="AI"/>
    <n v="2020"/>
    <s v="Italy"/>
    <s v="InterLex aims to provide information, decision-support and training on private international law. It addresses the identification of the legal system having jurisdiction and of the national law to be applied to a specific case, as well as the retrieval of relevant legal materials. "/>
    <m/>
    <s v="https://interlex-portal.eu/en/index.html"/>
    <s v="Academic"/>
    <s v="Functional"/>
    <s v="International"/>
    <s v="Lawyers"/>
    <s v="4 - Decision support"/>
    <s v="These solutions facilitate or fully automate decision making processes in the justice systems"/>
    <m/>
  </r>
  <r>
    <x v="22"/>
    <x v="0"/>
    <s v="Interlex "/>
    <s v="AI"/>
    <n v="2020"/>
    <s v="Italy"/>
    <s v="InterLex aims to provide information, decision-support and training on private international law. It addresses the identification of the legal system having jurisdiction and of the national law to be applied to a specific case, as well as the retrieval of relevant legal materials. "/>
    <m/>
    <s v="https://interlex-portal.eu/en/index.html"/>
    <s v="Academic"/>
    <s v="Functional"/>
    <s v="International"/>
    <s v="Judges/clerks"/>
    <s v="8 - Information and assistance services"/>
    <s v="These solutions provide individuals with information on services available in the justice systems and links individuals to the services and opportunities that are available"/>
    <m/>
  </r>
  <r>
    <x v="22"/>
    <x v="0"/>
    <s v="Interlex "/>
    <s v="AI"/>
    <n v="2020"/>
    <s v="Italy"/>
    <s v="InterLex aims to provide information, decision-support and training on private international law. It addresses the identification of the legal system having jurisdiction and of the national law to be applied to a specific case, as well as the retrieval of relevant legal materials. "/>
    <m/>
    <s v="https://interlex-portal.eu/en/index.html"/>
    <s v="Academic"/>
    <s v="Functional"/>
    <s v="International"/>
    <s v="Judges/clerks"/>
    <s v="4 - Decision support"/>
    <s v="These solutions facilitate or fully automate decision making processes in the justice systems"/>
    <m/>
  </r>
  <r>
    <x v="23"/>
    <x v="0"/>
    <s v="JURI says "/>
    <m/>
    <n v="2020"/>
    <s v="Netherlands"/>
    <s v="JURI reads published documents from previous years and decisions of the cases judged by the European Court of Human Rights and predicts the outcomes of the decisions that the Court will make. The system learns from its mistakes every month. "/>
    <m/>
    <s v="https://jurisays.com"/>
    <s v="Academic"/>
    <s v="Functional"/>
    <s v="International"/>
    <s v="Court users (general public)"/>
    <s v="3 - Prediction of Litigation Outcomes"/>
    <m/>
    <m/>
  </r>
  <r>
    <x v="24"/>
    <x v="0"/>
    <s v="Civil Resolution Tribunal / CRT "/>
    <s v="AI"/>
    <n v="2015"/>
    <s v="Canada"/>
    <s v="The Civil Resolution Tribunal is located in British Columbia, Canada. It has been created to help people without lawyers resolve certain types of disputes quickly. It deals with: small claims in civil matters worth under $5,000, condo disputes, motor vehicle injury claims up to $50,000, and societies and cooperative association disputes. Its decisions can be appealed either before the Provincial Court or the Supreme Court for Judicial Review, depending on the type of issue. "/>
    <m/>
    <s v="https://civilresolutionbc.ca/"/>
    <s v="Public authority"/>
    <s v="Functional"/>
    <s v="National"/>
    <s v="Management"/>
    <s v="2 - Online Dispute Resolution"/>
    <m/>
    <m/>
  </r>
  <r>
    <x v="24"/>
    <x v="0"/>
    <s v="Civil Resolution Tribunal / CRT "/>
    <s v="AI"/>
    <n v="2015"/>
    <s v="Canada"/>
    <s v="The Civil Resolution Tribunal is located in British Columbia, Canada. It has been created to help people without lawyers resolve certain types of disputes quickly. It deals with: small claims in civil matters worth under $5,000, condo disputes, motor vehicle injury claims up to $50,000, and societies and cooperative association disputes. Its decisions can be appealed either before the Provincial Court or the Supreme Court for Judicial Review, depending on the type of issue. "/>
    <m/>
    <s v="https://civilresolutionbc.ca/"/>
    <s v="Public authority"/>
    <s v="Functional"/>
    <s v="National"/>
    <s v="Court users (general public)"/>
    <s v="2 - Online Dispute Resolution"/>
    <m/>
    <m/>
  </r>
  <r>
    <x v="25"/>
    <x v="0"/>
    <s v="ANOPPI"/>
    <s v="AI"/>
    <n v="2019"/>
    <s v="Finland"/>
    <s v="A pseudonymization tool for legal documents for linked data publication and use on the semantic web. "/>
    <s v="https://seco.cs.aalto.fi/publications/2022/oksanen-et-al-anoppi-2022.pdf"/>
    <s v="https://seco-cs-aalto-fi.translate.goog/projects/anoppi/?_x_tr_sl=fi&amp;_x_tr_tl=en&amp;_x_tr_hl=fi"/>
    <s v="Public authority"/>
    <s v="Functional"/>
    <s v="National"/>
    <s v="Court users (general public)"/>
    <s v="5 - Anonymisation and pseudonymisation"/>
    <s v="These solutions are used for removing identifying information such as personal data of court users"/>
    <m/>
  </r>
  <r>
    <x v="25"/>
    <x v="0"/>
    <s v="ANOPPI"/>
    <s v="AI"/>
    <n v="2019"/>
    <s v="Finland"/>
    <s v="A pseudonymization tool for legal documents for linked data publication and use on the semantic web. "/>
    <s v="https://seco.cs.aalto.fi/publications/2022/oksanen-et-al-anoppi-2022.pdf"/>
    <s v="https://seco-cs-aalto-fi.translate.goog/projects/anoppi/?_x_tr_sl=fi&amp;_x_tr_tl=en&amp;_x_tr_hl=fi"/>
    <s v="Public authority"/>
    <s v="Functional"/>
    <s v="National"/>
    <s v="Lawyers"/>
    <s v="5 - Anonymisation and pseudonymisation"/>
    <s v="These solutions are used for removing identifying information such as personal data of court users"/>
    <m/>
  </r>
  <r>
    <x v="25"/>
    <x v="0"/>
    <s v="ANOPPI"/>
    <s v="AI"/>
    <n v="2019"/>
    <s v="Finland"/>
    <s v="A pseudonymization tool for legal documents for linked data publication and use on the semantic web. "/>
    <s v="https://seco.cs.aalto.fi/publications/2022/oksanen-et-al-anoppi-2022.pdf"/>
    <s v="https://seco-cs-aalto-fi.translate.goog/projects/anoppi/?_x_tr_sl=fi&amp;_x_tr_tl=en&amp;_x_tr_hl=fi"/>
    <s v="Public authority"/>
    <s v="Functional"/>
    <s v="National"/>
    <s v="Judges/clerks"/>
    <s v="5 - Anonymisation and pseudonymisation"/>
    <s v="These solutions are used for removing identifying information such as personal data of court users"/>
    <m/>
  </r>
  <r>
    <x v="26"/>
    <x v="0"/>
    <s v="Socrates "/>
    <s v="AI"/>
    <n v="2019"/>
    <s v="Brazil"/>
    <s v="Sócrates provides for an automated examination of each appeal sent to the Brazil’s Superior Court of Justice (STJ) and previous decisions of the process, recommends normative sources and legal precedents, and provides a recommendation for action; the final decision is always made by the Minister of the STJ. The project is focused on: data classification, implementing natural language processing and unsupervised machine learning techniques, that have as training data previous petitions and decisions of the Court; identifying cases with potential for failure to register with the Presidency; and subsidy to the STJ’s Corporate School in the definitions of training. "/>
    <m/>
    <s v="https://ciapj.fgv.br/sites/ciapj.fgv.br/files/relatorio_ia_3a_edicao_0.pdf"/>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26"/>
    <x v="0"/>
    <s v="Socrates "/>
    <s v="AI"/>
    <n v="2019"/>
    <s v="Brazil"/>
    <s v="Sócrates provides for an automated examination of each appeal sent to the Brazil’s Superior Court of Justice (STJ) and previous decisions of the process, recommends normative sources and legal precedents, and provides a recommendation for action; the final decision is always made by the Minister of the STJ. The project is focused on: data classification, implementing natural language processing and unsupervised machine learning techniques, that have as training data previous petitions and decisions of the Court; identifying cases with potential for failure to register with the Presidency; and subsidy to the STJ’s Corporate School in the definitions of training. "/>
    <m/>
    <s v="https://ciapj.fgv.br/sites/ciapj.fgv.br/files/relatorio_ia_3a_edicao_0.pdf"/>
    <s v="Public authority"/>
    <s v="Functional"/>
    <s v="National"/>
    <s v="Judges/clerks"/>
    <s v="4 - Decision support"/>
    <s v="These solutions facilitate or fully automate decision making processes in the justice systems"/>
    <m/>
  </r>
  <r>
    <x v="27"/>
    <x v="0"/>
    <s v="SIGMA"/>
    <s v="AI"/>
    <n v="2020"/>
    <s v="Brazil"/>
    <s v="SIGMA is an intelligent system for the use of models towards producing drafts of decisions. It is designed to assist in preparing reports, decisions, and judgments in the TRF3 Electronic Judicial Process (PJe) system. The system sorts stored texts, comparing information extracted from procedural documents with how each unit uses its models, and generates inputs for the report’s writing. Observing the procedural documents suggests models already used for the same type of process, accelerating magistrates and civil servants’ productivity to avoid conflicting decisions."/>
    <m/>
    <s v="https://ciapj.fgv.br/sites/ciapj.fgv.br/files/relatorio_ia_3a_edicao_0.pdf"/>
    <s v="Public authority"/>
    <s v="Functional"/>
    <s v="National"/>
    <s v="Judges/clerks"/>
    <s v="4 - Decision support"/>
    <s v="These solutions facilitate or fully automate decision making processes in the justice systems"/>
    <m/>
  </r>
  <r>
    <x v="27"/>
    <x v="0"/>
    <s v="SIGMA"/>
    <s v="AI"/>
    <n v="2020"/>
    <s v="Brazil"/>
    <s v="SIGMA is an intelligent system for the use of models towards producing drafts of decisions. It is designed to assist in preparing reports, decisions, and judgments in the TRF3 Electronic Judicial Process (PJe) system. The system sorts stored texts, comparing information extracted from procedural documents with how each unit uses its models, and generates inputs for the report’s writing. Observing the procedural documents suggests models already used for the same type of process, accelerating magistrates and civil servants’ productivity to avoid conflicting decisions."/>
    <m/>
    <s v="https://ciapj.fgv.br/sites/ciapj.fgv.br/files/relatorio_ia_3a_edicao_0.pdf"/>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28"/>
    <x v="0"/>
    <s v="Salme"/>
    <s v="non-AI"/>
    <n v="2022"/>
    <s v="Estonia"/>
    <s v="Salme is a speech recognition tool developed by the Estonian Ministry of Justice in partnership with the IT company CGI Estonia and language-tech company Tilde. It has been introduced to Estonian courts to simplify and optimise this operation. It is a machine learning and NLP tool that is connected to the Estonian X-Road (a secure data exchange layer for sending and receiving data between both private and public sector organisations) to process the recording and transcription data. Salme can transcribe in real-time or offline, which even if being time-consuming, it is also more accurate. Time stamping by the user is possible which allows for adding notes to find the related audio recording more easily."/>
    <m/>
    <s v="https://e-estonia.com/introducing-salme-estonian-courts-speech-recognition-assistant/"/>
    <s v="Public authority"/>
    <s v="Functional"/>
    <s v="National"/>
    <s v="Management"/>
    <s v="7 - Recording, transcription and translation"/>
    <s v="These solutions are capable of recognizing and analysing speech, written text and communicating back. Their main use for courts is in speech recognition and transcription of court proceedings."/>
    <m/>
  </r>
  <r>
    <x v="29"/>
    <x v="0"/>
    <s v="Dataanalys för verksamhetsutveckling / Process mining"/>
    <s v="AI"/>
    <n v="2022"/>
    <s v="Sweden"/>
    <s v="A tool for collecting data from IT-systems to analyze processes. Creates objective statistics in order to develop and change the courts' workflow."/>
    <m/>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30"/>
    <x v="0"/>
    <s v="Tiesu informatīvā sistēma / Court Information System"/>
    <s v="non-AI"/>
    <n v="2022"/>
    <s v="Latvia"/>
    <s v="Integrated in the Court information System and based on courts' decisions, the tool is already trained to recognise all text values which should be anonymized according to the legislation (i.e., names, addresses, personal identification data). In addition, it can be further trained to recognise and anonymize additional values, if necessary. Before publishing the decisions on the court's portal, there is a human operator verifying and changing any anonymization errors, if needed. "/>
    <m/>
    <s v="Internal system, no direct public link available."/>
    <s v="Public authority"/>
    <s v="Functional"/>
    <s v="National"/>
    <s v="Court users (general public)"/>
    <s v="5 - Anonymisation and pseudonymisation"/>
    <s v="These solutions are used for removing identifying information such as personal data of court users"/>
    <m/>
  </r>
  <r>
    <x v="30"/>
    <x v="0"/>
    <s v="Tiesu informatīvā sistēma / Court Information System"/>
    <s v="non-AI"/>
    <n v="2022"/>
    <s v="Latvia"/>
    <s v="Integrated in the Court information System and based on courts' decisions, the tool is already trained to recognise all text values which should be anonymized according to the legislation (i.e., names, addresses, personal identification data). In addition, it can be further trained to recognise and anonymize additional values, if necessary. Before publishing the decisions on the court's portal, there is a human operator verifying and changing any anonymization errors, if needed. "/>
    <m/>
    <s v="Internal system, no direct public link available."/>
    <s v="Public authority"/>
    <s v="Functional"/>
    <s v="National"/>
    <s v="Lawyers"/>
    <s v="5 - Anonymisation and pseudonymisation"/>
    <s v="These solutions are used for removing identifying information such as personal data of court users"/>
    <m/>
  </r>
  <r>
    <x v="30"/>
    <x v="0"/>
    <s v="Tiesu informatīvā sistēma / Court Information System"/>
    <s v="non-AI"/>
    <n v="2022"/>
    <s v="Latvia"/>
    <s v="Integrated in the Court information System and based on courts' decisions, the tool is already trained to recognise all text values which should be anonymized according to the legislation (i.e., names, addresses, personal identification data). In addition, it can be further trained to recognise and anonymize additional values, if necessary. Before publishing the decisions on the court's portal, there is a human operator verifying and changing any anonymization errors, if needed. "/>
    <m/>
    <s v="Internal system, no direct public link available."/>
    <s v="Public authority"/>
    <s v="Functional"/>
    <s v="National"/>
    <s v="Judges/clerks"/>
    <s v="5 - Anonymisation and pseudonymisation"/>
    <s v="These solutions are used for removing identifying information such as personal data of court users"/>
    <m/>
  </r>
  <r>
    <x v="31"/>
    <x v="0"/>
    <s v="Giustizia Predittiva (Brescia) / Predictive Justice"/>
    <s v="AI"/>
    <n v="2017"/>
    <s v="Italy"/>
    <s v="The site presents - grouped by thematic areas - selected decision of the Brescia Court of Appeal and Second Instance Court. Once the area of interest is chosen (labour/business law), a guided 'itinerary' can be followed, aimed at identifying the most appropriate case-law for answering one's question.  The system is a collaboration between the Brescia Court of Appeal and Tribunal and the University of Brescia. (Last database update: unknown). "/>
    <m/>
    <s v="https://giustiziapredittiva.unibs.it "/>
    <s v="Academic"/>
    <s v="Functional"/>
    <s v="Regional"/>
    <s v="Lawyers"/>
    <s v="3 - Prediction of Litigation Outcomes"/>
    <m/>
    <m/>
  </r>
  <r>
    <x v="31"/>
    <x v="0"/>
    <s v="Giustizia Predittiva (Brescia) / Predictive Justice"/>
    <s v="AI"/>
    <n v="2017"/>
    <s v="Italy"/>
    <s v="The site presents - grouped by thematic areas - selected decision of the Brescia Court of Appeal and Second Instance Court. Once the area of interest is chosen (labour/business law), a guided 'itinerary' can be followed, aimed at identifying the most appropriate case-law for answering one's question.  The system is a collaboration between the Brescia Court of Appeal and Tribunal and the University of Brescia. (Last database update: unknown). "/>
    <m/>
    <s v="https://giustiziapredittiva.unibs.it "/>
    <s v="Academic"/>
    <s v="Functional"/>
    <s v="Regional"/>
    <s v="Court users (general public)"/>
    <s v="3 - Prediction of Litigation Outcomes"/>
    <m/>
    <m/>
  </r>
  <r>
    <x v="32"/>
    <x v="0"/>
    <s v="ANOM / Anonymization "/>
    <s v="AI"/>
    <n v="2021"/>
    <s v="Switzerland"/>
    <s v="ANOM  uses AI to detect the name of experts or other information, for instance plot numbers, which are not parties to the procedure, and proposes them as candidates to anonymization in light of publication of the judgment. "/>
    <m/>
    <s v="(Internal system, no public reference)."/>
    <s v="Public authority"/>
    <s v="Functional"/>
    <s v="Regional"/>
    <s v="Court users (general public)"/>
    <s v="5 - Anonymisation and pseudonymisation"/>
    <s v="These solutions are used for removing identifying information such as personal data of court users"/>
    <m/>
  </r>
  <r>
    <x v="32"/>
    <x v="0"/>
    <s v="ANOM / Anonymization "/>
    <s v="AI"/>
    <n v="2021"/>
    <s v="Switzerland"/>
    <s v="ANOM  uses AI to detect the name of experts or other information, for instance plot numbers, which are not parties to the procedure, and proposes them as candidates to anonymization in light of publication of the judgment. "/>
    <m/>
    <s v="(Internal system, no public reference)."/>
    <s v="Public authority"/>
    <s v="Functional"/>
    <s v="Regional"/>
    <s v="Lawyers"/>
    <s v="5 - Anonymisation and pseudonymisation"/>
    <s v="These solutions are used for removing identifying information such as personal data of court users"/>
    <m/>
  </r>
  <r>
    <x v="32"/>
    <x v="0"/>
    <s v="ANOM / Anonymization "/>
    <s v="AI"/>
    <n v="2021"/>
    <s v="Switzerland"/>
    <s v="ANOM  uses AI to detect the name of experts or other information, for instance plot numbers, which are not parties to the procedure, and proposes them as candidates to anonymization in light of publication of the judgment. "/>
    <m/>
    <s v="(Internal system, no public reference)."/>
    <s v="Public authority"/>
    <s v="Functional"/>
    <s v="Regional"/>
    <s v="Judges/clerks"/>
    <s v="5 - Anonymisation and pseudonymisation"/>
    <s v="These solutions are used for removing identifying information such as personal data of court users"/>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Lawyer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Lawyer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33"/>
    <x v="0"/>
    <s v="Sinapses "/>
    <s v="AI"/>
    <n v="2020"/>
    <s v="Brazil"/>
    <s v="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_x000a__x000a_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_x000a_"/>
    <s v="https://ciapj.fgv.br/sites/ciapj.fgv.br/files/relatorio_ia_3a_edicao_0.pdf"/>
    <s v="https://www.cnj.jus.br/sistemas/plataforma-sinapses/"/>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34"/>
    <x v="0"/>
    <s v="Anonymization tool"/>
    <s v="AI"/>
    <n v="2021"/>
    <s v="Czech Republic"/>
    <s v="The anonymization tool automatically detects specified personal and private data in court decisions. It anonymizes this data and ensures the publication of anonymized court decisions. In-house development, rule-based AI."/>
    <m/>
    <s v="Internal system, no direct public link available."/>
    <s v="Public authority"/>
    <s v="Functional"/>
    <s v="National"/>
    <s v="Court users (general public)"/>
    <s v="5 - Anonymisation and pseudonymisation"/>
    <s v="These solutions are used for removing identifying information such as personal data of court users"/>
    <m/>
  </r>
  <r>
    <x v="34"/>
    <x v="0"/>
    <s v="Anonymization tool"/>
    <s v="AI"/>
    <n v="2021"/>
    <s v="Czech Republic"/>
    <s v="The anonymization tool automatically detects specified personal and private data in court decisions. It anonymizes this data and ensures the publication of anonymized court decisions. In-house development, rule-based AI."/>
    <m/>
    <s v="Internal system, no direct public link available."/>
    <s v="Public authority"/>
    <s v="Functional"/>
    <s v="National"/>
    <s v="Lawyers"/>
    <s v="5 - Anonymisation and pseudonymisation"/>
    <s v="These solutions are used for removing identifying information such as personal data of court users"/>
    <m/>
  </r>
  <r>
    <x v="34"/>
    <x v="0"/>
    <s v="Anonymization tool"/>
    <s v="AI"/>
    <n v="2021"/>
    <s v="Czech Republic"/>
    <s v="The anonymization tool automatically detects specified personal and private data in court decisions. It anonymizes this data and ensures the publication of anonymized court decisions. In-house development, rule-based AI."/>
    <m/>
    <s v="Internal system, no direct public link available."/>
    <s v="Public authority"/>
    <s v="Functional"/>
    <s v="National"/>
    <s v="Judges/clerks"/>
    <s v="5 - Anonymisation and pseudonymisation"/>
    <s v="These solutions are used for removing identifying information such as personal data of court users"/>
    <m/>
  </r>
  <r>
    <x v="35"/>
    <x v="0"/>
    <s v="Domsdatabasen / Judgment database with anonymisation"/>
    <s v="AI"/>
    <n v="2022"/>
    <s v="Denmark"/>
    <s v="A central judgment database is compulsary  for the publication of judgments handed down by Denmark's courts. The purpose is increased openness - to give the public free access to the judgments and the opportunity to gain insight into legal practice._x000a_The judgment database consists of two system components: (i) an internal portal, where the judgments are handled and pseudonomized, and (ii) a web portal from which the public can access the judgments._x000a_The internal portal is where the pseudonomization of the judgments is carried out and this is where the AI system is implemented. The AI system, called NER, analyses the pdf document of the judgment and identifies and suggests text and names that need to be pseudonomized. An employee looks over the suggestions, accepts or corrects them and decides when the judgment with associated metadata and documents can be published in the public web portal. The NER system will learn from the employee´s acceptance or correction of its suggestions and how many user generated pseudonomizations the employee adds to the judgments."/>
    <m/>
    <s v="domsdatabasen.dk"/>
    <s v="Public authority"/>
    <s v="Functional"/>
    <s v="Regional"/>
    <s v="Court users (general public)"/>
    <s v="5 - Anonymisation and pseudonymisation"/>
    <s v="These solutions are used for removing identifying information such as personal data of court users"/>
    <m/>
  </r>
  <r>
    <x v="35"/>
    <x v="0"/>
    <s v="Domsdatabasen / Judgment database with anonymisation"/>
    <s v="AI"/>
    <n v="2022"/>
    <s v="Denmark"/>
    <s v="A central judgment database is compulsary  for the publication of judgments handed down by Denmark's courts. The purpose is increased openness - to give the public free access to the judgments and the opportunity to gain insight into legal practice._x000a_The judgment database consists of two system components: (i) an internal portal, where the judgments are handled and pseudonomized, and (ii) a web portal from which the public can access the judgments._x000a_The internal portal is where the pseudonomization of the judgments is carried out and this is where the AI system is implemented. The AI system, called NER, analyses the pdf document of the judgment and identifies and suggests text and names that need to be pseudonomized. An employee looks over the suggestions, accepts or corrects them and decides when the judgment with associated metadata and documents can be published in the public web portal. The NER system will learn from the employee´s acceptance or correction of its suggestions and how many user generated pseudonomizations the employee adds to the judgments."/>
    <m/>
    <s v="domsdatabasen.dk"/>
    <s v="Public authority"/>
    <s v="Functional"/>
    <s v="Regional"/>
    <s v="Lawyers"/>
    <s v="5 - Anonymisation and pseudonymisation"/>
    <s v="These solutions are used for removing identifying information such as personal data of court users"/>
    <m/>
  </r>
  <r>
    <x v="35"/>
    <x v="0"/>
    <s v="Domsdatabasen / Judgment database with anonymisation"/>
    <s v="AI"/>
    <n v="2022"/>
    <s v="Denmark"/>
    <s v="A central judgment database is compulsary  for the publication of judgments handed down by Denmark's courts. The purpose is increased openness - to give the public free access to the judgments and the opportunity to gain insight into legal practice._x000a_The judgment database consists of two system components: (i) an internal portal, where the judgments are handled and pseudonomized, and (ii) a web portal from which the public can access the judgments._x000a_The internal portal is where the pseudonomization of the judgments is carried out and this is where the AI system is implemented. The AI system, called NER, analyses the pdf document of the judgment and identifies and suggests text and names that need to be pseudonomized. An employee looks over the suggestions, accepts or corrects them and decides when the judgment with associated metadata and documents can be published in the public web portal. The NER system will learn from the employee´s acceptance or correction of its suggestions and how many user generated pseudonomizations the employee adds to the judgments."/>
    <m/>
    <s v="domsdatabasen.dk"/>
    <s v="Public authority"/>
    <s v="Functional"/>
    <s v="Regional"/>
    <s v="Judges/clerks"/>
    <s v="5 - Anonymisation and pseudonymisation"/>
    <s v="These solutions are used for removing identifying information such as personal data of court users"/>
    <m/>
  </r>
  <r>
    <x v="35"/>
    <x v="0"/>
    <s v="Domsdatabasen / Judgment database with anonymisation"/>
    <s v="AI"/>
    <n v="2022"/>
    <s v="Denmark"/>
    <s v="A central judgment database is compulsary  for the publication of judgments handed down by Denmark's courts. The purpose is increased openness - to give the public free access to the judgments and the opportunity to gain insight into legal practice._x000a_The judgment database consists of two system components: (i) an internal portal, where the judgments are handled and pseudonomized, and (ii) a web portal from which the public can access the judgments._x000a_The internal portal is where the pseudonomization of the judgments is carried out and this is where the AI system is implemented. The AI system, called NER, analyses the pdf document of the judgment and identifies and suggests text and names that need to be pseudonomized. An employee looks over the suggestions, accepts or corrects them and decides when the judgment with associated metadata and documents can be published in the public web portal. The NER system will learn from the employee´s acceptance or correction of its suggestions and how many user generated pseudonomizations the employee adds to the judgments."/>
    <m/>
    <s v="domsdatabasen.dk"/>
    <s v="Public authority"/>
    <s v="Functional"/>
    <s v="Regional"/>
    <s v="Management"/>
    <s v="5 - Anonymisation and pseudonymisation"/>
    <s v="These solutions are used for removing identifying information such as personal data of court users"/>
    <m/>
  </r>
  <r>
    <x v="36"/>
    <x v="0"/>
    <s v="COMPAS / Correctional Offender Management Profiling for Alternative Sanctions"/>
    <s v="non-AI"/>
    <n v="1990"/>
    <s v="USA"/>
    <s v="A proprietary software created to help U.S. judges assess whether a defendant is likely to re-offend, both in bail and sentencing. The system automates the risk assessment by asking a total of 137 questions based on an interview with the person concerned and their criminal record.  From this, it calculates scores from 1 to 10 in 43 different categories (scales). Scores in some categories (so-called risk scales) are supposed to make statements on the risk of recidivism - in general, for special types of offences (e.g. violent crimes) or specifically for individual identified risk factors (e.g. previous convictions, drug use, social integration). The higher the score, the higher the risk of recidivism. This is not intended to represent an 'absolute' risk, but only a relative one in relation to the 'norm group'. "/>
    <m/>
    <s v="https://www.equivant.com/wp-content/uploads/Practitioners-Guide-to-COMPAS-Core-040419.pdf"/>
    <s v="Public authority"/>
    <s v="Functional"/>
    <s v="Regional"/>
    <s v="Judges/clerks"/>
    <s v="4 - Decision support"/>
    <s v="These solutions facilitate or fully automate decision making processes in the justice systems"/>
    <m/>
  </r>
  <r>
    <x v="36"/>
    <x v="0"/>
    <s v="COMPAS / Correctional Offender Management Profiling for Alternative Sanctions"/>
    <s v="non-AI"/>
    <n v="1990"/>
    <s v="USA"/>
    <s v="A proprietary software created to help U.S. judges assess whether a defendant is likely to re-offend, both in bail and sentencing. The system automates the risk assessment by asking a total of 137 questions based on an interview with the person concerned and their criminal record.  From this, it calculates scores from 1 to 10 in 43 different categories (scales). Scores in some categories (so-called risk scales) are supposed to make statements on the risk of recidivism - in general, for special types of offences (e.g. violent crimes) or specifically for individual identified risk factors (e.g. previous convictions, drug use, social integration). The higher the score, the higher the risk of recidivism. This is not intended to represent an 'absolute' risk, but only a relative one in relation to the 'norm group'. "/>
    <m/>
    <s v="https://www.equivant.com/wp-content/uploads/Practitioners-Guide-to-COMPAS-Core-040419.pdf"/>
    <s v="Public authority"/>
    <s v="Functional"/>
    <s v="Regional"/>
    <s v="Management"/>
    <s v="4 - Decision support"/>
    <s v="These solutions facilitate or fully automate decision making processes in the justice systems"/>
    <m/>
  </r>
  <r>
    <x v="37"/>
    <x v="0"/>
    <s v="HART /Harm Assessment Risk Tool"/>
    <s v="non-AI"/>
    <n v="2017"/>
    <s v="United Kingdom"/>
    <s v="Created by statistical experts from Cambridge University together with the Durhanm Constabulary, HART aims to help police officers determine whether arrested individuals are eligible for an alternative route to incarceration. It allows for a modelling of a ratio of error-costs."/>
    <s v="https://www.durham.police.uk/News/News-Articles/2022/January/AI-can-predict-reoffending-university-study-finds.aspx"/>
    <s v="Internal system, no direct public link available."/>
    <s v="Public authority"/>
    <s v="Functional"/>
    <s v="Court specific"/>
    <s v="Management"/>
    <s v="4 - Decision support"/>
    <s v="These solutions facilitate or fully automate decision making processes in the justice systems"/>
    <m/>
  </r>
  <r>
    <x v="37"/>
    <x v="0"/>
    <s v="HART /Harm Assessment Risk Tool"/>
    <s v="non-AI"/>
    <n v="2017"/>
    <s v="United Kingdom"/>
    <s v="Created by statistical experts from Cambridge University together with the Durhanm Constabulary, HART aims to help police officers determine whether arrested individuals are eligible for an alternative route to incarceration. It allows for a modelling of a ratio of error-costs."/>
    <s v="https://www.durham.police.uk/News/News-Articles/2022/January/AI-can-predict-reoffending-university-study-finds.aspx"/>
    <s v="Internal system, no direct public link available."/>
    <s v="Public authority"/>
    <s v="Functional"/>
    <s v="Court specific"/>
    <s v="Court users (general public)"/>
    <s v="4 - Decision support"/>
    <s v="These solutions facilitate or fully automate decision making processes in the justice systems"/>
    <m/>
  </r>
  <r>
    <x v="38"/>
    <x v="0"/>
    <s v="OASys/ Offender Assessment and Sentence Management"/>
    <s v="non-AI"/>
    <n v="2005"/>
    <s v="United Kingdom"/>
    <s v="OASys is a general statistical risk-needs assessment tool, used for both parole (by the Prison Services) and sentencing decisions (by the Probation Services). It focuses on rehabilitation, which in turn reduces recidivism. "/>
    <s v="https://assets.publishing.service.gov.uk/government/uploads/system/uploads/attachment_data/file/491688/oasys-methodology.pdf"/>
    <s v="Internal system, no direct public link available."/>
    <s v="Public authority"/>
    <s v="Functional"/>
    <s v="Court specific"/>
    <s v="Judges/clerks"/>
    <s v="4 - Decision support"/>
    <s v="These solutions facilitate or fully automate decision making processes in the justice systems"/>
    <m/>
  </r>
  <r>
    <x v="38"/>
    <x v="0"/>
    <s v="OASys/ Offender Assessment and Sentence Management"/>
    <s v="non-AI"/>
    <n v="2005"/>
    <s v="United Kingdom"/>
    <s v="OASys is a general statistical risk-needs assessment tool, used for both parole (by the Prison Services) and sentencing decisions (by the Probation Services). It focuses on rehabilitation, which in turn reduces recidivism. "/>
    <s v="https://assets.publishing.service.gov.uk/government/uploads/system/uploads/attachment_data/file/491688/oasys-methodology.pdf"/>
    <s v="Internal system, no direct public link available."/>
    <s v="Public authority"/>
    <s v="Functional"/>
    <s v="Court specific"/>
    <s v="Court users (general public)"/>
    <s v="4 - Decision support"/>
    <s v="These solutions facilitate or fully automate decision making processes in the justice systems"/>
    <m/>
  </r>
  <r>
    <x v="38"/>
    <x v="0"/>
    <s v="OASys/ Offender Assessment and Sentence Management"/>
    <s v="non-AI"/>
    <n v="2005"/>
    <s v="United Kingdom"/>
    <s v="OASys is a general statistical risk-needs assessment tool, used for both parole (by the Prison Services) and sentencing decisions (by the Probation Services). It focuses on rehabilitation, which in turn reduces recidivism. "/>
    <s v="https://assets.publishing.service.gov.uk/government/uploads/system/uploads/attachment_data/file/491688/oasys-methodology.pdf"/>
    <s v="Internal system, no direct public link available."/>
    <s v="Public authority"/>
    <s v="Functional"/>
    <s v="Court specific"/>
    <s v="Management"/>
    <s v="4 - Decision support"/>
    <s v="These solutions facilitate or fully automate decision making processes in the justice systems"/>
    <m/>
  </r>
  <r>
    <x v="39"/>
    <x v="0"/>
    <s v="RITA (Riski-ja tarvearvio) / Finnish Risk and Needs Assessment Form"/>
    <s v="non-AI"/>
    <n v="2006"/>
    <s v="Finland"/>
    <s v="Finland 'translated and adapted' OASys, a  statistical risk-needs assessment tool for parole and sentencing decisions to its needs. It is a semi-structured interview, which gives the person in charge a considerable margin of appreciation when interpreting the results.  "/>
    <s v="https://journals.sagepub.com/doi/10.1177/0093854819848793"/>
    <s v="Internal system, no direct public link available."/>
    <s v="Public authority"/>
    <s v="Functional"/>
    <s v="National"/>
    <s v="Judges/clerks"/>
    <s v="4 - Decision support"/>
    <s v="These solutions facilitate or fully automate decision making processes in the justice systems"/>
    <m/>
  </r>
  <r>
    <x v="39"/>
    <x v="0"/>
    <s v="RITA (Riski-ja tarvearvio) / Finnish Risk and Needs Assessment Form"/>
    <s v="non-AI"/>
    <n v="2006"/>
    <s v="Finland"/>
    <s v="Finland 'translated and adapted' OASys, a  statistical risk-needs assessment tool for parole and sentencing decisions to its needs. It is a semi-structured interview, which gives the person in charge a considerable margin of appreciation when interpreting the results.  "/>
    <s v="https://journals.sagepub.com/doi/10.1177/0093854819848793"/>
    <s v="Internal system, no direct public link available."/>
    <s v="Public authority"/>
    <s v="Functional"/>
    <s v="National"/>
    <s v="Court users (general public)"/>
    <s v="4 - Decision support"/>
    <s v="These solutions facilitate or fully automate decision making processes in the justice systems"/>
    <m/>
  </r>
  <r>
    <x v="39"/>
    <x v="0"/>
    <s v="RITA (Riski-ja tarvearvio) / Finnish Risk and Needs Assessment Form"/>
    <s v="non-AI"/>
    <n v="2006"/>
    <s v="Finland"/>
    <s v="Finland 'translated and adapted' OASys, a  statistical risk-needs assessment tool for parole and sentencing decisions to its needs. It is a semi-structured interview, which gives the person in charge a considerable margin of appreciation when interpreting the results.  "/>
    <s v="https://journals.sagepub.com/doi/10.1177/0093854819848793"/>
    <s v="Internal system, no direct public link available."/>
    <s v="Public authority"/>
    <s v="Functional"/>
    <s v="National"/>
    <s v="Management"/>
    <s v="4 - Decision support"/>
    <s v="These solutions facilitate or fully automate decision making processes in the justice systems"/>
    <m/>
  </r>
  <r>
    <x v="40"/>
    <x v="0"/>
    <s v="Recidive InschattingsSchalen/ RISc - Recidivism Assessment Scales"/>
    <s v="non-AI"/>
    <n v="2004"/>
    <s v="Netherlands"/>
    <s v="RISc is a  statistical risk-needs assessment tool for parole and sentencing decisions. Usually, it is used when an individual is placed under preventive arrest and when the crime severity level is high."/>
    <s v="https://www.cep-probation.org/risk-assessment-the-dutch-way-a-scalable-easy-to-use-tool-for-probation-reports/"/>
    <s v="Internal system, no direct public link available."/>
    <s v="Public authority"/>
    <s v="Functional"/>
    <s v="National"/>
    <s v="Judges/clerks"/>
    <s v="4 - Decision support"/>
    <s v="These solutions facilitate or fully automate decision making processes in the justice systems"/>
    <m/>
  </r>
  <r>
    <x v="40"/>
    <x v="0"/>
    <s v="Recidive InschattingsSchalen/ RISc - Recidivism Assessment Scales"/>
    <s v="non-AI"/>
    <n v="2004"/>
    <s v="Netherlands"/>
    <s v="RISc is a  statistical risk-needs assessment tool for parole and sentencing decisions. Usually, it is used when an individual is placed under preventive arrest and when the crime severity level is high."/>
    <s v="https://www.cep-probation.org/risk-assessment-the-dutch-way-a-scalable-easy-to-use-tool-for-probation-reports/"/>
    <s v="Internal system, no direct public link available."/>
    <s v="Public authority"/>
    <s v="Functional"/>
    <s v="National"/>
    <s v="Court users (general public)"/>
    <s v="4 - Decision support"/>
    <s v="These solutions facilitate or fully automate decision making processes in the justice systems"/>
    <m/>
  </r>
  <r>
    <x v="40"/>
    <x v="0"/>
    <s v="Recidive InschattingsSchalen/ RISc - Recidivism Assessment Scales"/>
    <s v="non-AI"/>
    <n v="2004"/>
    <s v="Netherlands"/>
    <s v="RISc is a  statistical risk-needs assessment tool for parole and sentencing decisions. Usually, it is used when an individual is placed under preventive arrest and when the crime severity level is high."/>
    <s v="https://www.cep-probation.org/risk-assessment-the-dutch-way-a-scalable-easy-to-use-tool-for-probation-reports/"/>
    <s v="Internal system, no direct public link available."/>
    <s v="Public authority"/>
    <s v="Functional"/>
    <s v="National"/>
    <s v="Management"/>
    <s v="4 - Decision support"/>
    <s v="These solutions facilitate or fully automate decision making processes in the justice systems"/>
    <m/>
  </r>
  <r>
    <x v="41"/>
    <x v="0"/>
    <s v="OxRec / Oxford Risk of Recidivism Tool "/>
    <m/>
    <n v="2016"/>
    <s v="Sweden"/>
    <s v="OxRec is a web-based risk calculator for assessing risk of recidivism of prisoners. This tool was developed by the Forensic Psychiatry and Psychology group at the University of Oxford. It was derived and externally validated in Sweden followed by validations in the other countries. It is available in Swedish, Greek, French, Chinese, Russian, Italian, Spanish, Finnish, German, and Polish."/>
    <s v="https://oxrisk.com/home-2-2/"/>
    <s v="https://oxrisk.com/oxrec-9/"/>
    <s v="Academic"/>
    <s v="Functional"/>
    <s v="International"/>
    <s v="Judges/clerks"/>
    <s v="4 - Decision support"/>
    <s v="These solutions facilitate or fully automate decision making processes in the justice systems"/>
    <m/>
  </r>
  <r>
    <x v="41"/>
    <x v="0"/>
    <s v="OxRec / Oxford Risk of Recidivism Tool "/>
    <m/>
    <n v="2016"/>
    <s v="Sweden"/>
    <s v="OxRec is a web-based risk calculator for assessing risk of recidivism of prisoners. This tool was developed by the Forensic Psychiatry and Psychology group at the University of Oxford. It was derived and externally validated in Sweden followed by validations in the other countries. It is available in Swedish, Greek, French, Chinese, Russian, Italian, Spanish, Finnish, German, and Polish."/>
    <s v="https://oxrisk.com/home-2-2/"/>
    <s v="https://oxrisk.com/oxrec-9/"/>
    <s v="Academic"/>
    <s v="Functional"/>
    <s v="International"/>
    <s v="Court users (general public)"/>
    <s v="4 - Decision support"/>
    <s v="These solutions facilitate or fully automate decision making processes in the justice systems"/>
    <m/>
  </r>
  <r>
    <x v="42"/>
    <x v="0"/>
    <s v="RisCanvi / Risk Change protocol"/>
    <s v="AI"/>
    <n v="2009"/>
    <s v="Spain"/>
    <s v="A tool designed by the Catalan prison services and the Group of Advance Studies on Violence at the University of Barcelona. It is used to decide whether inmates can go on prison furlough (when they are allowed to leave the prison for a short period), but also to make choices about moving inmates from one prison to another or about parole (early release). RisCanvi analyzes five different outcomes: violent recidivism, self-inflicted harm, violence with other inmates or inside the facilities, breaking of furlough and recidivism in general."/>
    <s v="https://onlinelibrary.wiley.com/doi/abs/10.1002/9781119184256.ch13 "/>
    <s v="Internal system, no direct public link available."/>
    <s v="Public authority"/>
    <s v="Functional"/>
    <s v="Court specific"/>
    <s v="Management"/>
    <s v="4 - Decision support"/>
    <s v="These solutions facilitate or fully automate decision making processes in the justice systems"/>
    <m/>
  </r>
  <r>
    <x v="42"/>
    <x v="0"/>
    <s v="RisCanvi / Risk Change protocol"/>
    <s v="AI"/>
    <n v="2009"/>
    <s v="Spain"/>
    <s v="A tool designed by the Catalan prison services and the Group of Advance Studies on Violence at the University of Barcelona. It is used to decide whether inmates can go on prison furlough (when they are allowed to leave the prison for a short period), but also to make choices about moving inmates from one prison to another or about parole (early release). RisCanvi analyzes five different outcomes: violent recidivism, self-inflicted harm, violence with other inmates or inside the facilities, breaking of furlough and recidivism in general."/>
    <s v="https://onlinelibrary.wiley.com/doi/abs/10.1002/9781119184256.ch13 "/>
    <s v="Internal system, no direct public link available."/>
    <s v="Public authority"/>
    <s v="Functional"/>
    <s v="Court specific"/>
    <s v="Judges/clerks"/>
    <s v="4 - Decision support"/>
    <s v="These solutions facilitate or fully automate decision making processes in the justice systems"/>
    <m/>
  </r>
  <r>
    <x v="42"/>
    <x v="0"/>
    <s v="RisCanvi / Risk Change protocol"/>
    <s v="AI"/>
    <n v="2009"/>
    <s v="Spain"/>
    <s v="A tool designed by the Catalan prison services and the Group of Advance Studies on Violence at the University of Barcelona. It is used to decide whether inmates can go on prison furlough (when they are allowed to leave the prison for a short period), but also to make choices about moving inmates from one prison to another or about parole (early release). RisCanvi analyzes five different outcomes: violent recidivism, self-inflicted harm, violence with other inmates or inside the facilities, breaking of furlough and recidivism in general."/>
    <s v="https://onlinelibrary.wiley.com/doi/abs/10.1002/9781119184256.ch13 "/>
    <s v="Internal system, no direct public link available."/>
    <s v="Public authority"/>
    <s v="Functional"/>
    <s v="Court specific"/>
    <s v="Court users (general public)"/>
    <s v="4 - Decision support"/>
    <s v="These solutions facilitate or fully automate decision making processes in the justice systems"/>
    <m/>
  </r>
  <r>
    <x v="43"/>
    <x v="0"/>
    <s v="Software zur Bekämpfung von Kinderpornografie / Software to combat child pornography"/>
    <s v="AI"/>
    <n v="2020"/>
    <s v="Germany"/>
    <s v="The system is intended to make it possible to examine data volumes obtained in the course of investigative activities, some of which are considerable, for child pornography material that may be contained therein."/>
    <s v="https://www.bundestag.de/resource/blob/832204/6813d064fab52e9b6d54cbbf5319cea3/WD-7-017-21-pdf-data.pdf"/>
    <s v="Internal system, no direct public link available."/>
    <s v="Public authority"/>
    <s v="Functional"/>
    <s v="National"/>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4"/>
    <x v="0"/>
    <s v="Speech to Text - Legal"/>
    <s v="AI"/>
    <n v="2008"/>
    <s v="Germany"/>
    <s v="Language recognition and dictation software used by the Justizminsterium North Rhine-Westphalia. Dragon Naturally Speaking Legal Edition customised."/>
    <s v="https://www.bundestag.de/resource/blob/832204/6813d064fab52e9b6d54cbbf5319cea3/WD-7-017-21-pdf-data.pdf"/>
    <m/>
    <s v="Public authority"/>
    <s v="Functional"/>
    <s v="Court specific"/>
    <s v="Management"/>
    <s v="7 - Recording, transcription and translation"/>
    <s v="These solutions are capable of recognizing and analysing speech, written text and communicating back. Their main use for courts is in speech recognition and transcription of court proceedings."/>
    <m/>
  </r>
  <r>
    <x v="45"/>
    <x v="0"/>
    <s v="Split-Up "/>
    <s v="AI"/>
    <n v="1995"/>
    <s v="Australia"/>
    <s v="The programme supports family court judges in divorce disputes. It identifies the parties' assets to be divided and, based on a calculation, suggests a percentage that the respective parties should receive."/>
    <s v="https://medium.com/legal-design-and-innovation/ai-goes-to-court-the-growing-landscape-of-ai-for-access-to-justice-3f58aca4306f"/>
    <s v="Internal system, no direct public link available."/>
    <s v="Public authority"/>
    <s v="Functional"/>
    <s v="National"/>
    <s v="Judges/clerks"/>
    <s v="4 - Decision support"/>
    <s v="These solutions facilitate or fully automate decision making processes in the justice systems"/>
    <m/>
  </r>
  <r>
    <x v="45"/>
    <x v="0"/>
    <s v="Split-Up "/>
    <s v="AI"/>
    <n v="1995"/>
    <s v="Australia"/>
    <s v="The programme supports family court judges in divorce disputes. It identifies the parties' assets to be divided and, based on a calculation, suggests a percentage that the respective parties should receive."/>
    <s v="https://medium.com/legal-design-and-innovation/ai-goes-to-court-the-growing-landscape-of-ai-for-access-to-justice-3f58aca4306f"/>
    <s v="Internal system, no direct public link available."/>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6"/>
    <x v="0"/>
    <s v="AI for literature research"/>
    <s v="AI"/>
    <n v="2021"/>
    <s v="Austria"/>
    <s v="The system is analysing the documents in the file management system for legal citations and mentioned cases and links them to the corresponding references in external legal databases. As a result, recognized citations are underlined in the document and by clicking on the link, the legal database is opened at the right spot. Furthermore, a source list structured by types of identified citations (journals, decisions, etc.) is displayed in the sidebar for navigating through the document and any further processing."/>
    <s v="https://www.justiz.gv.at/file/2c94848b6ff7074f017493349cf54406.de.0/it-anwendungen%20in%20der%20%C3%B6sterreichischen%20justiz%20stand%20august%202020.pdf?forcedownload=true"/>
    <s v="Internal system, no direct public link available. "/>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6"/>
    <x v="0"/>
    <s v="AI for literature research"/>
    <s v="AI"/>
    <n v="2021"/>
    <s v="Austria"/>
    <s v="The system is analysing the documents in the file management system for legal citations and mentioned cases and links them to the corresponding references in external legal databases. As a result, recognized citations are underlined in the document and by clicking on the link, the legal database is opened at the right spot. Furthermore, a source list structured by types of identified citations (journals, decisions, etc.) is displayed in the sidebar for navigating through the document and any further processing."/>
    <s v="https://www.justiz.gv.at/file/2c94848b6ff7074f017493349cf54406.de.0/it-anwendungen%20in%20der%20%C3%B6sterreichischen%20justiz%20stand%20august%202020.pdf?forcedownload=true"/>
    <s v="Internal system, no direct public link available. "/>
    <s v="Public authority"/>
    <s v="Functional"/>
    <s v="National"/>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7"/>
    <x v="0"/>
    <s v="EIS / e-Enforcement Information System"/>
    <s v="AI"/>
    <n v="2018"/>
    <s v="Azerbaijan"/>
    <s v="The e-Enforcement Information System is the unique case management system for all enforcement agents, and it is maintained by the Ministry of Justice at a central level. Co-financed by the Ministry of Justice and the World Bank. "/>
    <s v="https://rm.coe.int/recommendations-on-ict-solutions-in-enforcement-eng/1680a31561"/>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47"/>
    <x v="0"/>
    <s v="EIS / e-Enforcement Information System"/>
    <s v="AI"/>
    <n v="2018"/>
    <s v="Azerbaijan"/>
    <s v="The e-Enforcement Information System is the unique case management system for all enforcement agents, and it is maintained by the Ministry of Justice at a central level. Co-financed by the Ministry of Justice and the World Bank. "/>
    <s v="https://rm.coe.int/recommendations-on-ict-solutions-in-enforcement-eng/1680a31561"/>
    <s v="Internal system, no direct public link available."/>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48"/>
    <x v="0"/>
    <s v="ADELE / Analytics for DEcision of LEgal Cases"/>
    <s v="AI"/>
    <n v="2023"/>
    <s v="Italy"/>
    <s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
    <m/>
    <s v="https://adele-tool.eu"/>
    <s v="Academic"/>
    <s v="Pilot/Beta version"/>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8"/>
    <x v="0"/>
    <s v="ADELE / Analytics for DEcision of LEgal Cases"/>
    <s v="AI"/>
    <n v="2023"/>
    <s v="Italy"/>
    <s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
    <m/>
    <s v="https://adele-tool.eu"/>
    <s v="Academic"/>
    <s v="Pilot/Beta version"/>
    <s v="National"/>
    <s v="Judges/clerks"/>
    <s v="4 - Decision support"/>
    <s v="These solutions facilitate or fully automate decision making processes in the justice systems"/>
    <m/>
  </r>
  <r>
    <x v="48"/>
    <x v="0"/>
    <s v="ADELE / Analytics for DEcision of LEgal Cases"/>
    <s v="AI"/>
    <n v="2023"/>
    <s v="Italy"/>
    <s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
    <m/>
    <s v="https://adele-tool.eu"/>
    <s v="Academic"/>
    <s v="Pilot/Beta version"/>
    <s v="National"/>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8"/>
    <x v="0"/>
    <s v="ADELE / Analytics for DEcision of LEgal Cases"/>
    <s v="AI"/>
    <n v="2023"/>
    <s v="Italy"/>
    <s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
    <m/>
    <s v="https://adele-tool.eu"/>
    <s v="Academic"/>
    <s v="Pilot/Beta version"/>
    <s v="National"/>
    <s v="Management"/>
    <s v="4 - Decision support"/>
    <s v="These solutions facilitate or fully automate decision making processes in the justice systems"/>
    <m/>
  </r>
  <r>
    <x v="48"/>
    <x v="0"/>
    <s v="ADELE / Analytics for DEcision of LEgal Cases"/>
    <s v="AI"/>
    <n v="2023"/>
    <s v="Italy"/>
    <s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
    <m/>
    <s v="https://adele-tool.eu"/>
    <s v="Academic"/>
    <s v="Pilot/Beta version"/>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48"/>
    <x v="0"/>
    <s v="ADELE / Analytics for DEcision of LEgal Cases"/>
    <s v="AI"/>
    <n v="2023"/>
    <s v="Italy"/>
    <s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
    <m/>
    <s v="https://adele-tool.eu"/>
    <s v="Academic"/>
    <s v="Pilot/Beta version"/>
    <s v="National"/>
    <s v="Court users (general public)"/>
    <s v="4 - Decision support"/>
    <s v="These solutions facilitate or fully automate decision making processes in the justice systems"/>
    <m/>
  </r>
  <r>
    <x v="49"/>
    <x v="0"/>
    <s v="Automatic validator of documents authenticity for online nationality applications"/>
    <s v="AI"/>
    <n v="2022"/>
    <s v="Portugal"/>
    <s v="A tool that allows the automatic validation of the documents required for the nationality application. In Portugal, nationality application processes require a significant number of documents, which are currently delivered on paper and checked manually. Such tasks demand a high number of working hours for many employees of the Institute of Registries and Notary (IRN). This automatic validator makes possible the optimization and complete dematerialization of the procedure, increasing efficiency and responsiveness given the increasing number of new requests."/>
    <m/>
    <s v="https://govtech.justica.gov.pt/en/portfolio/automatic-validator-of-documents-authenticity-for-online-nationality-applications/"/>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49"/>
    <x v="0"/>
    <s v="Automatic validator of documents authenticity for online nationality applications"/>
    <s v="AI"/>
    <n v="2022"/>
    <s v="Portugal"/>
    <s v="A tool that allows the automatic validation of the documents required for the nationality application. In Portugal, nationality application processes require a significant number of documents, which are currently delivered on paper and checked manually. Such tasks demand a high number of working hours for many employees of the Institute of Registries and Notary (IRN). This automatic validator makes possible the optimization and complete dematerialization of the procedure, increasing efficiency and responsiveness given the increasing number of new requests."/>
    <m/>
    <s v="https://govtech.justica.gov.pt/en/portfolio/automatic-validator-of-documents-authenticity-for-online-nationality-applications/"/>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0"/>
    <x v="0"/>
    <s v="Module d'anonymisation open data des décisions de justice/Anonymization of Court decisions"/>
    <s v="AI"/>
    <n v="2021"/>
    <s v="France"/>
    <s v="Anonymization of personal data before publishing court decisions in open data format."/>
    <m/>
    <s v="https://www.courdecassation.fr/acces-rapide-judilibre/open-data-et-api"/>
    <s v="Public authority"/>
    <s v="Functional"/>
    <s v="National"/>
    <s v="Management"/>
    <s v="5 - Anonymisation and pseudonymisation"/>
    <s v="These solutions are used for removing identifying information such as personal data of court users"/>
    <m/>
  </r>
  <r>
    <x v="50"/>
    <x v="0"/>
    <s v="Module d'anonymisation open data des décisions de justice/Anonymization of Court decisions"/>
    <s v="AI"/>
    <n v="2021"/>
    <s v="France"/>
    <s v="Anonymization of personal data before publishing court decisions in open data format."/>
    <m/>
    <s v="https://www.courdecassation.fr/acces-rapide-judilibre/open-data-et-api"/>
    <s v="Public authority"/>
    <s v="Functional"/>
    <s v="National"/>
    <s v="Judges/clerks"/>
    <s v="5 - Anonymisation and pseudonymisation"/>
    <s v="These solutions are used for removing identifying information such as personal data of court users"/>
    <m/>
  </r>
  <r>
    <x v="51"/>
    <x v="0"/>
    <s v="Module d'orientation des pourvois / Appeal referral module"/>
    <s v="AI "/>
    <n v="2021"/>
    <s v="France"/>
    <s v="Automatic referral module of appeals between the Chambers of the Court of Cassation. "/>
    <m/>
    <s v=" https://www.vie-publique.fr/parole-dexpert/278415-la-cour-de-cassation-face-au-numerique-et-lintelligence-artificielle_x000a_"/>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1"/>
    <x v="0"/>
    <s v="Module d'orientation des pourvois / Appeal referral module"/>
    <s v="AI "/>
    <n v="2021"/>
    <s v="France"/>
    <s v="Automatic referral module of appeals between the Chambers of the Court of Cassation. "/>
    <m/>
    <s v=" https://www.vie-publique.fr/parole-dexpert/278415-la-cour-de-cassation-face-au-numerique-et-lintelligence-artificielle_x000a_"/>
    <s v="Public authority"/>
    <s v="Functional"/>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2"/>
    <x v="0"/>
    <s v="Prometea"/>
    <s v="AI"/>
    <n v="2017"/>
    <s v="Argentina"/>
    <s v="Prometea aims at predicting outcomes of court cases and identifying urgent cases within large volumes of files. It was developed by the University and the Public Prosecutor's Office of Buenos Aires with the main goal of accelerating bureaucratic processes and free up time for the analysis of complex cases."/>
    <m/>
    <s v="https://ceridap.eu/prometea-experience-using-ai-to-optimize-public-institutions/?lng=en"/>
    <s v="Public authority"/>
    <s v="Functional"/>
    <s v="Regional"/>
    <s v="Prosecutors/clerks"/>
    <s v="4 - Decision support"/>
    <s v="These solutions facilitate or fully automate decision making processes in the justice systems"/>
    <m/>
  </r>
  <r>
    <x v="52"/>
    <x v="0"/>
    <s v="Prometea"/>
    <s v="AI"/>
    <n v="2017"/>
    <s v="Argentina"/>
    <s v="Prometea aims at predicting outcomes of court cases and identifying urgent cases within large volumes of files. It was developed by the University and the Public Prosecutor's Office of Buenos Aires with the main goal of accelerating bureaucratic processes and free up time for the analysis of complex cases."/>
    <m/>
    <s v="https://ceridap.eu/prometea-experience-using-ai-to-optimize-public-institutions/?lng=en"/>
    <s v="Public authority"/>
    <s v="Functional"/>
    <s v="Regional"/>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3"/>
    <x v="0"/>
    <s v="Översättningsappen / The translation app "/>
    <s v="AI"/>
    <n v="2022"/>
    <s v="Sweden"/>
    <s v="An application that translates text to more than 60 languages, using AI. It is specialized in legal language. It is  used to trasncribe and translate court hearings."/>
    <m/>
    <s v="Internal system, no direct public link available."/>
    <s v="Public authority"/>
    <s v="Functional"/>
    <s v="National"/>
    <s v="Judges/clerks"/>
    <s v="7 - Recording, transcription and translation"/>
    <s v="These solutions are capable of recognizing and analysing speech, written text and communicating back. Their main use for courts is in speech recognition and transcription of court proceedings."/>
    <m/>
  </r>
  <r>
    <x v="53"/>
    <x v="0"/>
    <s v="Översättningsappen / The translation app "/>
    <s v="AI"/>
    <n v="2022"/>
    <s v="Sweden"/>
    <s v="An application that translates text to more than 60 languages, using AI. It is specialized in legal language. It is  used to trasncribe and translate court hearings."/>
    <m/>
    <s v="Internal system, no direct public link available."/>
    <s v="Public authority"/>
    <s v="Functional"/>
    <s v="National"/>
    <s v="Management"/>
    <s v="7 - Recording, transcription and translation"/>
    <s v="These solutions are capable of recognizing and analysing speech, written text and communicating back. Their main use for courts is in speech recognition and transcription of court proceedings."/>
    <m/>
  </r>
  <r>
    <x v="54"/>
    <x v="0"/>
    <s v="MKMKIS / Information System for Payment Order Procedure"/>
    <s v="non-AI"/>
    <n v="2006"/>
    <s v="Estonia"/>
    <s v="Information System for Payment Order Procedure (MKMKIS) allows to largely automatize the payment order procedure. "/>
    <m/>
    <s v="Internal system, no direct public link available."/>
    <s v="Public authority"/>
    <s v="Functional"/>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4"/>
    <x v="0"/>
    <s v="MKMKIS / Information System for Payment Order Procedure"/>
    <s v="non-AI"/>
    <n v="2006"/>
    <s v="Estonia"/>
    <s v="Information System for Payment Order Procedure (MKMKIS) allows to largely automatize the payment order procedure. "/>
    <m/>
    <s v="Internal system, no direct public link available."/>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5"/>
    <x v="0"/>
    <s v="Voice Recording and Transcription Software"/>
    <s v="AI"/>
    <n v="2023"/>
    <s v="Estonia"/>
    <s v="This Voice recording and transcription software is used in court hearings for the automated transcription of minutes (voice recognition is being implemented since 2023)."/>
    <m/>
    <s v="Internal system, no direct public link available."/>
    <s v="Public authority"/>
    <s v="Pilot/Beta version"/>
    <s v="National"/>
    <s v="Management"/>
    <s v="7 - Recording, transcription and translation"/>
    <s v="These solutions are capable of recognizing and analysing speech, written text and communicating back. Their main use for courts is in speech recognition and transcription of court proceedings."/>
    <m/>
  </r>
  <r>
    <x v="55"/>
    <x v="0"/>
    <s v="Voice Recording and Transcription Software"/>
    <s v="AI"/>
    <n v="2023"/>
    <s v="Estonia"/>
    <s v="This Voice recording and transcription software is used in court hearings for the automated transcription of minutes (voice recognition is being implemented since 2023)."/>
    <m/>
    <s v="Internal system, no direct public link available."/>
    <s v="Public authority"/>
    <s v="Pilot/Beta version"/>
    <s v="National"/>
    <s v="Judges/clerks"/>
    <s v="7 - Recording, transcription and translation"/>
    <s v="These solutions are capable of recognizing and analysing speech, written text and communicating back. Their main use for courts is in speech recognition and transcription of court proceedings."/>
    <m/>
  </r>
  <r>
    <x v="55"/>
    <x v="0"/>
    <s v="Voice Recording and Transcription Software"/>
    <s v="AI"/>
    <n v="2023"/>
    <s v="Estonia"/>
    <s v="This Voice recording and transcription software is used in court hearings for the automated transcription of minutes (voice recognition is being implemented since 2023)."/>
    <m/>
    <s v="Internal system, no direct public link available."/>
    <s v="Public authority"/>
    <s v="Pilot/Beta version"/>
    <s v="National"/>
    <s v="Court users (general public)"/>
    <s v="7 - Recording, transcription and translation"/>
    <s v="These solutions are capable of recognizing and analysing speech, written text and communicating back. Their main use for courts is in speech recognition and transcription of court proceedings."/>
    <m/>
  </r>
  <r>
    <x v="56"/>
    <x v="0"/>
    <s v="OLGA - Oberlandesgerichtsassistent / Regional Court Assistant"/>
    <s v="AI"/>
    <n v="2022"/>
    <s v="Germany"/>
    <s v="The AI based system helps to analyse and classify applications according to the facts. As of October 2022, there are currently more than 13,000 diesel cases pending at the Higher Regional Court (concerning false exhaust emissions values). According to the Ministry, the complaints are often more than 100-pages long. "/>
    <m/>
    <s v="https://www.swr.de/swraktuell/baden-wuerttemberg/stuttgart/olg-stuttgart-mit-ki-gegen-flut-von-dieselklagen-100.html"/>
    <s v="Public authority"/>
    <s v="Functional"/>
    <s v="Court specific"/>
    <s v="Judges/clerks"/>
    <s v="4 - Decision support"/>
    <s v="These solutions facilitate or fully automate decision making processes in the justice systems"/>
    <m/>
  </r>
  <r>
    <x v="56"/>
    <x v="0"/>
    <s v="OLGA - Oberlandesgerichtsassistent / Regional Court Assistant"/>
    <s v="AI"/>
    <n v="2022"/>
    <s v="Germany"/>
    <s v="The AI based system helps to analyse and classify applications according to the facts. As of October 2022, there are currently more than 13,000 diesel cases pending at the Higher Regional Court (concerning false exhaust emissions values). According to the Ministry, the complaints are often more than 100-pages long. "/>
    <m/>
    <s v="https://www.swr.de/swraktuell/baden-wuerttemberg/stuttgart/olg-stuttgart-mit-ki-gegen-flut-von-dieselklagen-100.html"/>
    <s v="Public authority"/>
    <s v="Functional"/>
    <s v="Court specific"/>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6"/>
    <x v="0"/>
    <s v="OLGA - Oberlandesgerichtsassistent / Regional Court Assistant"/>
    <s v="AI"/>
    <n v="2022"/>
    <s v="Germany"/>
    <s v="The AI based system helps to analyse and classify applications according to the facts. As of October 2022, there are currently more than 13,000 diesel cases pending at the Higher Regional Court (concerning false exhaust emissions values). According to the Ministry, the complaints are often more than 100-pages long. "/>
    <m/>
    <s v="https://www.swr.de/swraktuell/baden-wuerttemberg/stuttgart/olg-stuttgart-mit-ki-gegen-flut-von-dieselklagen-100.html"/>
    <s v="Public authority"/>
    <s v="Functional"/>
    <s v="Court specific"/>
    <s v="Management"/>
    <s v="4 - Decision support"/>
    <s v="These solutions facilitate or fully automate decision making processes in the justice systems"/>
    <m/>
  </r>
  <r>
    <x v="56"/>
    <x v="0"/>
    <s v="OLGA - Oberlandesgerichtsassistent / Regional Court Assistant"/>
    <s v="AI"/>
    <n v="2022"/>
    <s v="Germany"/>
    <s v="The AI based system helps to analyse and classify applications according to the facts. As of October 2022, there are currently more than 13,000 diesel cases pending at the Higher Regional Court (concerning false exhaust emissions values). According to the Ministry, the complaints are often more than 100-pages long. "/>
    <m/>
    <s v="https://www.swr.de/swraktuell/baden-wuerttemberg/stuttgart/olg-stuttgart-mit-ki-gegen-flut-von-dieselklagen-100.html"/>
    <s v="Public authority"/>
    <s v="Functional"/>
    <s v="Court specific"/>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7"/>
    <x v="0"/>
    <s v="AI for entity identification"/>
    <s v="AI"/>
    <n v="2023"/>
    <s v="Austria"/>
    <s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
    <m/>
    <s v="Internal system, no direct public link available."/>
    <s v="Public authority"/>
    <s v="Functional"/>
    <s v="National"/>
    <s v="Judges/clerks"/>
    <s v="4 - Decision support"/>
    <s v="These solutions facilitate or fully automate decision making processes in the justice systems"/>
    <m/>
  </r>
  <r>
    <x v="57"/>
    <x v="0"/>
    <s v="AI for entity identification"/>
    <s v="AI"/>
    <n v="2023"/>
    <s v="Austria"/>
    <s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
    <m/>
    <s v="Internal system, no direct public link available."/>
    <s v="Public authority"/>
    <s v="Functional"/>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7"/>
    <x v="0"/>
    <s v="AI for entity identification"/>
    <s v="AI"/>
    <n v="2023"/>
    <s v="Austria"/>
    <s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
    <m/>
    <s v="Internal system, no direct public link available."/>
    <s v="Public authority"/>
    <s v="Functional"/>
    <s v="National"/>
    <s v="Management"/>
    <s v="4 - Decision support"/>
    <s v="These solutions facilitate or fully automate decision making processes in the justice systems"/>
    <m/>
  </r>
  <r>
    <x v="57"/>
    <x v="0"/>
    <s v="AI for entity identification"/>
    <s v="AI"/>
    <n v="2023"/>
    <s v="Austria"/>
    <s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
    <m/>
    <s v="Internal system, no direct public link available."/>
    <s v="Public authority"/>
    <s v="Functional"/>
    <s v="National"/>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7"/>
    <x v="0"/>
    <s v="AI for entity identification"/>
    <s v="AI"/>
    <n v="2023"/>
    <s v="Austria"/>
    <s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
    <m/>
    <s v="Internal system, no direct public link available."/>
    <s v="Public authority"/>
    <s v="Functional"/>
    <s v="National"/>
    <s v="Court users (general public)"/>
    <s v="4 - Decision support"/>
    <s v="These solutions facilitate or fully automate decision making processes in the justice systems"/>
    <m/>
  </r>
  <r>
    <x v="57"/>
    <x v="0"/>
    <s v="AI for entity identification"/>
    <s v="AI"/>
    <n v="2023"/>
    <s v="Austria"/>
    <s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
    <m/>
    <s v="Internal system, no direct public link available."/>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8"/>
    <x v="0"/>
    <s v="ChatGPT"/>
    <s v="AI"/>
    <n v="2023"/>
    <s v="USA"/>
    <s v="ChatGPT is a publicly accessible generative AI system that has been used by legal professionals in their work (even though, it is not specifically designed for the legal sector)."/>
    <m/>
    <s v="https://openai.com/blog/chatgpt"/>
    <s v="Private provider"/>
    <s v="Functional"/>
    <s v="Local "/>
    <s v="Court users (general public)"/>
    <s v="8 - Information and assistance services"/>
    <s v="These solutions provide individuals with information on services available in the justice systems and links individuals to the services and opportunities that are available"/>
    <m/>
  </r>
  <r>
    <x v="58"/>
    <x v="0"/>
    <s v="ChatGPT"/>
    <s v="AI"/>
    <n v="2023"/>
    <s v="USA"/>
    <s v="ChatGPT is a publicly accessible generative AI system that has been used by legal professionals in their work (even though, it is not specifically designed for the legal sector)."/>
    <m/>
    <s v="https://openai.com/blog/chatgpt"/>
    <s v="Private provider"/>
    <s v="Functional"/>
    <s v="Local "/>
    <s v="Court users (general public)"/>
    <s v="4 - Decision support"/>
    <s v="These solutions facilitate or fully automate decision making processes in the justice systems"/>
    <m/>
  </r>
  <r>
    <x v="58"/>
    <x v="0"/>
    <s v="ChatGPT"/>
    <s v="AI"/>
    <n v="2023"/>
    <s v="USA"/>
    <s v="ChatGPT is a publicly accessible generative AI system that has been used by legal professionals in their work (even though, it is not specifically designed for the legal sector)."/>
    <m/>
    <s v="https://openai.com/blog/chatgpt"/>
    <s v="Private provider"/>
    <s v="Functional"/>
    <s v="Local "/>
    <s v="Lawyers"/>
    <s v="8 - Information and assistance services"/>
    <s v="These solutions provide individuals with information on services available in the justice systems and links individuals to the services and opportunities that are available"/>
    <m/>
  </r>
  <r>
    <x v="58"/>
    <x v="0"/>
    <s v="ChatGPT"/>
    <s v="AI"/>
    <n v="2023"/>
    <s v="USA"/>
    <s v="ChatGPT is a publicly accessible generative AI system that has been used by legal professionals in their work (even though, it is not specifically designed for the legal sector)."/>
    <m/>
    <s v="https://openai.com/blog/chatgpt"/>
    <s v="Private provider"/>
    <s v="Functional"/>
    <s v="Local "/>
    <s v="Lawyers"/>
    <s v="4 - Decision support"/>
    <s v="These solutions facilitate or fully automate decision making processes in the justice systems"/>
    <m/>
  </r>
  <r>
    <x v="58"/>
    <x v="0"/>
    <s v="ChatGPT"/>
    <s v="AI"/>
    <n v="2023"/>
    <s v="USA"/>
    <s v="ChatGPT is a publicly accessible generative AI system that has been used by legal professionals in their work (even though, it is not specifically designed for the legal sector)."/>
    <m/>
    <s v="https://openai.com/blog/chatgpt"/>
    <s v="Private provider"/>
    <s v="Functional"/>
    <s v="Local "/>
    <s v="Judges/clerks"/>
    <s v="8 - Information and assistance services"/>
    <s v="These solutions provide individuals with information on services available in the justice systems and links individuals to the services and opportunities that are available"/>
    <m/>
  </r>
  <r>
    <x v="58"/>
    <x v="0"/>
    <s v="ChatGPT"/>
    <s v="AI"/>
    <n v="2023"/>
    <s v="USA"/>
    <s v="ChatGPT is a publicly accessible generative AI system that has been used by legal professionals in their work (even though, it is not specifically designed for the legal sector)."/>
    <m/>
    <s v="https://openai.com/blog/chatgpt"/>
    <s v="Private provider"/>
    <s v="Functional"/>
    <s v="Local "/>
    <s v="Judges/clerks"/>
    <s v="4 - Decision support"/>
    <s v="These solutions facilitate or fully automate decision making processes in the justice systems"/>
    <m/>
  </r>
  <r>
    <x v="59"/>
    <x v="0"/>
    <s v="Codefy"/>
    <s v="AI"/>
    <n v="2022"/>
    <s v="Germany"/>
    <s v="AI-supported structuring of documents - in particular lawyers' briefs - and  assisting in recording, organising and assessing these materials. Used by the Landgericht Hechingen."/>
    <m/>
    <s v="https://www.baden-wuerttemberg.de/de/service/presse/pressemitteilung/pid/kuenstliche-intelligenz-in-der-justiz/"/>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9"/>
    <x v="0"/>
    <s v="Codefy"/>
    <s v="AI"/>
    <n v="2022"/>
    <s v="Germany"/>
    <s v="AI-supported structuring of documents - in particular lawyers' briefs - and  assisting in recording, organising and assessing these materials. Used by the Landgericht Hechingen."/>
    <m/>
    <s v="https://www.baden-wuerttemberg.de/de/service/presse/pressemitteilung/pid/kuenstliche-intelligenz-in-der-justiz/"/>
    <s v="Public authority"/>
    <s v="Pilot/Beta version"/>
    <s v="Court specific"/>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9"/>
    <x v="0"/>
    <s v="Codefy"/>
    <s v="AI"/>
    <n v="2022"/>
    <s v="Germany"/>
    <s v="AI-supported structuring of documents - in particular lawyers' briefs - and  assisting in recording, organising and assessing these materials. Used by the Landgericht Hechingen."/>
    <m/>
    <s v="https://www.baden-wuerttemberg.de/de/service/presse/pressemitteilung/pid/kuenstliche-intelligenz-in-der-justiz/"/>
    <s v="Public authority"/>
    <s v="Pilot/Beta version"/>
    <s v="Court specific"/>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9"/>
    <x v="0"/>
    <s v="Codefy"/>
    <s v="AI"/>
    <n v="2022"/>
    <s v="Germany"/>
    <s v="AI-supported structuring of documents - in particular lawyers' briefs - and  assisting in recording, organising and assessing these materials. Used by the Landgericht Hechingen."/>
    <m/>
    <s v="https://www.baden-wuerttemberg.de/de/service/presse/pressemitteilung/pid/kuenstliche-intelligenz-in-der-justiz/"/>
    <s v="Public authority"/>
    <s v="Pilot/Beta version"/>
    <s v="Court specific"/>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59"/>
    <x v="0"/>
    <s v="Codefy"/>
    <s v="AI"/>
    <n v="2022"/>
    <s v="Germany"/>
    <s v="AI-supported structuring of documents - in particular lawyers' briefs - and  assisting in recording, organising and assessing these materials. Used by the Landgericht Hechingen."/>
    <m/>
    <s v="https://www.baden-wuerttemberg.de/de/service/presse/pressemitteilung/pid/kuenstliche-intelligenz-in-der-justiz/"/>
    <s v="Public authority"/>
    <s v="Pilot/Beta version"/>
    <s v="Court specific"/>
    <s v="Lawyer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59"/>
    <x v="0"/>
    <s v="Codefy"/>
    <s v="AI"/>
    <n v="2022"/>
    <s v="Germany"/>
    <s v="AI-supported structuring of documents - in particular lawyers' briefs - and  assisting in recording, organising and assessing these materials. Used by the Landgericht Hechingen."/>
    <m/>
    <s v="https://www.baden-wuerttemberg.de/de/service/presse/pressemitteilung/pid/kuenstliche-intelligenz-in-der-justiz/"/>
    <s v="Public authority"/>
    <s v="Pilot/Beta version"/>
    <s v="Court specific"/>
    <s v="Lawyer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60"/>
    <x v="0"/>
    <s v="Legal Analytics"/>
    <s v="AI"/>
    <n v="2020"/>
    <s v="Germany"/>
    <s v="Data protection compliant automated anonymization of judicial decisions."/>
    <m/>
    <s v="https://www.bundestag.de/resource/blob/832204/6813d064fab52e9b6d54cbbf5319cea3/WD-7-017-21-pdf-data.pdf"/>
    <s v="Public authority"/>
    <s v="Pilot/Beta version"/>
    <s v="Court specific"/>
    <s v="Management"/>
    <s v="5 - Anonymisation and pseudonymisation"/>
    <s v="These solutions are used for removing identifying information such as personal data of court users"/>
    <m/>
  </r>
  <r>
    <x v="60"/>
    <x v="0"/>
    <s v="Legal Analytics"/>
    <s v="AI"/>
    <n v="2020"/>
    <s v="Germany"/>
    <s v="Data protection compliant automated anonymization of judicial decisions."/>
    <m/>
    <s v="https://www.bundestag.de/resource/blob/832204/6813d064fab52e9b6d54cbbf5319cea3/WD-7-017-21-pdf-data.pdf"/>
    <s v="Public authority"/>
    <s v="Pilot/Beta version"/>
    <s v="Court specific"/>
    <s v="Judges/clerks"/>
    <s v="5 - Anonymisation and pseudonymisation"/>
    <s v="These solutions are used for removing identifying information such as personal data of court users"/>
    <m/>
  </r>
  <r>
    <x v="60"/>
    <x v="0"/>
    <s v="Legal Analytics"/>
    <s v="AI"/>
    <n v="2020"/>
    <s v="Germany"/>
    <s v="Data protection compliant automated anonymization of judicial decisions."/>
    <m/>
    <s v="https://www.bundestag.de/resource/blob/832204/6813d064fab52e9b6d54cbbf5319cea3/WD-7-017-21-pdf-data.pdf"/>
    <s v="Public authority"/>
    <s v="Pilot/Beta version"/>
    <s v="Court specific"/>
    <s v="Court users (general public)"/>
    <s v="5 - Anonymisation and pseudonymisation"/>
    <s v="These solutions are used for removing identifying information such as personal data of court users"/>
    <m/>
  </r>
  <r>
    <x v="61"/>
    <x v="0"/>
    <s v="Smart - Erfassung von bei Gericht eingereichten elektronischen Dokumenten / Recording of electronic documents filed with the court"/>
    <s v="AI"/>
    <n v="2020"/>
    <s v="Germany"/>
    <s v="Automated reading of legally relevant information from electronic documents. Recording of electronic documents filed with the court."/>
    <m/>
    <s v="https://www.bundestag.de/resource/blob/832204/6813d064fab52e9b6d54cbbf5319cea3/WD-7-017-21-pdf-data.pdf"/>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61"/>
    <x v="0"/>
    <s v="Smart - Erfassung von bei Gericht eingereichten elektronischen Dokumenten / Recording of electronic documents filed with the court"/>
    <s v="AI"/>
    <n v="2020"/>
    <s v="Germany"/>
    <s v="Automated reading of legally relevant information from electronic documents. Recording of electronic documents filed with the court."/>
    <m/>
    <s v="https://www.bundestag.de/resource/blob/832204/6813d064fab52e9b6d54cbbf5319cea3/WD-7-017-21-pdf-data.pdf"/>
    <s v="Public authority"/>
    <s v="Pilot/Beta version"/>
    <s v="Court specific"/>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62"/>
    <x v="0"/>
    <s v="Videoüberwachung für den Justizvollzug / Video surveillance for the prison system"/>
    <s v="AI"/>
    <n v="2019"/>
    <s v="Germany"/>
    <s v="Video surveillance for the prison system. The programme is designed to automatically detect situations that indicate a suicide attempt by inmates and alert correctional officers in time to enable rescue measures."/>
    <m/>
    <s v="https://www.bundestag.de/resource/blob/832204/6813d064fab52e9b6d54cbbf5319cea3/WD-7-017-21-pdf-data.pdf"/>
    <s v="Public authority"/>
    <s v="Pilot/Beta version"/>
    <s v="Court specific"/>
    <s v="Court users (general public)"/>
    <s v="4 - Decision support"/>
    <s v="These solutions facilitate or fully automate decision making processes in the justice systems"/>
    <m/>
  </r>
  <r>
    <x v="62"/>
    <x v="0"/>
    <s v="Videoüberwachung für den Justizvollzug / Video surveillance for the prison system"/>
    <s v="AI"/>
    <n v="2019"/>
    <s v="Germany"/>
    <s v="Video surveillance for the prison system. The programme is designed to automatically detect situations that indicate a suicide attempt by inmates and alert correctional officers in time to enable rescue measures."/>
    <m/>
    <s v="https://www.bundestag.de/resource/blob/832204/6813d064fab52e9b6d54cbbf5319cea3/WD-7-017-21-pdf-data.pdf"/>
    <s v="Public authority"/>
    <s v="Pilot/Beta version"/>
    <s v="Court specific"/>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63"/>
    <x v="0"/>
    <s v="Practical Guide to Justice"/>
    <s v="AI"/>
    <n v="2023"/>
    <s v="Portugal"/>
    <s v="Development of an advanced language model with machine learning, which informs citizens and businesses about the tools and services that justice provides to respond to their needs._x000a_It is trained from information already made available by the various judicial bodies. Its objective is not to create information, but rather to make available, in a natural conversation, the necessary information to answer the user’s questions. Whether it is a short or long conversation, the Practical Guide to Justice is able to understand the user’s needs and doubts, without, however, having the need to keep any personal information from the user._x000a_The first version of this guide focuses on matters of marriage, divorce and companies 2.0."/>
    <s v="https://govtech.justica.gov.pt/en/portfolio/practical-guide-to-justice-ongoing/"/>
    <s v="https://justica.gov.pt/Servicos/Guia-pratico-da-Justica-Versao-Beta"/>
    <s v="Public authority"/>
    <s v="Functional"/>
    <s v="National"/>
    <s v="Court users (general public)"/>
    <s v="8 - Information and assistance services"/>
    <s v="These solutions provide individuals with information on services available in the justice systems and links individuals to the services and opportunities that are available"/>
    <m/>
  </r>
  <r>
    <x v="64"/>
    <x v="0"/>
    <s v="Gina/Jury Bot"/>
    <s v="AI"/>
    <n v="2016"/>
    <s v="USA"/>
    <s v="Gina is an online assistant designed for the Superior Court of Los Angeles County. It assists people with their traffic tickets. The system uses ML translation services, and natural language understanding. It assists more than 5,000 citizens each week and speaks six languages (English, Spanish, Armenian, Chinese, Korean, and Vietnamese). "/>
    <s v="https://unesdoc.unesco.org/ark:/48223/pf0000387331"/>
    <s v="https://ww2.lacourt.org/traffic/ui/trafficOS.aspx?s=1&amp;language=1"/>
    <s v="Public authority"/>
    <s v="Functional"/>
    <s v="Regional"/>
    <s v="Management"/>
    <s v="2 - Online Dispute Resolution"/>
    <m/>
    <m/>
  </r>
  <r>
    <x v="64"/>
    <x v="0"/>
    <s v="Gina/Jury Bot"/>
    <s v="AI"/>
    <n v="2016"/>
    <s v="USA"/>
    <s v="Gina is an online assistant designed for the Superior Court of Los Angeles County. It assists people with their traffic tickets. The system uses ML translation services, and natural language understanding. It assists more than 5,000 citizens each week and speaks six languages (English, Spanish, Armenian, Chinese, Korean, and Vietnamese). "/>
    <s v="https://unesdoc.unesco.org/ark:/48223/pf0000387331"/>
    <s v="https://ww2.lacourt.org/traffic/ui/trafficOS.aspx?s=1&amp;language=1"/>
    <s v="Public authority"/>
    <s v="Functional"/>
    <s v="Regional"/>
    <s v="Management"/>
    <s v="8 - Information and assistance services"/>
    <s v="These solutions provide individuals with information on services available in the justice systems and links individuals to the services and opportunities that are available"/>
    <m/>
  </r>
  <r>
    <x v="64"/>
    <x v="0"/>
    <s v="Gina/Jury Bot"/>
    <s v="AI"/>
    <n v="2016"/>
    <s v="USA"/>
    <s v="Gina is an online assistant designed for the Superior Court of Los Angeles County. It assists people with their traffic tickets. The system uses ML translation services, and natural language understanding. It assists more than 5,000 citizens each week and speaks six languages (English, Spanish, Armenian, Chinese, Korean, and Vietnamese). "/>
    <s v="https://unesdoc.unesco.org/ark:/48223/pf0000387331"/>
    <s v="https://ww2.lacourt.org/traffic/ui/trafficOS.aspx?s=1&amp;language=1"/>
    <s v="Public authority"/>
    <s v="Functional"/>
    <s v="Regional"/>
    <s v="Court users (general public)"/>
    <s v="2 - Online Dispute Resolution"/>
    <m/>
    <m/>
  </r>
  <r>
    <x v="64"/>
    <x v="0"/>
    <s v="Gina/Jury Bot"/>
    <s v="AI"/>
    <n v="2016"/>
    <s v="USA"/>
    <s v="Gina is an online assistant designed for the Superior Court of Los Angeles County. It assists people with their traffic tickets. The system uses ML translation services, and natural language understanding. It assists more than 5,000 citizens each week and speaks six languages (English, Spanish, Armenian, Chinese, Korean, and Vietnamese). "/>
    <s v="https://unesdoc.unesco.org/ark:/48223/pf0000387331"/>
    <s v="https://ww2.lacourt.org/traffic/ui/trafficOS.aspx?s=1&amp;language=1"/>
    <s v="Public authority"/>
    <s v="Functional"/>
    <s v="Regional"/>
    <s v="Court users (general public)"/>
    <s v="8 - Information and assistance services"/>
    <s v="These solutions provide individuals with information on services available in the justice systems and links individuals to the services and opportunities that are available"/>
    <m/>
  </r>
  <r>
    <x v="65"/>
    <x v="0"/>
    <s v="SUVAS/The Vidhik Anuvaad Software "/>
    <s v="AI"/>
    <n v="2019"/>
    <s v="India"/>
    <s v="SUVAS/The Vidhik Anuvaad Software is an AI program that translates decisions and orders into nine different local languages. It was introduced by the Supreme Court. And it makes it easier for people who do not speak English, to obtain judgments and orders. It also helps them to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better understand court proceedings. "/>
    <s v="https://unesdoc.unesco.org/ark:/48223/pf0000387331"/>
    <s v="https://www.business-standard.com/article/pti-stories/software-developed-to-translate-sc-judgments-in-9-vernacular-languages-law-minister-rs-prasad-119121200851_1.html"/>
    <s v="Public authority"/>
    <s v="Functional"/>
    <s v="National"/>
    <s v="Court users (general public)"/>
    <s v="7 - Recording, transcription and translation"/>
    <s v="These solutions are capable of recognizing and analysing speech, written text and communicating back. Their main use for courts is in speech recognition and transcription of court proceedings."/>
    <m/>
  </r>
  <r>
    <x v="65"/>
    <x v="0"/>
    <s v="SUVAS/The Vidhik Anuvaad Software "/>
    <s v="AI"/>
    <n v="2019"/>
    <s v="India"/>
    <s v="SUVAS/The Vidhik Anuvaad Software is an AI program that translates decisions and orders into nine different local languages. It was introduced by the Supreme Court. And it makes it easier for people who do not speak English, to obtain judgments and orders. It also helps them to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better understand court proceedings. "/>
    <s v="https://unesdoc.unesco.org/ark:/48223/pf0000387331"/>
    <s v="https://www.business-standard.com/article/pti-stories/software-developed-to-translate-sc-judgments-in-9-vernacular-languages-law-minister-rs-prasad-119121200851_1.html"/>
    <s v="Public authority"/>
    <s v="Functional"/>
    <s v="National"/>
    <s v="Court users (general public)"/>
    <s v="8 - Information and assistance services"/>
    <s v="These solutions provide individuals with information on services available in the justice systems and links individuals to the services and opportunities that are available"/>
    <m/>
  </r>
  <r>
    <x v="65"/>
    <x v="0"/>
    <s v="SUVAS/The Vidhik Anuvaad Software "/>
    <s v="AI"/>
    <n v="2019"/>
    <s v="India"/>
    <s v="SUVAS/The Vidhik Anuvaad Software is an AI program that translates decisions and orders into nine different local languages. It was introduced by the Supreme Court. And it makes it easier for people who do not speak English, to obtain judgments and orders. It also helps them to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better understand court proceedings. "/>
    <s v="https://unesdoc.unesco.org/ark:/48223/pf0000387331"/>
    <s v="https://www.business-standard.com/article/pti-stories/software-developed-to-translate-sc-judgments-in-9-vernacular-languages-law-minister-rs-prasad-119121200851_1.html"/>
    <s v="Public authority"/>
    <s v="Functional"/>
    <s v="National"/>
    <s v="Management"/>
    <s v="7 - Recording, transcription and translation"/>
    <s v="These solutions are capable of recognizing and analysing speech, written text and communicating back. Their main use for courts is in speech recognition and transcription of court proceedings."/>
    <m/>
  </r>
  <r>
    <x v="65"/>
    <x v="0"/>
    <s v="SUVAS/The Vidhik Anuvaad Software "/>
    <s v="AI"/>
    <n v="2019"/>
    <s v="India"/>
    <s v="SUVAS/The Vidhik Anuvaad Software is an AI program that translates decisions and orders into nine different local languages. It was introduced by the Supreme Court. And it makes it easier for people who do not speak English, to obtain judgments and orders. It also helps them to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better understand court proceedings. "/>
    <s v="https://unesdoc.unesco.org/ark:/48223/pf0000387331"/>
    <s v="https://www.business-standard.com/article/pti-stories/software-developed-to-translate-sc-judgments-in-9-vernacular-languages-law-minister-rs-prasad-119121200851_1.html"/>
    <s v="Public authority"/>
    <s v="Functional"/>
    <s v="National"/>
    <s v="Management"/>
    <s v="8 - Information and assistance services"/>
    <s v="These solutions provide individuals with information on services available in the justice systems and links individuals to the services and opportunities that are available"/>
    <m/>
  </r>
  <r>
    <x v="66"/>
    <x v="0"/>
    <s v="PretorIA"/>
    <s v="AI"/>
    <n v="2020"/>
    <s v="Columbia"/>
    <s v="PretorIA was designed to assist the judges of the Colombian Constitutional Court in dealing with writs of protection in an efficient manner. It uses topic modelling technology, and its outcomes can be explained, interpreted and tracked. "/>
    <s v="https://unesdoc.unesco.org/ark:/48223/pf0000387331"/>
    <s v="https://giswatch.org/node/6166"/>
    <s v="Public authority"/>
    <s v="Functional"/>
    <s v="National"/>
    <s v="Management"/>
    <s v="4 - Decision support"/>
    <s v="These solutions facilitate or fully automate decision making processes in the justice systems"/>
    <m/>
  </r>
  <r>
    <x v="66"/>
    <x v="0"/>
    <s v="PretorIA"/>
    <s v="AI"/>
    <n v="2020"/>
    <s v="Columbia"/>
    <s v="PretorIA was designed to assist the judges of the Colombian Constitutional Court in dealing with writs of protection in an efficient manner. It uses topic modelling technology, and its outcomes can be explained, interpreted and tracked. "/>
    <s v="https://unesdoc.unesco.org/ark:/48223/pf0000387331"/>
    <s v="https://giswatch.org/node/6166"/>
    <s v="Public authority"/>
    <s v="Functional"/>
    <s v="National"/>
    <s v="Judges/clerks"/>
    <s v="4 - Decision support"/>
    <s v="These solutions facilitate or fully automate decision making processes in the justice systems"/>
    <m/>
  </r>
  <r>
    <x v="66"/>
    <x v="0"/>
    <s v="PretorIA"/>
    <s v="AI"/>
    <n v="2020"/>
    <s v="Columbia"/>
    <s v="PretorIA was designed to assist the judges of the Colombian Constitutional Court in dealing with writs of protection in an efficient manner. It uses topic modelling technology, and its outcomes can be explained, interpreted and tracked. "/>
    <s v="https://unesdoc.unesco.org/ark:/48223/pf0000387331"/>
    <s v="https://giswatch.org/node/6166"/>
    <s v="Public authority"/>
    <s v="Functional"/>
    <s v="National"/>
    <s v="Court users (general public)"/>
    <s v="4 - Decision support"/>
    <s v="These solutions facilitate or fully automate decision making processes in the justice systems"/>
    <m/>
  </r>
  <r>
    <x v="67"/>
    <x v="0"/>
    <s v="SUPACE (Supreme Court Portal for Assistance in Court’s Efficiency) "/>
    <s v="AI"/>
    <n v="2021"/>
    <s v="India"/>
    <s v="SUPACE/The Supreme Court Portal for Assistance in Courts Efficiency is an AI system implemented at the Supreme Court of India. It is designed as an aid in the administration and delivery of justice through cataloguing a large number of earlier decisions for better processing of case material. It is not used in decision-making, its role is confined to data collection and analysis. "/>
    <s v="https://unesdoc.unesco.org/ark:/48223/pf0000387331"/>
    <s v="https://webcast.gov.in/events/MTI1MQ--/session/MzE1MA--"/>
    <s v="Public authority"/>
    <s v="Pilot/Beta version"/>
    <s v="Reg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67"/>
    <x v="0"/>
    <s v="SUPACE (Supreme Court Portal for Assistance in Court’s Efficiency) "/>
    <s v="AI"/>
    <n v="2021"/>
    <s v="India"/>
    <s v="SUPACE/The Supreme Court Portal for Assistance in Courts Efficiency is an AI system implemented at the Supreme Court of India. It is designed as an aid in the administration and delivery of justice through cataloguing a large number of earlier decisions for better processing of case material. It is not used in decision-making, its role is confined to data collection and analysis. "/>
    <s v="https://unesdoc.unesco.org/ark:/48223/pf0000387331"/>
    <s v="https://webcast.gov.in/events/MTI1MQ--/session/MzE1MA--"/>
    <s v="Public authority"/>
    <s v="Pilot/Beta version"/>
    <s v="Regional"/>
    <s v="Judges/clerks"/>
    <s v="8 - Information and assistance services"/>
    <s v="These solutions provide individuals with information on services available in the justice systems and links individuals to the services and opportunities that are available"/>
    <m/>
  </r>
  <r>
    <x v="68"/>
    <x v="0"/>
    <s v="Gall Anonymization/Gall Anonimizacja"/>
    <s v="non-AI"/>
    <n v="2004"/>
    <s v="Poland"/>
    <s v="Gall Anonymyzation is a system performing initial anonymization of court judgments and administrative decisions. Since 2004, it has been introduced to selected administrative courts as a part of OSO &amp; IBO systems, certain administrative bodies (e.g. Samorządowe Kolegium Odwołacze) and some common courts. Because the system is not 100% accurate, it is supervised by court clerks."/>
    <s v="https://www.nsa.gov.pl/sprawozdania-roczne.php (e.g. 2007, p. 355)"/>
    <s v="https://www.softprodukt.com.pl/system/gall"/>
    <s v="Public authority"/>
    <s v="Functional"/>
    <s v="National"/>
    <s v="Management"/>
    <s v="5 - Anonymisation and pseudonymisation"/>
    <s v="These solutions are used for removing identifying information such as personal data of court users"/>
    <m/>
  </r>
  <r>
    <x v="69"/>
    <x v="0"/>
    <s v="Dokumentenergleich / Document comparison"/>
    <s v="non-AI"/>
    <n v="2022"/>
    <s v="Germany"/>
    <s v="The system analyses the electronic procedural files and assigns those with similar facts to each other. It is used to increase efficiency in mass proceedings."/>
    <m/>
    <s v="https://www.justiz-bw.de/,Lde/10619184/?LISTPAGE=6161506 "/>
    <s v="Public authority"/>
    <s v="Functional"/>
    <s v="Reg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69"/>
    <x v="0"/>
    <s v="Dokumentenergleich / Document comparison"/>
    <s v="non-AI"/>
    <n v="2022"/>
    <s v="Germany"/>
    <s v="The system analyses the electronic procedural files and assigns those with similar facts to each other. It is used to increase efficiency in mass proceedings."/>
    <m/>
    <s v="https://www.justiz-bw.de/,Lde/10619184/?LISTPAGE=6161506 "/>
    <s v="Public authority"/>
    <s v="Functional"/>
    <s v="Reg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70"/>
    <x v="0"/>
    <s v="BaZna / Knowledge Base System "/>
    <s v="AI"/>
    <n v="2023"/>
    <s v="Slovenia"/>
    <s v="The system compares new applications with the existing knowledge database, which contains the case-law and auxiliary information, supporting the adjudication process. "/>
    <m/>
    <m/>
    <s v="Public authority"/>
    <s v="Pilot/Beta version"/>
    <s v="National"/>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70"/>
    <x v="0"/>
    <s v="BaZna / Knowledge Base System "/>
    <s v="AI"/>
    <n v="2023"/>
    <s v="Slovenia"/>
    <s v="The system compares new applications with the existing knowledge database, which contains the case-law and auxiliary information, supporting the adjudication process. "/>
    <m/>
    <m/>
    <s v="Public authority"/>
    <s v="Pilot/Beta version"/>
    <s v="National"/>
    <s v="Management"/>
    <s v="4 - Decision support"/>
    <s v="These solutions facilitate or fully automate decision making processes in the justice systems"/>
    <m/>
  </r>
  <r>
    <x v="70"/>
    <x v="0"/>
    <s v="BaZna / Knowledge Base System "/>
    <s v="AI"/>
    <n v="2023"/>
    <s v="Slovenia"/>
    <s v="The system compares new applications with the existing knowledge database, which contains the case-law and auxiliary information, supporting the adjudication process. "/>
    <m/>
    <m/>
    <s v="Public authority"/>
    <s v="Pilot/Beta version"/>
    <s v="National"/>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70"/>
    <x v="0"/>
    <s v="BaZna / Knowledge Base System "/>
    <s v="AI"/>
    <n v="2023"/>
    <s v="Slovenia"/>
    <s v="The system compares new applications with the existing knowledge database, which contains the case-law and auxiliary information, supporting the adjudication process. "/>
    <m/>
    <m/>
    <s v="Public authority"/>
    <s v="Pilot/Beta version"/>
    <s v="National"/>
    <s v="Judges/clerks"/>
    <s v="4 - Decision support"/>
    <s v="These solutions facilitate or fully automate decision making processes in the justice systems"/>
    <m/>
  </r>
  <r>
    <x v="71"/>
    <x v="0"/>
    <s v="FraUKE = FRankfurts Amtsgericht UrteilsKonfigurator Elektronisch"/>
    <s v="AI"/>
    <n v="2022"/>
    <s v="Germany"/>
    <s v="The FraUKE programme was developed specifically for air passenger rights proceedings in accordance with EU Regulation 261/2004 for the Frankfurt am Main Local Court. In order to cope with the wave of air passenger rights claims, the Frankfurt am Main District Court has developed this &quot;judgement configurator&quot;, which simplifies and supports the creation of judgements with the help of text modules selected by an artificial intelligence. This project is the first of its kind in Germany and tests the limits of judicial assistance. The basic strategy paper of the presidents of the higher regional courts from the summer of 2022 clearly shows that a great potential for the use of AI in courts is seen throughout Germany, but that also_x000a_boundaries are crossed when judicial decision-making is carried out by AI."/>
    <m/>
    <s v="https://hessen.de/presse/pressearchiv/hessen-und-brandenburg-kooperieren-beim-ki-projekt-frauke"/>
    <s v="Public authority"/>
    <s v="Pilot/Beta version"/>
    <m/>
    <s v="Judges/clerks"/>
    <s v="4 - Decision support"/>
    <s v="These solutions facilitate or fully automate decision making processes in the justice system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Judges/clerks"/>
    <s v="5 - Anonymisation and pseudonymisation"/>
    <s v="These solutions are used for removing identifying information such as personal data of court user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Prosecutors/clerks"/>
    <s v="5 - Anonymisation and pseudonymisation"/>
    <s v="These solutions are used for removing identifying information such as personal data of court user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Lawyers"/>
    <s v="5 - Anonymisation and pseudonymisation"/>
    <s v="These solutions are used for removing identifying information such as personal data of court user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Lawyer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Court users (general public)"/>
    <s v="5 - Anonymisation and pseudonymisation"/>
    <s v="These solutions are used for removing identifying information such as personal data of court users"/>
    <m/>
  </r>
  <r>
    <x v="72"/>
    <x v="0"/>
    <s v="Automated anonymization of court decisions"/>
    <s v="AI"/>
    <n v="2022"/>
    <s v="Portugal"/>
    <s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
    <m/>
    <s v="https://govtech.justica.gov.pt/en/portfolio/automated-anonymization-of-court-decisions-ongoing/"/>
    <s v="Public authority"/>
    <s v="Pilot/Beta version"/>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73"/>
    <x v="0"/>
    <s v="Anonymiseringsapplikationen / Application for anonymization "/>
    <s v="AI"/>
    <n v="2023"/>
    <s v="Sweden"/>
    <s v="Appllication that identifies and anonymizes personal information in documents submitted to the courts. "/>
    <m/>
    <s v="Internal system, no direct public link available."/>
    <s v="Public authority"/>
    <s v="Pilot/Beta version"/>
    <s v="National"/>
    <s v="Court users (general public)"/>
    <s v="5 - Anonymisation and pseudonymisation"/>
    <s v="These solutions are used for removing identifying information such as personal data of court users"/>
    <m/>
  </r>
  <r>
    <x v="73"/>
    <x v="0"/>
    <s v="Anonymiseringsapplikationen / Application for anonymization "/>
    <s v="AI"/>
    <n v="2023"/>
    <s v="Sweden"/>
    <s v="Appllication that identifies and anonymizes personal information in documents submitted to the courts. "/>
    <m/>
    <s v="Internal system, no direct public link available."/>
    <s v="Public authority"/>
    <s v="Pilot/Beta version"/>
    <s v="National"/>
    <s v="Lawyers"/>
    <s v="5 - Anonymisation and pseudonymisation"/>
    <s v="These solutions are used for removing identifying information such as personal data of court users"/>
    <m/>
  </r>
  <r>
    <x v="73"/>
    <x v="0"/>
    <s v="Anonymiseringsapplikationen / Application for anonymization "/>
    <s v="AI"/>
    <n v="2023"/>
    <s v="Sweden"/>
    <s v="Appllication that identifies and anonymizes personal information in documents submitted to the courts. "/>
    <m/>
    <s v="Internal system, no direct public link available."/>
    <s v="Public authority"/>
    <s v="Pilot/Beta version"/>
    <s v="National"/>
    <s v="Judges/clerks"/>
    <s v="5 - Anonymisation and pseudonymisation"/>
    <s v="These solutions are used for removing identifying information such as personal data of court users"/>
    <m/>
  </r>
  <r>
    <x v="74"/>
    <x v="0"/>
    <s v="(m)INI - Intelligentes Notitia Iustitia"/>
    <s v="AI"/>
    <n v="2023"/>
    <s v="Sweden"/>
    <s v="Application that uses AI to search for legal information in vast volumes of material, cases, law, preparatory work. Presents relevant statistics, has semantic understanding. "/>
    <m/>
    <s v="Internal system, no direct public link available."/>
    <s v="Public authority"/>
    <s v="Pilot/Beta version"/>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75"/>
    <x v="0"/>
    <s v="Textualisation of recordings"/>
    <s v="AI"/>
    <n v="2023"/>
    <s v="Spain"/>
    <s v="Performs automated processing of video/audio files to extract the relevant text from recorded oral interventions at trials, hearings and inquests."/>
    <m/>
    <s v="Internal system, no direct public link available."/>
    <s v="Public authority"/>
    <s v="Functional"/>
    <m/>
    <s v="Management"/>
    <s v="7 - Recording, transcription and translation"/>
    <s v="These solutions are capable of recognizing and analysing speech, written text and communicating back. Their main use for courts is in speech recognition and transcription of court proceedings."/>
    <m/>
  </r>
  <r>
    <x v="75"/>
    <x v="0"/>
    <s v="Textualisation of recordings"/>
    <s v="AI"/>
    <n v="2023"/>
    <s v="Spain"/>
    <s v="Performs automated processing of video/audio files to extract the relevant text from recorded oral interventions at trials, hearings and inquests."/>
    <m/>
    <s v="Internal system, no direct public link available."/>
    <s v="Public authority"/>
    <s v="Functional"/>
    <m/>
    <s v="Management"/>
    <s v="4 - Decision support"/>
    <s v="These solutions facilitate or fully automate decision making processes in the justice systems"/>
    <m/>
  </r>
  <r>
    <x v="75"/>
    <x v="0"/>
    <s v="Textualisation of recordings"/>
    <s v="AI"/>
    <n v="2023"/>
    <s v="Spain"/>
    <s v="Performs automated processing of video/audio files to extract the relevant text from recorded oral interventions at trials, hearings and inquests."/>
    <m/>
    <s v="Internal system, no direct public link available."/>
    <s v="Public authority"/>
    <s v="Functional"/>
    <m/>
    <s v="Judges/clerks"/>
    <s v="7 - Recording, transcription and translation"/>
    <s v="These solutions are capable of recognizing and analysing speech, written text and communicating back. Their main use for courts is in speech recognition and transcription of court proceedings."/>
    <m/>
  </r>
  <r>
    <x v="75"/>
    <x v="0"/>
    <s v="Textualisation of recordings"/>
    <s v="AI"/>
    <n v="2023"/>
    <s v="Spain"/>
    <s v="Performs automated processing of video/audio files to extract the relevant text from recorded oral interventions at trials, hearings and inquests."/>
    <m/>
    <s v="Internal system, no direct public link available."/>
    <s v="Public authority"/>
    <s v="Functional"/>
    <m/>
    <s v="Judges/clerks"/>
    <s v="4 - Decision support"/>
    <s v="These solutions facilitate or fully automate decision making processes in the justice systems"/>
    <m/>
  </r>
  <r>
    <x v="76"/>
    <x v="0"/>
    <s v="Legal and Forensic Dictation Systems"/>
    <s v="AI"/>
    <n v="2023"/>
    <s v="Spain"/>
    <s v="Enables specialised transcriptions of legal texts and medical reports"/>
    <m/>
    <s v="Internal system, no direct public link available."/>
    <s v="Public authority"/>
    <s v="Functional"/>
    <m/>
    <s v="Judges/clerks"/>
    <s v="7 - Recording, transcription and translation"/>
    <s v="These solutions are capable of recognizing and analysing speech, written text and communicating back. Their main use for courts is in speech recognition and transcription of court proceedings."/>
    <m/>
  </r>
  <r>
    <x v="76"/>
    <x v="0"/>
    <s v="Legal and Forensic Dictation Systems"/>
    <s v="AI"/>
    <n v="2023"/>
    <s v="Spain"/>
    <s v="Enables specialised transcriptions of legal texts and medical reports"/>
    <m/>
    <s v="Internal system, no direct public link available."/>
    <s v="Public authority"/>
    <s v="Functional"/>
    <m/>
    <s v="Prosecutors/clerks"/>
    <s v="7 - Recording, transcription and translation"/>
    <s v="These solutions are capable of recognizing and analysing speech, written text and communicating back. Their main use for courts is in speech recognition and transcription of court proceedings."/>
    <m/>
  </r>
  <r>
    <x v="76"/>
    <x v="0"/>
    <s v="Legal and Forensic Dictation Systems"/>
    <s v="AI"/>
    <n v="2023"/>
    <s v="Spain"/>
    <s v="Enables specialised transcriptions of legal texts and medical reports"/>
    <m/>
    <s v="Internal system, no direct public link available."/>
    <s v="Public authority"/>
    <s v="Functional"/>
    <m/>
    <s v="Management"/>
    <s v="7 - Recording, transcription and translation"/>
    <s v="These solutions are capable of recognizing and analysing speech, written text and communicating back. Their main use for courts is in speech recognition and transcription of court proceedings."/>
    <m/>
  </r>
  <r>
    <x v="77"/>
    <x v="0"/>
    <s v="Document anonymizer"/>
    <s v="AI"/>
    <n v="2023"/>
    <s v="Spain"/>
    <s v="Allows for the recognition of nominal entities that identify the information related to specially protected subjects and proceeds to their anonymisation. "/>
    <m/>
    <s v="Internal system, no direct public link available."/>
    <s v="Public authority"/>
    <s v="Functional"/>
    <m/>
    <s v="Management"/>
    <s v="5 - Anonymisation and pseudonymisation"/>
    <s v="These solutions are used for removing identifying information such as personal data of court users"/>
    <m/>
  </r>
  <r>
    <x v="77"/>
    <x v="0"/>
    <s v="Document anonymizer"/>
    <s v="AI"/>
    <n v="2023"/>
    <s v="Spain"/>
    <s v="Allows for the recognition of nominal entities that identify the information related to specially protected subjects and proceeds to their anonymisation. "/>
    <m/>
    <s v="Internal system, no direct public link available."/>
    <s v="Public authority"/>
    <s v="Functional"/>
    <m/>
    <s v="Judges/clerks"/>
    <s v="5 - Anonymisation and pseudonymisation"/>
    <s v="These solutions are used for removing identifying information such as personal data of court users"/>
    <m/>
  </r>
  <r>
    <x v="78"/>
    <x v="0"/>
    <s v="Document classifier"/>
    <s v="AI"/>
    <n v="2023"/>
    <s v="Spain"/>
    <s v="It allows the self-cataloguing of the documentation received in the judicial offices based on the documentary standards established by the CGPJ."/>
    <m/>
    <s v="Internal system, no direct public link available."/>
    <s v="Public authority"/>
    <s v="Functional"/>
    <m/>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78"/>
    <x v="0"/>
    <s v="Document classifier"/>
    <s v="AI"/>
    <n v="2023"/>
    <s v="Spain"/>
    <s v="It allows the self-cataloguing of the documentation received in the judicial offices based on the documentary standards established by the CGPJ."/>
    <m/>
    <s v="Internal system, no direct public link available."/>
    <s v="Public authority"/>
    <s v="Functional"/>
    <m/>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79"/>
    <x v="0"/>
    <s v="Similarity Analysis"/>
    <s v="AI"/>
    <n v="2023"/>
    <s v="Spain"/>
    <s v="It allows locating the same entity (same person) in different parts of the document, and recognising them as the same, despite significant differences in their literals."/>
    <m/>
    <s v="Internal system, no direct public link available."/>
    <s v="Public authority"/>
    <s v="Functional"/>
    <m/>
    <s v="Judges/clerks"/>
    <s v="4 - Decision support"/>
    <s v="These solutions facilitate or fully automate decision making processes in the justice systems"/>
    <m/>
  </r>
  <r>
    <x v="80"/>
    <x v="0"/>
    <s v="Easy Reading"/>
    <s v="AI"/>
    <n v="2023"/>
    <s v="Spain"/>
    <s v="The tool allows the introduction of any legal element in easy reading format. For people with functional diversity who have some comprehension difficulties. Standardised rules are applied to make documents accessible to everyone. "/>
    <m/>
    <s v="Internal system, no direct public link available."/>
    <s v="Public authority"/>
    <s v="Functional"/>
    <m/>
    <s v="Court users (general public)"/>
    <s v="8 - Information and assistance services"/>
    <s v="These solutions provide individuals with information on services available in the justice systems and links individuals to the services and opportunities that are available"/>
    <m/>
  </r>
  <r>
    <x v="81"/>
    <x v="0"/>
    <s v="Public Prosecutor management system"/>
    <s v="AI"/>
    <n v="2023"/>
    <s v="Spain"/>
    <s v="Integration of the &quot;Delfos&quot; intelligent search engine with &quot;Fortuny&quot;. Delfos is an AI-driven search engine that performs natural language queries by a predictive text engine. In addition, it automatically filters the results obtained and offers suggested queries. It provides document summaries and  allows legal professionals to consult their own documents, saving time."/>
    <m/>
    <s v="Internal system, no direct public link available."/>
    <s v="Public authority"/>
    <s v="Functional"/>
    <m/>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81"/>
    <x v="0"/>
    <s v="Public Prosecutor management system"/>
    <s v="AI"/>
    <n v="2023"/>
    <s v="Spain"/>
    <s v="Integration of the &quot;Delfos&quot; intelligent search engine with &quot;Fortuny&quot;. Delfos is an AI-driven search engine that performs natural language queries by a predictive text engine. In addition, it automatically filters the results obtained and offers suggested queries. It provides document summaries and  allows legal professionals to consult their own documents, saving time."/>
    <m/>
    <s v="Internal system, no direct public link available."/>
    <s v="Public authority"/>
    <s v="Functional"/>
    <m/>
    <s v="Prosecutors/clerks"/>
    <s v="4 - Decision support"/>
    <s v="These solutions facilitate or fully automate decision making processes in the justice systems"/>
    <m/>
  </r>
  <r>
    <x v="82"/>
    <x v="0"/>
    <s v="Justice Folder"/>
    <s v="AI"/>
    <n v="2023"/>
    <s v="Spain"/>
    <s v="Allows interested parties to know the judicial notifications and any other information of the judicial files to which they are party to. The last version includes AI solutions such as Summary service and Document anonymisation."/>
    <m/>
    <s v="Internal system, no direct public link available."/>
    <s v="Public authority"/>
    <s v="Functional"/>
    <m/>
    <s v="Lawyers"/>
    <s v="8 - Information and assistance services"/>
    <s v="These solutions provide individuals with information on services available in the justice systems and links individuals to the services and opportunities that are available"/>
    <m/>
  </r>
  <r>
    <x v="82"/>
    <x v="0"/>
    <s v="Justice Folder"/>
    <s v="AI"/>
    <n v="2023"/>
    <s v="Spain"/>
    <s v="Allows interested parties to know the judicial notifications and any other information of the judicial files to which they are party to. The last version includes AI solutions such as Summary service and Document anonymisation."/>
    <m/>
    <s v="Internal system, no direct public link available."/>
    <s v="Public authority"/>
    <s v="Functional"/>
    <m/>
    <s v="Lawyer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82"/>
    <x v="0"/>
    <s v="Justice Folder"/>
    <s v="AI"/>
    <n v="2023"/>
    <s v="Spain"/>
    <s v="Allows interested parties to know the judicial notifications and any other information of the judicial files to which they are party to. The last version includes AI solutions such as Summary service and Document anonymisation."/>
    <m/>
    <s v="Internal system, no direct public link available."/>
    <s v="Public authority"/>
    <s v="Functional"/>
    <m/>
    <s v="Court users (general public)"/>
    <s v="8 - Information and assistance services"/>
    <s v="These solutions provide individuals with information on services available in the justice systems and links individuals to the services and opportunities that are available"/>
    <m/>
  </r>
  <r>
    <x v="82"/>
    <x v="0"/>
    <s v="Justice Folder"/>
    <s v="AI"/>
    <n v="2023"/>
    <s v="Spain"/>
    <s v="Allows interested parties to know the judicial notifications and any other information of the judicial files to which they are party to. The last version includes AI solutions such as Summary service and Document anonymisation."/>
    <m/>
    <s v="Internal system, no direct public link available."/>
    <s v="Public authority"/>
    <s v="Functional"/>
    <m/>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83"/>
    <x v="0"/>
    <s v="Legal Documents Classification "/>
    <s v="AI"/>
    <n v="2022"/>
    <s v="Türkiye"/>
    <s v="This project was put into service within the UYAP information system as of January 2022 in order to minimise the human burden in the work to be carried out both for the transfer of non-digital physical documents to UYAP, and to determine the relevant document type according to more than 300 categories."/>
    <m/>
    <s v="Internal system, no direct public link available."/>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84"/>
    <x v="0"/>
    <s v="Document Classification in Enforcement Processes"/>
    <s v="AI"/>
    <n v="2022"/>
    <s v="Türkiye"/>
    <s v="AI Assisted Enforcement Document Classification Project was developed to facilitate the transfer of archive files to the UYAP system and to minimize human workload. The project automatically detects the document content, classifies the type of documents and presents the recommended document type to the user for approval. This makes it possible to quickly classify data, saving effort and time for the users. "/>
    <m/>
    <s v="Internal system, no direct public link available."/>
    <s v="Public authority"/>
    <s v="Functional"/>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85"/>
    <x v="0"/>
    <s v="Legal Texts Summarising"/>
    <s v="AI"/>
    <n v="2023"/>
    <s v="Türkiye"/>
    <s v="The system analyses and summarises legal documents by identifying important sentences, expressions and concept in the legal context."/>
    <m/>
    <s v="Internal system, no direct public link available."/>
    <s v="Public authority"/>
    <s v="Pilot/Beta version"/>
    <s v="National"/>
    <s v="Court users (general public)"/>
    <s v="4 - Decision support"/>
    <s v="These solutions facilitate or fully automate decision making processes in the justice systems"/>
    <m/>
  </r>
  <r>
    <x v="86"/>
    <x v="0"/>
    <s v="Object and Slang Detection in Images"/>
    <s v="AI"/>
    <n v="2022"/>
    <s v="Türkiye"/>
    <s v="The tool was developed to  tackle  problems experienced with the  &quot;E-Auction Portal&quot;. On the latter, tender pictures are uploaded and sometimes may contain text. While the E-Auction Portal is capable of detecting text, it is not capable to determine whether the text contained is offensive or not. Thus, Object and Slang Detection in Photos was created to filter and avoid such situations."/>
    <m/>
    <s v="Internal system, no direct public link available."/>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86"/>
    <x v="0"/>
    <s v="Object and Slang Detection in Images"/>
    <s v="AI"/>
    <n v="2022"/>
    <s v="Türkiye"/>
    <s v="The tool was developed to  tackle  problems experienced with the  &quot;E-Auction Portal&quot;. On the latter, tender pictures are uploaded and sometimes may contain text. While the E-Auction Portal is capable of detecting text, it is not capable to determine whether the text contained is offensive or not. Thus, Object and Slang Detection in Photos was created to filter and avoid such situations."/>
    <m/>
    <s v="Internal system, no direct public link available."/>
    <s v="Public authority"/>
    <s v="Functional"/>
    <s v="National"/>
    <s v="Court users (general public)"/>
    <s v="4 - Decision support"/>
    <s v="These solutions facilitate or fully automate decision making processes in the justice systems"/>
    <m/>
  </r>
  <r>
    <x v="87"/>
    <x v="0"/>
    <s v="Estimation of Terrorist Organisation Information"/>
    <s v="AI"/>
    <n v="2022"/>
    <s v="Türkiye"/>
    <s v="The AI system has been developed to identify suspect information of organisations during investigation and ongoing prosecution. As a result of the tests, an accuracy of over 80% was reported and the service went live as of December 2022."/>
    <m/>
    <s v="Internal system, no direct public link available."/>
    <s v="Public authority"/>
    <s v="Functional"/>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88"/>
    <x v="0"/>
    <s v="Smart Chat-bot"/>
    <s v="AI"/>
    <n v="2021"/>
    <s v="Türkiye"/>
    <s v="The  project was developed to reduce the load of the Call Centre and provide better services for the users. It was developed  with open source and free software, and put into service in the E-Auction Portal, the Institution Portal and the Citizen Portal Information Systems."/>
    <m/>
    <s v="No direct public link available. Embedded in mentioned Portals."/>
    <s v="Public authority"/>
    <s v="Functional"/>
    <s v="National"/>
    <s v="Court users (general public)"/>
    <s v="8 - Information and assistance services"/>
    <s v="These solutions provide individuals with information on services available in the justice systems and links individuals to the services and opportunities that are available"/>
    <m/>
  </r>
  <r>
    <x v="89"/>
    <x v="0"/>
    <s v="Estimation of the Correct Document Type in Miscellaneous Works"/>
    <s v="AI"/>
    <n v="2023"/>
    <s v="Türkiye"/>
    <s v="By determining the correct document type filed as &quot;Miscellaneous Works&quot; at Criminal Courts, it will be ensured that the types of documents entered as ‘Other’ will be reduced, and the correct type of document will be determined, leading to  correct outputs  in audits and statistics."/>
    <m/>
    <s v="Internal system, no direct public link available."/>
    <s v="Public authority"/>
    <s v="Pilot/Beta version"/>
    <s v="National"/>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90"/>
    <x v="0"/>
    <s v="Speech to Text"/>
    <s v="AI"/>
    <n v="2022"/>
    <s v="Türkiye"/>
    <s v="The Dictation System, transcribing speech into text facilitates the work of judges when reasoning decisions, and of prosecutors when writing indictments. The system contributes to faster and more efficient writing processes. "/>
    <m/>
    <s v="Internal system, no direct public link available."/>
    <s v="Public authority"/>
    <s v="Pilot/Beta version"/>
    <s v="National"/>
    <s v="Prosecutors/clerks"/>
    <s v="7 - Recording, transcription and translation"/>
    <s v="These solutions are capable of recognizing and analysing speech, written text and communicating back. Their main use for courts is in speech recognition and transcription of court proceedings."/>
    <m/>
  </r>
  <r>
    <x v="90"/>
    <x v="0"/>
    <s v="Speech to Text"/>
    <s v="AI"/>
    <n v="2022"/>
    <s v="Türkiye"/>
    <s v="The Dictation System, transcribing speech into text facilitates the work of judges when reasoning decisions, and of prosecutors when writing indictments. The system contributes to faster and more efficient writing processes. "/>
    <m/>
    <s v="Internal system, no direct public link available."/>
    <s v="Public authority"/>
    <s v="Pilot/Beta version"/>
    <s v="National"/>
    <s v="Judges/clerks"/>
    <s v="7 - Recording, transcription and translation"/>
    <s v="These solutions are capable of recognizing and analysing speech, written text and communicating back. Their main use for courts is in speech recognition and transcription of court proceedings."/>
    <m/>
  </r>
  <r>
    <x v="90"/>
    <x v="0"/>
    <s v="Speech to Text"/>
    <s v="AI"/>
    <n v="2022"/>
    <s v="Türkiye"/>
    <s v="The Dictation System, transcribing speech into text facilitates the work of judges when reasoning decisions, and of prosecutors when writing indictments. The system contributes to faster and more efficient writing processes. "/>
    <m/>
    <s v="Internal system, no direct public link available."/>
    <s v="Public authority"/>
    <s v="Pilot/Beta version"/>
    <s v="National"/>
    <s v="Court users (general public)"/>
    <s v="7 - Recording, transcription and translation"/>
    <s v="These solutions are capable of recognizing and analysing speech, written text and communicating back. Their main use for courts is in speech recognition and transcription of court proceedings."/>
    <m/>
  </r>
  <r>
    <x v="91"/>
    <x v="0"/>
    <s v="Information Extraction from Legal Documents"/>
    <s v="AI"/>
    <n v="2022"/>
    <s v="Türkiye"/>
    <s v="The AI model dentifies file information such as: reference number, file number, relevant court name, case number, decision number. "/>
    <m/>
    <s v="Internal system, no direct public link available."/>
    <s v="Public authority"/>
    <s v="Pilot/Beta version"/>
    <s v="National"/>
    <s v="Management"/>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91"/>
    <x v="0"/>
    <s v="Information Extraction from Legal Documents"/>
    <s v="AI"/>
    <n v="2022"/>
    <s v="Türkiye"/>
    <s v="The AI model dentifies file information such as: reference number, file number, relevant court name, case number, decision number. "/>
    <m/>
    <s v="Internal system, no direct public link available."/>
    <s v="Public authority"/>
    <s v="Pilot/Beta version"/>
    <s v="National"/>
    <s v="Management"/>
    <s v="4 - Decision support"/>
    <s v="These solutions facilitate or fully automate decision making processes in the justice systems"/>
    <m/>
  </r>
  <r>
    <x v="91"/>
    <x v="0"/>
    <s v="Information Extraction from Legal Documents"/>
    <s v="AI"/>
    <n v="2022"/>
    <s v="Türkiye"/>
    <s v="The AI model dentifies file information such as: reference number, file number, relevant court name, case number, decision number. "/>
    <m/>
    <s v="Internal system, no direct public link available."/>
    <s v="Public authority"/>
    <s v="Pilot/Beta version"/>
    <s v="National"/>
    <s v="Lawyer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91"/>
    <x v="0"/>
    <s v="Information Extraction from Legal Documents"/>
    <s v="AI"/>
    <n v="2022"/>
    <s v="Türkiye"/>
    <s v="The AI model dentifies file information such as: reference number, file number, relevant court name, case number, decision number. "/>
    <m/>
    <s v="Internal system, no direct public link available."/>
    <s v="Public authority"/>
    <s v="Pilot/Beta version"/>
    <s v="National"/>
    <s v="Lawyers"/>
    <s v="4 - Decision support"/>
    <s v="These solutions facilitate or fully automate decision making processes in the justice systems"/>
    <m/>
  </r>
  <r>
    <x v="91"/>
    <x v="0"/>
    <s v="Information Extraction from Legal Documents"/>
    <s v="AI"/>
    <n v="2022"/>
    <s v="Türkiye"/>
    <s v="The AI model dentifies file information such as: reference number, file number, relevant court name, case number, decision number. "/>
    <m/>
    <s v="Internal system, no direct public link available."/>
    <s v="Public authority"/>
    <s v="Pilot/Beta version"/>
    <s v="National"/>
    <s v="Court users (general public)"/>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91"/>
    <x v="0"/>
    <s v="Information Extraction from Legal Documents"/>
    <s v="AI"/>
    <n v="2022"/>
    <s v="Türkiye"/>
    <s v="The AI model dentifies file information such as: reference number, file number, relevant court name, case number, decision number. "/>
    <m/>
    <s v="Internal system, no direct public link available."/>
    <s v="Public authority"/>
    <s v="Pilot/Beta version"/>
    <s v="National"/>
    <s v="Court users (general public)"/>
    <s v="4 - Decision support"/>
    <s v="These solutions facilitate or fully automate decision making processes in the justice systems"/>
    <m/>
  </r>
  <r>
    <x v="92"/>
    <x v="0"/>
    <s v="Inconsistency Detection in Bill of Indictment"/>
    <s v="AI"/>
    <n v="2022"/>
    <s v="Türkiye"/>
    <s v="The system aims at saving time for Public Prosecutors in the control of indictments by identifying the inconsistencies between the identity information of the parties, party status, referral items, name of the offence, place and time of the offence and the records in the UYAP database.  The system shall ensure that indictments that turn into a public case process are created with the correct data."/>
    <m/>
    <s v="Internal system, no direct public link available."/>
    <s v="Public authority"/>
    <s v="Pilot/Beta version"/>
    <s v="National"/>
    <s v="Prosecutors/clerks"/>
    <s v="4 - Decision support"/>
    <s v="These solutions facilitate or fully automate decision making processes in the justice systems"/>
    <m/>
  </r>
  <r>
    <x v="92"/>
    <x v="0"/>
    <s v="Inconsistency Detection in Bill of Indictment"/>
    <s v="AI"/>
    <n v="2022"/>
    <s v="Türkiye"/>
    <s v="The system aims at saving time for Public Prosecutors in the control of indictments by identifying the inconsistencies between the identity information of the parties, party status, referral items, name of the offence, place and time of the offence and the records in the UYAP database.  The system shall ensure that indictments that turn into a public case process are created with the correct data."/>
    <m/>
    <s v="Internal system, no direct public link available."/>
    <s v="Public authority"/>
    <s v="Pilot/Beta version"/>
    <s v="National"/>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93"/>
    <x v="0"/>
    <s v="Belonging Decision Estimation "/>
    <s v="AI"/>
    <n v="2022"/>
    <s v="Türkiye"/>
    <s v="The &quot;Belonging Decision Estimation system&quot;, helps  in the correct and fast allocation of decisions to the Cour of Appeal. "/>
    <m/>
    <s v="Internal system, no direct public link available."/>
    <s v="Public authority"/>
    <s v="Pilot/Beta version"/>
    <s v="National"/>
    <s v="Judges/clerks"/>
    <s v="4 - Decision support"/>
    <s v="These solutions facilitate or fully automate decision making processes in the justice systems"/>
    <m/>
  </r>
  <r>
    <x v="93"/>
    <x v="0"/>
    <s v="Belonging Decision Estimation "/>
    <s v="AI"/>
    <n v="2022"/>
    <s v="Türkiye"/>
    <s v="The &quot;Belonging Decision Estimation system&quot;, helps  in the correct and fast allocation of decisions to the Cour of Appeal. "/>
    <m/>
    <s v="Internal system, no direct public link available."/>
    <s v="Public authority"/>
    <s v="Pilot/Beta version"/>
    <s v="National"/>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94"/>
    <x v="0"/>
    <s v="Small Claims Tribunal"/>
    <s v="AI"/>
    <n v="2023"/>
    <s v="Singapore"/>
    <s v="The generative AI system, which answers questions based on pre-loaded data, aims at helping litigants with their claims or defence. The system should be able to inform the litigant how to proceed with his claim and point to the relevant websites and forms._x000a_The system would ideally also be able to point the litigant to the material he should have, such as receipts, and possibly point to settlement."/>
    <m/>
    <s v="https://www.channelnewsasia.com/singapore/artificial-intelligence-court-small-claims-singapore-chatgpt-3801756"/>
    <s v="Public authority"/>
    <s v="Pilot/Beta version"/>
    <s v="National"/>
    <s v="Court users (general public)"/>
    <s v="2 - Online Dispute Resolution"/>
    <m/>
    <m/>
  </r>
  <r>
    <x v="94"/>
    <x v="0"/>
    <s v="Small Claims Tribunal"/>
    <s v="AI"/>
    <n v="2023"/>
    <s v="Singapore"/>
    <s v="The generative AI system, which answers questions based on pre-loaded data, aims at helping litigants with their claims or defence. The system should be able to inform the litigant how to proceed with his claim and point to the relevant websites and forms._x000a_The system would ideally also be able to point the litigant to the material he should have, such as receipts, and possibly point to settlement."/>
    <m/>
    <s v="https://www.channelnewsasia.com/singapore/artificial-intelligence-court-small-claims-singapore-chatgpt-3801756"/>
    <s v="Public authority"/>
    <s v="Pilot/Beta version"/>
    <s v="National"/>
    <s v="Court users (general public)"/>
    <s v="8 - Information and assistance services"/>
    <s v="These solutions provide individuals with information on services available in the justice systems and links individuals to the services and opportunities that are available"/>
    <m/>
  </r>
  <r>
    <x v="95"/>
    <x v="0"/>
    <s v="Chatbot on neighbour disputes"/>
    <s v="AI "/>
    <n v="2023"/>
    <s v="Singapore"/>
    <s v="The system helps citzens to decide on actions concerning neighbour disputes. Pre-defined and individual questions are possible. "/>
    <m/>
    <s v="https://go.gov.sg/chat-neighbour"/>
    <s v="Public authority"/>
    <s v="Pilot/Beta version"/>
    <m/>
    <s v="Court users (general public)"/>
    <s v="8 - Information and assistance services"/>
    <s v="These solutions provide individuals with information on services available in the justice systems and links individuals to the services and opportunities that are available"/>
    <m/>
  </r>
  <r>
    <x v="95"/>
    <x v="0"/>
    <s v="Chatbot on neighbour disputes"/>
    <s v="AI "/>
    <n v="2023"/>
    <s v="Singapore"/>
    <s v="The system helps citzens to decide on actions concerning neighbour disputes. Pre-defined and individual questions are possible. "/>
    <m/>
    <s v="https://go.gov.sg/chat-neighbour"/>
    <s v="Public authority"/>
    <s v="Pilot/Beta version"/>
    <m/>
    <s v="Court users (general public)"/>
    <s v="2 - Online Dispute Resolution"/>
    <m/>
    <m/>
  </r>
  <r>
    <x v="96"/>
    <x v="0"/>
    <s v="Chatbot on crime cases"/>
    <s v="AI "/>
    <n v="2023"/>
    <s v="Singapore"/>
    <s v="The system helps citzens to decide on actions concerning crime cases. Pre-defined and individual questions are possible. "/>
    <m/>
    <s v="https://go.gov.sg/chat-crime"/>
    <s v="Public authority"/>
    <s v="Pilot/Beta version"/>
    <m/>
    <s v="Court users (general public)"/>
    <s v="8 - Information and assistance services"/>
    <s v="These solutions provide individuals with information on services available in the justice systems and links individuals to the services and opportunities that are available"/>
    <m/>
  </r>
  <r>
    <x v="96"/>
    <x v="0"/>
    <s v="Chatbot on crime cases"/>
    <s v="AI "/>
    <n v="2023"/>
    <s v="Singapore"/>
    <s v="The system helps citzens to decide on actions concerning crime cases. Pre-defined and individual questions are possible. "/>
    <m/>
    <s v="https://go.gov.sg/chat-crime"/>
    <s v="Public authority"/>
    <s v="Pilot/Beta version"/>
    <m/>
    <s v="Court users (general public)"/>
    <s v="2 - Online Dispute Resolution"/>
    <m/>
    <m/>
  </r>
  <r>
    <x v="97"/>
    <x v="0"/>
    <s v="Chatbot on wills"/>
    <s v="AI"/>
    <n v="2023"/>
    <s v="Singapore"/>
    <s v="The system helps citzens to decide on actions concerning wills. Pre-defined and individual questions are possible. "/>
    <m/>
    <s v="https://go.gov.sg/chat-probate"/>
    <s v="Public authority"/>
    <s v="Pilot/Beta version"/>
    <m/>
    <s v="Court users (general public)"/>
    <s v="8 - Information and assistance services"/>
    <s v="These solutions provide individuals with information on services available in the justice systems and links individuals to the services and opportunities that are available"/>
    <m/>
  </r>
  <r>
    <x v="97"/>
    <x v="0"/>
    <s v="Chatbot on wills"/>
    <s v="AI"/>
    <n v="2023"/>
    <s v="Singapore"/>
    <s v="The system helps citzens to decide on actions concerning wills. Pre-defined and individual questions are possible. "/>
    <m/>
    <s v="https://go.gov.sg/chat-probate"/>
    <s v="Public authority"/>
    <s v="Pilot/Beta version"/>
    <m/>
    <s v="Court users (general public)"/>
    <s v="2 - Online Dispute Resolution"/>
    <m/>
    <m/>
  </r>
  <r>
    <x v="98"/>
    <x v="0"/>
    <s v="Generative language model of justice (GSJ)/ Generatives Sprachmodell der Justiz (GSJ)"/>
    <s v="AI"/>
    <n v="2024"/>
    <s v="Germany"/>
    <s v="Technically informed adaptation of modern large language models (LLMs, comparable with e.g. the GPT or BERT family) in the judicial context, adaptation to security requirements, evaluation based on two to three use cases in the context of tests in real operation based on real analysis tasks. Client Bavarian State Ministry of Justice / Ministry of Justice of North Rhine-Westphalia."/>
    <m/>
    <m/>
    <s v="Public authority"/>
    <s v="Concept/planned"/>
    <s v="Court specific"/>
    <s v="Judges/clerks"/>
    <s v="4 - Decision support"/>
    <s v="These solutions facilitate or fully automate decision making processes in the justice systems"/>
    <m/>
  </r>
  <r>
    <x v="99"/>
    <x v="0"/>
    <s v="Automated anonymisation and pseudonymisation of court decisions/ Automatische Anonymisierung und Pseudonymisierung von Gerichtsentscheidungen "/>
    <s v="AI"/>
    <n v="2024"/>
    <s v="Germany"/>
    <s v="Court decisions are automatically anonymised with a view to publication; current deployment scenarios: civil law traffic disputes and residential tenancy matters; perspective: court decisions of all instances, also in other specialist areas; requirement/goal: such a high degree of correctness that de-anonymisation is no longer possible (e.g. anonymisation not only of the name, but also of &quot;red house&quot; or the company in small towns) Client:  Bavarian State Ministry of Justice._x000a_"/>
    <m/>
    <m/>
    <s v="Public authority"/>
    <s v="Pilot/Beta version"/>
    <m/>
    <s v="Judges/clerks"/>
    <s v="5 - Anonymisation and pseudonymisation"/>
    <s v="These solutions are used for removing identifying information such as personal data of court users"/>
    <m/>
  </r>
  <r>
    <x v="99"/>
    <x v="0"/>
    <s v="Automated anonymisation and pseudonymisation of court decisions/ Automatische Anonymisierung und Pseudonymisierung von Gerichtsentscheidungen "/>
    <s v="AI"/>
    <n v="2024"/>
    <s v="Germany"/>
    <s v="Court decisions are automatically anonymised with a view to publication; current deployment scenarios: civil law traffic disputes and residential tenancy matters; perspective: court decisions of all instances, also in other specialist areas; requirement/goal: such a high degree of correctness that de-anonymisation is no longer possible (e.g. anonymisation not only of the name, but also of &quot;red house&quot; or the company in small towns) Client:  Bavarian State Ministry of Justice._x000a_"/>
    <m/>
    <m/>
    <s v="Public authority"/>
    <s v="Pilot/Beta version"/>
    <m/>
    <s v="Management"/>
    <s v="5 - Anonymisation and pseudonymisation"/>
    <s v="These solutions are used for removing identifying information such as personal data of court users"/>
    <m/>
  </r>
  <r>
    <x v="100"/>
    <x v="0"/>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Germany"/>
    <s v="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
    <m/>
    <m/>
    <s v="Academic"/>
    <s v="Concept/planned"/>
    <m/>
    <s v="Court users (general public)"/>
    <s v="2 - Online Dispute Resolution"/>
    <m/>
    <m/>
  </r>
  <r>
    <x v="100"/>
    <x v="0"/>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Germany"/>
    <s v="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
    <m/>
    <m/>
    <s v="Academic"/>
    <s v="Concept/planned"/>
    <m/>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0"/>
    <x v="0"/>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Germany"/>
    <s v="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
    <m/>
    <m/>
    <s v="Academic"/>
    <s v="Concept/planned"/>
    <m/>
    <s v="Judges/clerks"/>
    <s v="2 - Online Dispute Resolution"/>
    <m/>
    <m/>
  </r>
  <r>
    <x v="100"/>
    <x v="0"/>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Germany"/>
    <s v="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
    <m/>
    <m/>
    <s v="Academic"/>
    <s v="Concept/planned"/>
    <m/>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0"/>
    <x v="0"/>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Germany"/>
    <s v="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
    <m/>
    <m/>
    <s v="Academic"/>
    <s v="Concept/planned"/>
    <m/>
    <s v="Lawyers"/>
    <s v="2 - Online Dispute Resolution"/>
    <m/>
    <m/>
  </r>
  <r>
    <x v="100"/>
    <x v="0"/>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Germany"/>
    <s v="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
    <m/>
    <m/>
    <s v="Academic"/>
    <s v="Concept/planned"/>
    <m/>
    <s v="Lawyer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1"/>
    <x v="0"/>
    <s v="Ocos: Hybrid AI for the processing of air passenger complaints / Ocos: Hybride KI für die Bearbeitung von Fluggastklagen"/>
    <s v="AI"/>
    <n v="2024"/>
    <s v="Germany"/>
    <s v="Implementation of a proof of concept to support judicial practice in the processing of air passenger claims: Creation of a module-based draft decision in the use case: Final judgement in simplified proceedings without a statement of defence_x000a_Client: Bavarian State Ministry of Justice_x000a_"/>
    <m/>
    <m/>
    <s v="Public authority"/>
    <s v="Pilot/Beta version"/>
    <s v="Court specific"/>
    <s v="Judges/clerks"/>
    <s v="4 - Decision support"/>
    <s v="These solutions facilitate or fully automate decision making processes in the justice systems"/>
    <m/>
  </r>
  <r>
    <x v="101"/>
    <x v="0"/>
    <s v="Ocos: Hybrid AI for the processing of air passenger complaints / Ocos: Hybride KI für die Bearbeitung von Fluggastklagen"/>
    <s v="AI"/>
    <n v="2024"/>
    <s v="Germany"/>
    <s v="Implementation of a proof of concept to support judicial practice in the processing of air passenger claims: Creation of a module-based draft decision in the use case: Final judgement in simplified proceedings without a statement of defence_x000a_Client: Bavarian State Ministry of Justice_x000a_"/>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2"/>
    <x v="0"/>
    <s v="Hybrid AI inparticular for the processing of diesel claims (target group: decision-makers of the 1st instance) / Hybride KI insbesondere für die Bearbeitung von Dieselklagen (Zielgruppe: Entscheider der 1. Instanz)"/>
    <s v="AI"/>
    <n v="2024"/>
    <s v="Germany"/>
    <s v="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_x000a_Client: Bavarian State Ministry of Justice_x000a_"/>
    <m/>
    <m/>
    <s v="Public authority"/>
    <s v="Pilot/Beta version"/>
    <s v="Court specific"/>
    <s v="Judges/clerks"/>
    <s v="4 - Decision support"/>
    <s v="These solutions facilitate or fully automate decision making processes in the justice systems"/>
    <m/>
  </r>
  <r>
    <x v="102"/>
    <x v="0"/>
    <s v="Hybrid AI inparticular for the processing of diesel claims (target group: decision-makers of the 1st instance) / Hybride KI insbesondere für die Bearbeitung von Dieselklagen (Zielgruppe: Entscheider der 1. Instanz)"/>
    <s v="AI"/>
    <n v="2024"/>
    <s v="Germany"/>
    <s v="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_x000a_Client: Bavarian State Ministry of Justice_x000a_"/>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3"/>
    <x v="0"/>
    <s v="Expert system for the categorisation of first instance decisions on diesel claims (target group: 2nd instance decision-makers) / Expertensystem zur Kategorisierung von erstinstanzlichen Entscheidungen über Dieselkalgen (Zielgruppe: Entscheider der 2. Instanz)"/>
    <s v="AI"/>
    <n v="2024"/>
    <s v="Germany"/>
    <s v="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 Client: Bavarian State Ministry of Justice"/>
    <m/>
    <m/>
    <s v="Public authority"/>
    <s v="Concept/planned"/>
    <s v="Court specific"/>
    <s v="Judges/clerks"/>
    <s v="4 - Decision support"/>
    <s v="These solutions facilitate or fully automate decision making processes in the justice systems"/>
    <m/>
  </r>
  <r>
    <x v="103"/>
    <x v="0"/>
    <s v="Expert system for the categorisation of first instance decisions on diesel claims (target group: 2nd instance decision-makers) / Expertensystem zur Kategorisierung von erstinstanzlichen Entscheidungen über Dieselkalgen (Zielgruppe: Entscheider der 2. Instanz)"/>
    <s v="AI"/>
    <n v="2024"/>
    <s v="Germany"/>
    <s v="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 Client: Bavarian State Ministry of Justice"/>
    <m/>
    <m/>
    <s v="Public authority"/>
    <s v="Concept/planned"/>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4"/>
    <x v="0"/>
    <s v="Dark Web Monitor for cataloguing and indexing the darknet and blockchain analysis tool GraphSense for tracking payment flows with cryptocurrencies / Dark Web Monitor zur Katalogisierung und Indizierung des Darknets und Blockchain-Analysetool GraphSense zur Nachverfolgung von Zahlungsströhmungen und Kryptowährungen"/>
    <s v="AI"/>
    <n v="2024"/>
    <s v="Germany"/>
    <s v="Even more effective action against the trade in stolen data, drugs, weapons or child pornography on the digital black market by developing a &quot;search engine for the darknet&quot; based on the needs of law enforcement authorities; in addition: using a blockchain analysis tool to better track cryptocurrency flows and thus be able to follow the &quot;trail of money&quot;._x000a_Client: Bavarian State Ministry of Justice / Bavarian Cybercrime Centre"/>
    <m/>
    <m/>
    <s v="Public authority"/>
    <s v="Pilot/Beta version"/>
    <s v="Court specific"/>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05"/>
    <x v="0"/>
    <s v="Fake Shop Detector"/>
    <s v="AI"/>
    <n v="2024"/>
    <s v="Germany"/>
    <s v="Even more effective action against fake shops. Fake Shop Detector uses AI to check unknown online shops for more than 21,000 features in real time; the detector issues an alert when a suspicious shop is detected. Fake Shop Detector thus offers considerable potential for investigators to identify fake shops at an early stage. The tool could also help to better recognise the structures behind the offences and make investigations even more efficient._x000a_Client: Bavarian State Ministry of Justice / Bavarian Cybercrime Centre"/>
    <m/>
    <m/>
    <s v="Public authority"/>
    <s v="Pilot/Beta version"/>
    <s v="Court specific"/>
    <s v="Prosecutor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06"/>
    <x v="0"/>
    <s v="Juris Collect"/>
    <s v="AI"/>
    <n v="2024"/>
    <s v="Germany"/>
    <s v="Integration, structuring and categorisation of own content/decisions in juris_x000a_Client: Court of Appeal Berlin "/>
    <m/>
    <m/>
    <s v="Public authority"/>
    <s v="Pilot/Beta version"/>
    <s v="Court specific"/>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06"/>
    <x v="0"/>
    <s v="Juris Collect"/>
    <s v="AI"/>
    <n v="2024"/>
    <s v="Germany"/>
    <s v="Integration, structuring and categorisation of own content/decisions in juris_x000a_Client: Court of Appeal Berlin "/>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7"/>
    <x v="0"/>
    <s v="Speech Recognition / Spracherkennung"/>
    <s v="AI"/>
    <n v="2024"/>
    <s v="Germany"/>
    <s v="Availability of speech recognition as widely as possible, especially for judges_x000a_Client: Court of Appeal berlin_x000a_"/>
    <m/>
    <m/>
    <s v="Public authority"/>
    <s v="Functional"/>
    <s v="Court specific"/>
    <s v="Judges/clerks"/>
    <s v="7 - Recording, transcription and translation"/>
    <s v="These solutions are capable of recognizing and analysing speech, written text and communicating back. Their main use for courts is in speech recognition and transcription of court proceedings."/>
    <m/>
  </r>
  <r>
    <x v="107"/>
    <x v="0"/>
    <s v="Speech Recognition / Spracherkennung"/>
    <s v="AI"/>
    <n v="2024"/>
    <s v="Germany"/>
    <s v="Availability of speech recognition as widely as possible, especially for judges_x000a_Client: Court of Appeal berlin_x000a_"/>
    <m/>
    <m/>
    <s v="Public authority"/>
    <s v="Functional"/>
    <s v="Court specific"/>
    <s v="Management"/>
    <s v="7 - Recording, transcription and translation"/>
    <s v="These solutions are capable of recognizing and analysing speech, written text and communicating back. Their main use for courts is in speech recognition and transcription of court proceedings."/>
    <m/>
  </r>
  <r>
    <x v="108"/>
    <x v="0"/>
    <s v="Structuring and text recognition tool / Strukturierungs und Texterkennungswerkzeug "/>
    <s v="AI"/>
    <n v="2024"/>
    <s v="Germany"/>
    <s v="Creation of an AI analysis infrastructure, in particular for handling mass claims and complex proceedings_x000a_Client: Court of Appeal/Senate Administration for Justice and Consumer Protection_x000a_"/>
    <m/>
    <m/>
    <s v="Public authority"/>
    <s v="Pilot/Beta version"/>
    <s v="Court specific"/>
    <s v="Judges/clerks"/>
    <s v="4 - Decision support"/>
    <s v="These solutions facilitate or fully automate decision making processes in the justice systems"/>
    <m/>
  </r>
  <r>
    <x v="108"/>
    <x v="0"/>
    <s v="Structuring and text recognition tool / Strukturierungs und Texterkennungswerkzeug "/>
    <s v="AI"/>
    <n v="2024"/>
    <s v="Germany"/>
    <s v="Creation of an AI analysis infrastructure, in particular for handling mass claims and complex proceedings_x000a_Client: Court of Appeal/Senate Administration for Justice and Consumer Protection_x000a_"/>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8"/>
    <x v="0"/>
    <s v="Structuring and text recognition tool / Strukturierungs und Texterkennungswerkzeug "/>
    <s v="AI"/>
    <n v="2024"/>
    <s v="Germany"/>
    <s v="Creation of an AI analysis infrastructure, in particular for handling mass claims and complex proceedings_x000a_Client: Court of Appeal/Senate Administration for Justice and Consumer Protection_x000a_"/>
    <m/>
    <m/>
    <s v="Public authority"/>
    <s v="Pilot/Beta version"/>
    <s v="Court specific"/>
    <s v="Management"/>
    <s v="4 - Decision support"/>
    <s v="These solutions facilitate or fully automate decision making processes in the justice systems"/>
    <m/>
  </r>
  <r>
    <x v="108"/>
    <x v="0"/>
    <s v="Structuring and text recognition tool / Strukturierungs und Texterkennungswerkzeug "/>
    <s v="AI"/>
    <n v="2024"/>
    <s v="Germany"/>
    <s v="Creation of an AI analysis infrastructure, in particular for handling mass claims and complex proceedings_x000a_Client: Court of Appeal/Senate Administration for Justice and Consumer Protection_x000a_"/>
    <m/>
    <m/>
    <s v="Public authority"/>
    <s v="Pilot/Beta version"/>
    <s v="Court specific"/>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9"/>
    <x v="0"/>
    <s v="MAKI - &quot;Mass procedure assistance with the help of AI&quot; / Massenverfahrensassistenz mithilfe von KI"/>
    <s v="AI"/>
    <n v="2024"/>
    <s v="Germany"/>
    <s v="A software is being developed and tested that groups mass proceedings, recognises similarities, offers suitable decision patterns and individualises them with the respective metadata of the case to be decided. The software is configurable and therefore suitable for any mass procedure. The &quot;Ask my document&quot; function has also been implemented. Various LLMs are used to develop system prompts and standardise different application scenarios (e.g. the summary of the hearing in asylum cases or the elaboration of contradictions in statements, etc.). The project is scientifically supported by the Georg-August-University with a project team of currently 7 people who are developing legal and technical recommendations for the use of AI to support judicial work._x000a_Client: Ministry of Justice of Lower Saxony_x000a_"/>
    <m/>
    <m/>
    <s v="Public authority"/>
    <s v="Pilot/Beta version"/>
    <s v="Court specific"/>
    <s v="Judges/clerks"/>
    <s v="4 - Decision support"/>
    <s v="These solutions facilitate or fully automate decision making processes in the justice systems"/>
    <m/>
  </r>
  <r>
    <x v="109"/>
    <x v="0"/>
    <s v="MAKI - &quot;Mass procedure assistance with the help of AI&quot; / Massenverfahrensassistenz mithilfe von KI"/>
    <s v="AI"/>
    <n v="2024"/>
    <s v="Germany"/>
    <s v="A software is being developed and tested that groups mass proceedings, recognises similarities, offers suitable decision patterns and individualises them with the respective metadata of the case to be decided. The software is configurable and therefore suitable for any mass procedure. The &quot;Ask my document&quot; function has also been implemented. Various LLMs are used to develop system prompts and standardise different application scenarios (e.g. the summary of the hearing in asylum cases or the elaboration of contradictions in statements, etc.). The project is scientifically supported by the Georg-August-University with a project team of currently 7 people who are developing legal and technical recommendations for the use of AI to support judicial work._x000a_Client: Ministry of Justice of Lower Saxony_x000a_"/>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09"/>
    <x v="0"/>
    <s v="MAKI - &quot;Mass procedure assistance with the help of AI&quot; / Massenverfahrensassistenz mithilfe von KI"/>
    <s v="AI"/>
    <n v="2024"/>
    <s v="Germany"/>
    <s v="A software is being developed and tested that groups mass proceedings, recognises similarities, offers suitable decision patterns and individualises them with the respective metadata of the case to be decided. The software is configurable and therefore suitable for any mass procedure. The &quot;Ask my document&quot; function has also been implemented. Various LLMs are used to develop system prompts and standardise different application scenarios (e.g. the summary of the hearing in asylum cases or the elaboration of contradictions in statements, etc.). The project is scientifically supported by the Georg-August-University with a project team of currently 7 people who are developing legal and technical recommendations for the use of AI to support judicial work._x000a_Client: Ministry of Justice of Lower Saxony_x000a_"/>
    <m/>
    <m/>
    <s v="Public authority"/>
    <s v="Pilot/Beta version"/>
    <s v="Court specific"/>
    <s v="Management"/>
    <s v="4 - Decision support"/>
    <s v="These solutions facilitate or fully automate decision making processes in the justice systems"/>
    <m/>
  </r>
  <r>
    <x v="109"/>
    <x v="0"/>
    <s v="MAKI - &quot;Mass procedure assistance with the help of AI&quot; / Massenverfahrensassistenz mithilfe von KI"/>
    <s v="AI"/>
    <n v="2024"/>
    <s v="Germany"/>
    <s v="A software is being developed and tested that groups mass proceedings, recognises similarities, offers suitable decision patterns and individualises them with the respective metadata of the case to be decided. The software is configurable and therefore suitable for any mass procedure. The &quot;Ask my document&quot; function has also been implemented. Various LLMs are used to develop system prompts and standardise different application scenarios (e.g. the summary of the hearing in asylum cases or the elaboration of contradictions in statements, etc.). The project is scientifically supported by the Georg-August-University with a project team of currently 7 people who are developing legal and technical recommendations for the use of AI to support judicial work._x000a_Client: Ministry of Justice of Lower Saxony_x000a_"/>
    <m/>
    <m/>
    <s v="Public authority"/>
    <s v="Pilot/Beta version"/>
    <s v="Court specific"/>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0"/>
    <x v="0"/>
    <s v="Post Processing/ LeA"/>
    <s v="AI"/>
    <n v="2024"/>
    <s v="Germany"/>
    <s v="Development of a licence-free anonymisation tool for the judiciary with the possibility of individual licensing/post-processing, keywording, summarisation and support for the creation of guidelines using a large language model. The entire publication process is to be automated, including the recording of metadata in the metadata tool._x000a_Client: Ministry of Justice of Lower Saxony_x000a_"/>
    <m/>
    <m/>
    <s v="Public authority"/>
    <s v="Pilot/Beta version"/>
    <s v="Court specific"/>
    <s v="Judges/clerks"/>
    <s v="5 - Anonymisation and pseudonymisation"/>
    <s v="These solutions are used for removing identifying information such as personal data of court users"/>
    <m/>
  </r>
  <r>
    <x v="110"/>
    <x v="0"/>
    <s v="Post Processing/ LeA"/>
    <s v="AI"/>
    <n v="2024"/>
    <s v="Germany"/>
    <s v="Development of a licence-free anonymisation tool for the judiciary with the possibility of individual licensing/post-processing, keywording, summarisation and support for the creation of guidelines using a large language model. The entire publication process is to be automated, including the recording of metadata in the metadata tool._x000a_Client: Ministry of Justice of Lower Saxony_x000a_"/>
    <m/>
    <m/>
    <s v="Public authority"/>
    <s v="Pilot/Beta version"/>
    <s v="Court specific"/>
    <s v="Management"/>
    <s v="5 - Anonymisation and pseudonymisation"/>
    <s v="These solutions are used for removing identifying information such as personal data of court users"/>
    <m/>
  </r>
  <r>
    <x v="111"/>
    <x v="0"/>
    <s v="INFOService Justice "/>
    <s v="AI"/>
    <n v="2024"/>
    <s v="Germany"/>
    <s v="An &quot;INFOService&quot; has been set up at the Osterholz-Scharmbeck Local Court as a state-wide central office for answering citizens' enquiries in the area of ordinary jurisdiction, which can be contacted by email or telephone. The employees working there have access to a knowledge database that enables fast, AI-supported access to the underlying data sources (e.g. through guided dialogues [similar to chatbots])._x000a_Client: Ministry of Justice of Lower Saxony_x000a_"/>
    <m/>
    <m/>
    <s v="Public authority"/>
    <s v="Functional"/>
    <s v="Court specific"/>
    <s v="Court users (general public)"/>
    <s v="8 - Information and assistance services"/>
    <s v="These solutions provide individuals with information on services available in the justice systems and links individuals to the services and opportunities that are available"/>
    <m/>
  </r>
  <r>
    <x v="111"/>
    <x v="0"/>
    <s v="INFOService Justice "/>
    <s v="AI"/>
    <n v="2024"/>
    <s v="Germany"/>
    <s v="An &quot;INFOService&quot; has been set up at the Osterholz-Scharmbeck Local Court as a state-wide central office for answering citizens' enquiries in the area of ordinary jurisdiction, which can be contacted by email or telephone. The employees working there have access to a knowledge database that enables fast, AI-supported access to the underlying data sources (e.g. through guided dialogues [similar to chatbots])._x000a_Client: Ministry of Justice of Lower Saxony_x000a_"/>
    <m/>
    <m/>
    <s v="Public authority"/>
    <s v="Functional"/>
    <s v="Court specific"/>
    <s v="Management"/>
    <s v="8 - Information and assistance services"/>
    <s v="These solutions provide individuals with information on services available in the justice systems and links individuals to the services and opportunities that are available"/>
    <m/>
  </r>
  <r>
    <x v="112"/>
    <x v="0"/>
    <s v="Automated dispatch to bailiffs (RPA) / Automatisierter Versabd and die Gerichtsvollzieher (RPA)"/>
    <s v="AI"/>
    <n v="2024"/>
    <s v="Germany"/>
    <s v="Automated dispatch of electronic messages received by the court (at the bailiff distribution centre - GVST) to the bailiffs (GV) due to the constantly increasing number of entries at the GVST._x000a_There are plans to develop an algorithmic system (software) to automatically forward electronic submissions from the GVST to the GV, which will replace the previous manual transmission by employees. Among other things, this should ensure faster receipt at the GV, noticeable time savings at the GVST and a reduction in manual misrouting. The prototype is expected to be completed by mid-2024._x000a_Client: Saxon State Ministry of Justice and for Democracy, Europe and Equality"/>
    <m/>
    <m/>
    <s v="Public authority"/>
    <s v="Concept/planned"/>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2"/>
    <x v="0"/>
    <s v="Automated dispatch to bailiffs (RPA) / Automatisierter Versabd and die Gerichtsvollzieher (RPA)"/>
    <s v="AI"/>
    <n v="2024"/>
    <s v="Germany"/>
    <s v="Automated dispatch of electronic messages received by the court (at the bailiff distribution centre - GVST) to the bailiffs (GV) due to the constantly increasing number of entries at the GVST._x000a_There are plans to develop an algorithmic system (software) to automatically forward electronic submissions from the GVST to the GV, which will replace the previous manual transmission by employees. Among other things, this should ensure faster receipt at the GV, noticeable time savings at the GVST and a reduction in manual misrouting. The prototype is expected to be completed by mid-2024._x000a_Client: Saxon State Ministry of Justice and for Democracy, Europe and Equality"/>
    <m/>
    <m/>
    <s v="Public authority"/>
    <s v="Concept/planned"/>
    <s v="Court specific"/>
    <s v="Bailiff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3"/>
    <x v="0"/>
    <s v="Codefy"/>
    <s v="AI "/>
    <n v="2024"/>
    <s v="Germany"/>
    <s v="Better preparation of mass_x000a_/procedures; intuitive, low-threshold approach._x000a_Project phases: _x000a_File structuring. Development of a_x000a_assistant for analysing the content of files (currently_x000a_inspection assistant &quot;Bau&quot;); prospective development of an inspection assistant &quot;light&quot;; later possibly connection to the E-file_x000a_Client: State of Hesse, HMdJ / IT centre of the Hessian justice system_x000a_"/>
    <m/>
    <m/>
    <s v="Public authority"/>
    <s v="Pilot/Beta version"/>
    <s v="Court specific"/>
    <s v="Judges/clerks"/>
    <s v="4 - Decision support"/>
    <s v="These solutions facilitate or fully automate decision making processes in the justice systems"/>
    <m/>
  </r>
  <r>
    <x v="113"/>
    <x v="0"/>
    <s v="Codefy"/>
    <s v="AI "/>
    <n v="2024"/>
    <s v="Germany"/>
    <s v="Better preparation of mass_x000a_/procedures; intuitive, low-threshold approach._x000a_Project phases: _x000a_File structuring. Development of a_x000a_assistant for analysing the content of files (currently_x000a_inspection assistant &quot;Bau&quot;); prospective development of an inspection assistant &quot;light&quot;; later possibly connection to the E-file_x000a_Client: State of Hesse, HMdJ / IT centre of the Hessian justice system_x000a_"/>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3"/>
    <x v="0"/>
    <s v="Codefy"/>
    <s v="AI "/>
    <n v="2024"/>
    <s v="Germany"/>
    <s v="Better preparation of mass_x000a_/procedures; intuitive, low-threshold approach._x000a_Project phases: _x000a_File structuring. Development of a_x000a_assistant for analysing the content of files (currently_x000a_inspection assistant &quot;Bau&quot;); prospective development of an inspection assistant &quot;light&quot;; later possibly connection to the E-file_x000a_Client: State of Hesse, HMdJ / IT centre of the Hessian justice system_x000a_"/>
    <m/>
    <m/>
    <s v="Public authority"/>
    <s v="Pilot/Beta version"/>
    <s v="Court specific"/>
    <s v="Management"/>
    <s v="4 - Decision support"/>
    <s v="These solutions facilitate or fully automate decision making processes in the justice systems"/>
    <m/>
  </r>
  <r>
    <x v="113"/>
    <x v="0"/>
    <s v="Codefy"/>
    <s v="AI "/>
    <n v="2024"/>
    <s v="Germany"/>
    <s v="Better preparation of mass_x000a_/procedures; intuitive, low-threshold approach._x000a_Project phases: _x000a_File structuring. Development of a_x000a_assistant for analysing the content of files (currently_x000a_inspection assistant &quot;Bau&quot;); prospective development of an inspection assistant &quot;light&quot;; later possibly connection to the E-file_x000a_Client: State of Hesse, HMdJ / IT centre of the Hessian justice system_x000a_"/>
    <m/>
    <m/>
    <s v="Public authority"/>
    <s v="Pilot/Beta version"/>
    <s v="Court specific"/>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4"/>
    <x v="0"/>
    <s v="Use of AI technologies for metadata extraction in the justice system / Einsatz von KI-Technologien zur Metadatenextraktion in der Justiz"/>
    <s v="AI"/>
    <n v="2024"/>
    <s v="Germany"/>
    <s v="Transfer of procedurally relevant metadata in mass proceedings, reduction of manual activities in the processing of incoming external documents_x000a_Client: Authority for Justice and Consumer Protection (BJV), Hamburg_x000a__x000a_"/>
    <m/>
    <m/>
    <s v="Public authority"/>
    <s v="Concept/planned"/>
    <s v="Court specific"/>
    <s v="Judges/clerks"/>
    <s v="4 - Decision support"/>
    <s v="These solutions facilitate or fully automate decision making processes in the justice systems"/>
    <m/>
  </r>
  <r>
    <x v="114"/>
    <x v="0"/>
    <s v="Use of AI technologies for metadata extraction in the justice system / Einsatz von KI-Technologien zur Metadatenextraktion in der Justiz"/>
    <s v="AI"/>
    <n v="2024"/>
    <s v="Germany"/>
    <s v="Transfer of procedurally relevant metadata in mass proceedings, reduction of manual activities in the processing of incoming external documents_x000a_Client: Authority for Justice and Consumer Protection (BJV), Hamburg_x000a__x000a_"/>
    <m/>
    <m/>
    <s v="Public authority"/>
    <s v="Concept/planned"/>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4"/>
    <x v="0"/>
    <s v="Use of AI technologies for metadata extraction in the justice system / Einsatz von KI-Technologien zur Metadatenextraktion in der Justiz"/>
    <s v="AI"/>
    <n v="2024"/>
    <s v="Germany"/>
    <s v="Transfer of procedurally relevant metadata in mass proceedings, reduction of manual activities in the processing of incoming external documents_x000a_Client: Authority for Justice and Consumer Protection (BJV), Hamburg_x000a__x000a_"/>
    <m/>
    <m/>
    <s v="Public authority"/>
    <s v="Concept/planned"/>
    <s v="Court specific"/>
    <s v="Management"/>
    <s v="4 - Decision support"/>
    <s v="These solutions facilitate or fully automate decision making processes in the justice systems"/>
    <m/>
  </r>
  <r>
    <x v="114"/>
    <x v="0"/>
    <s v="Use of AI technologies for metadata extraction in the justice system / Einsatz von KI-Technologien zur Metadatenextraktion in der Justiz"/>
    <s v="AI"/>
    <n v="2024"/>
    <s v="Germany"/>
    <s v="Transfer of procedurally relevant metadata in mass proceedings, reduction of manual activities in the processing of incoming external documents_x000a_Client: Authority for Justice and Consumer Protection (BJV), Hamburg_x000a__x000a_"/>
    <m/>
    <m/>
    <s v="Public authority"/>
    <s v="Concept/planned"/>
    <s v="Court specific"/>
    <s v="Management"/>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5"/>
    <x v="0"/>
    <s v="Chatbot for the legal application service / Chatbot für den Rechtsantragsdienst"/>
    <s v="AI "/>
    <n v="2024"/>
    <s v="Germany"/>
    <s v="Development and testing of a chatbot for defined use cases in the legal application service_x000a_Client: BMJV / Joint IT of the Hanseatic Higher Regional Court and the Hamburg district courts_x000a_"/>
    <m/>
    <m/>
    <s v="Public authority"/>
    <s v="Concept/planned"/>
    <s v="Court specific"/>
    <s v="Court users (general public)"/>
    <s v="8 - Information and assistance services"/>
    <s v="These solutions provide individuals with information on services available in the justice systems and links individuals to the services and opportunities that are available"/>
    <m/>
  </r>
  <r>
    <x v="116"/>
    <x v="0"/>
    <s v="Anonymization of judgments / Einsatz von KI-Technologien zur anonymisierung von Urteilen"/>
    <s v="AI "/>
    <n v="2024"/>
    <s v="Germany"/>
    <s v="Use of AI technologies to anonymize judgments_x000a_Client: Department of Justice and Consumer Protection, Hamburg_x000a_"/>
    <m/>
    <m/>
    <s v="Public authority"/>
    <s v="Concept/planned"/>
    <s v="Court specific"/>
    <s v="Judges/clerks"/>
    <s v="5 - Anonymisation and pseudonymisation"/>
    <s v="These solutions are used for removing identifying information such as personal data of court users"/>
    <m/>
  </r>
  <r>
    <x v="116"/>
    <x v="0"/>
    <s v="Anonymization of judgments / Einsatz von KI-Technologien zur anonymisierung von Urteilen"/>
    <s v="AI "/>
    <n v="2024"/>
    <s v="Germany"/>
    <s v="Use of AI technologies to anonymize judgments_x000a_Client: Department of Justice and Consumer Protection, Hamburg_x000a_"/>
    <m/>
    <m/>
    <s v="Public authority"/>
    <s v="Concept/planned"/>
    <s v="Court specific"/>
    <s v="Management"/>
    <s v="5 - Anonymisation and pseudonymisation"/>
    <s v="These solutions are used for removing identifying information such as personal data of court users"/>
    <m/>
  </r>
  <r>
    <x v="117"/>
    <x v="0"/>
    <s v="Assistant judge for Social Courts / Richterassistenz and Sonzialgerichten"/>
    <s v="AI "/>
    <n v="2024"/>
    <s v="Germany"/>
    <s v="Use of AI technologies for more efficient handling of mass proceedings at the social court (especially facilitating document organization, but also case review and draft verdicts)_x000a_Client: Department of Justice and Consumer Protection_x000a_"/>
    <m/>
    <m/>
    <s v="Public authority"/>
    <s v="Pilot/Beta version"/>
    <s v="Court specific"/>
    <s v="Judges/clerks"/>
    <s v="4 - Decision support"/>
    <s v="These solutions facilitate or fully automate decision making processes in the justice systems"/>
    <m/>
  </r>
  <r>
    <x v="117"/>
    <x v="0"/>
    <s v="Assistant judge for Social Courts / Richterassistenz and Sonzialgerichten"/>
    <s v="AI "/>
    <n v="2024"/>
    <s v="Germany"/>
    <s v="Use of AI technologies for more efficient handling of mass proceedings at the social court (especially facilitating document organization, but also case review and draft verdicts)_x000a_Client: Department of Justice and Consumer Protection_x000a_"/>
    <m/>
    <m/>
    <s v="Public authority"/>
    <s v="Pilot/Beta version"/>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18"/>
    <x v="0"/>
    <s v="ASTRA (analysis and structuring of extensive work) / Analyse und Strukturierung umfangreicher Akten"/>
    <s v="AI "/>
    <n v="2024"/>
    <s v="Germany"/>
    <s v="Assisting judges in penetrating large-scale civil files with manual and semi-automatic structuring tools_x000a_Client: Ministry of Justice and Migration BW_x000a_"/>
    <m/>
    <m/>
    <s v="Public authority"/>
    <s v="Pilot/Beta version"/>
    <s v="Court specific"/>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19"/>
    <x v="0"/>
    <s v="JANO (Judicial anonymisation) / Justiz-Anonymisierung"/>
    <s v="AI "/>
    <n v="2024"/>
    <s v="Germany"/>
    <s v="Support of judicial staff in the anonymisation of judgments and decisions by semi-automatic recognition and replacement of personal data_x000a_Client: Ministry of Justice and Migration BW_x000a_"/>
    <m/>
    <m/>
    <s v="Public authority"/>
    <s v="Concept/planned"/>
    <s v="Court specific"/>
    <s v="Judges/clerks"/>
    <s v="5 - Anonymisation and pseudonymisation"/>
    <s v="These solutions are used for removing identifying information such as personal data of court users"/>
    <m/>
  </r>
  <r>
    <x v="120"/>
    <x v="0"/>
    <s v="Machine Translation / Maschinelle Übersetzung"/>
    <s v="AI "/>
    <n v="2024"/>
    <s v="Germany"/>
    <s v="Legal translation tool that meets the high standards of data protection and information security_x000a_Client: Ministry of Justice and Migration BW_x000a_"/>
    <m/>
    <m/>
    <s v="Public authority"/>
    <s v="Functional"/>
    <s v="Court specific"/>
    <s v="Judges/clerks"/>
    <s v="7 - Recording, transcription and translation"/>
    <s v="These solutions are capable of recognizing and analysing speech, written text and communicating back. Their main use for courts is in speech recognition and transcription of court proceedings."/>
    <m/>
  </r>
  <r>
    <x v="121"/>
    <x v="0"/>
    <s v="Codefy - Apeal decisions with focus Construction and Insurance/ Berufungsakten mit Fokus auf Bau und Versicherungen"/>
    <s v="AI"/>
    <n v="2024"/>
    <s v="Germany"/>
    <s v="Support of judges in the penetration of extensive appeal files by means of comprehensive and semi-automatic structuring tools and a decision database_x000a_Client: Ministry of Justice, Mainz and Higher Regional Court Koblenz_x000a_"/>
    <m/>
    <m/>
    <s v="Public authority"/>
    <s v="Pilot/Beta version"/>
    <s v="Court specific"/>
    <s v="Judges/clerks"/>
    <s v="1 - Document search, review and Large-scale Discovery"/>
    <s v="These solutions create a searchable collection of case descriptions, legal text and other insights to be shared with legal experts for further analysis and large-scale discovery on high volumes of electronic documents"/>
    <m/>
  </r>
  <r>
    <x v="121"/>
    <x v="0"/>
    <s v="Codefy - Apeal decisions with focus Construction and Insurance/ Berufungsakten mit Fokus auf Bau und Versicherungen"/>
    <s v="AI"/>
    <n v="2024"/>
    <s v="Germany"/>
    <s v="Support of judges in the penetration of extensive appeal files by means of comprehensive and semi-automatic structuring tools and a decision database_x000a_Client: Ministry of Justice, Mainz and Higher Regional Court Koblenz_x000a_"/>
    <m/>
    <m/>
    <s v="Public authority"/>
    <s v="Pilot/Beta version"/>
    <s v="Court specific"/>
    <s v="Judges/clerks"/>
    <s v="4 - Decision support"/>
    <s v="These solutions facilitate or fully automate decision making processes in the justice systems"/>
    <m/>
  </r>
  <r>
    <x v="122"/>
    <x v="0"/>
    <s v="E-Manual"/>
    <s v="AI "/>
    <n v="2024"/>
    <s v="Germany"/>
    <s v="Support for all eAkte users through a chat bot that generates answers to specific user questions (AI-based interactive user manual)._x000a_Client: Ministry of Justice, Mainz_x000a_"/>
    <m/>
    <m/>
    <s v="Public authority"/>
    <s v="Concept/planned"/>
    <s v="Court specific"/>
    <s v="Judges/clerks"/>
    <s v="8 - Information and assistance services"/>
    <s v="These solutions provide individuals with information on services available in the justice systems and links individuals to the services and opportunities that are available"/>
    <m/>
  </r>
  <r>
    <x v="122"/>
    <x v="0"/>
    <s v="E-Manual"/>
    <s v="AI "/>
    <n v="2024"/>
    <s v="Germany"/>
    <s v="Support for all eAkte users through a chat bot that generates answers to specific user questions (AI-based interactive user manual)._x000a_Client: Ministry of Justice, Mainz_x000a_"/>
    <m/>
    <m/>
    <s v="Public authority"/>
    <s v="Concept/planned"/>
    <s v="Court specific"/>
    <s v="Judges/clerk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22"/>
    <x v="0"/>
    <s v="E-Manual"/>
    <s v="AI "/>
    <n v="2024"/>
    <s v="Germany"/>
    <s v="Support for all eAkte users through a chat bot that generates answers to specific user questions (AI-based interactive user manual)._x000a_Client: Ministry of Justice, Mainz_x000a_"/>
    <m/>
    <m/>
    <s v="Public authority"/>
    <s v="Concept/planned"/>
    <s v="Court specific"/>
    <s v="Court users (general public)"/>
    <s v="8 - Information and assistance services"/>
    <s v="These solutions provide individuals with information on services available in the justice systems and links individuals to the services and opportunities that are available"/>
    <m/>
  </r>
  <r>
    <x v="122"/>
    <x v="0"/>
    <s v="E-Manual"/>
    <s v="AI "/>
    <n v="2024"/>
    <s v="Germany"/>
    <s v="Support for all eAkte users through a chat bot that generates answers to specific user questions (AI-based interactive user manual)._x000a_Client: Ministry of Justice, Mainz_x000a_"/>
    <m/>
    <m/>
    <s v="Public authority"/>
    <s v="Concept/planned"/>
    <s v="Court specific"/>
    <s v="Court users (general public)"/>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22"/>
    <x v="0"/>
    <s v="E-Manual"/>
    <s v="AI "/>
    <n v="2024"/>
    <s v="Germany"/>
    <s v="Support for all eAkte users through a chat bot that generates answers to specific user questions (AI-based interactive user manual)._x000a_Client: Ministry of Justice, Mainz_x000a_"/>
    <m/>
    <m/>
    <s v="Public authority"/>
    <s v="Concept/planned"/>
    <s v="Court specific"/>
    <s v="Lawyers"/>
    <s v="8 - Information and assistance services"/>
    <s v="These solutions provide individuals with information on services available in the justice systems and links individuals to the services and opportunities that are available"/>
    <m/>
  </r>
  <r>
    <x v="122"/>
    <x v="0"/>
    <s v="E-Manual"/>
    <s v="AI "/>
    <n v="2024"/>
    <s v="Germany"/>
    <s v="Support for all eAkte users through a chat bot that generates answers to specific user questions (AI-based interactive user manual)._x000a_Client: Ministry of Justice, Mainz_x000a_"/>
    <m/>
    <m/>
    <s v="Public authority"/>
    <s v="Concept/planned"/>
    <s v="Court specific"/>
    <s v="Lawyers"/>
    <s v="6 - Triaging, allocation and workflow automation"/>
    <s v="These solutions are used to facilitate or complete some tasks and activities during the lifecycle of the proceedings within the Case Management System, minimising the need for human input. Examples are: registration and allocation of court matters, assigning levels of priority to tasks or to individuals in the completion of specific tasks to determine the most effective order in which to deal with them"/>
    <m/>
  </r>
  <r>
    <x v="123"/>
    <x v="0"/>
    <s v="AI decision maker assistant with a focus on civil law /KI-Entscheider/innen-Assitenz mit Fokus auf den Zivilbereich"/>
    <s v="AI"/>
    <n v="2024"/>
    <s v="Germany"/>
    <s v="Support of the judicial department by an electronic assistant for decision-makers, who can be asked about the eAkte and should summarize file contents. The project focuses on civil matters._x000a_Objectives include the automated design of a relational table or similar (separation of disputed and undisputed facts) and a search assistant._x000a_Client: Ministry of Justice, Mainz_x000a_"/>
    <m/>
    <m/>
    <s v="Public authority"/>
    <s v="Concept/planned"/>
    <s v="Court specific"/>
    <s v="Judges/clerks"/>
    <s v="4 - Decision support"/>
    <s v="These solutions facilitate or fully automate decision making processes in the justice systems"/>
    <m/>
  </r>
  <r>
    <x v="124"/>
    <x v="0"/>
    <s v="Predictive Jurisprudence (Genoca, Pisa)"/>
    <s v="non-AI"/>
    <n v="2019"/>
    <s v="Italy"/>
    <s v="The initiative of Genoa Second Instance Court is part of the Predictive Justice project of the Pisa Superior School Sant'Anna. Its aim is the recognition of jurisprudential orientations, which can provide judges with synthetic and analytical data to evaluate the corectness of their decisions. It has been applied to: divorce proceedings, compensation for non-pecuniary damages, and compensation for damage caused by stress and work bullying. "/>
    <m/>
    <s v="https://www.santannapisa.it/it/news/locchio-della-tecnologia-sulla-giustizia-di-genova-unintelligenza-artificiale-potra-prevedere "/>
    <s v="Academic"/>
    <s v="Functional"/>
    <s v="National"/>
    <s v="Judges/clerks"/>
    <s v="3 - Prediction of Litigation Outcomes"/>
    <m/>
    <m/>
  </r>
  <r>
    <x v="124"/>
    <x v="0"/>
    <s v="Predictive Jurisprudence (Genoca, Pisa)"/>
    <s v="non-AI"/>
    <n v="2019"/>
    <s v="Italy"/>
    <s v="The initiative of Genoa Second Instance Court is part of the Predictive Justice project of the Pisa Superior School Sant'Anna. Its aim is the recognition of jurisprudential orientations, which can provide judges with synthetic and analytical data to evaluate the corectness of their decisions. It has been applied to: divorce proceedings, compensation for non-pecuniary damages, and compensation for damage caused by stress and work bullying. "/>
    <m/>
    <s v="https://www.santannapisa.it/it/news/locchio-della-tecnologia-sulla-giustizia-di-genova-unintelligenza-artificiale-potra-prevedere "/>
    <s v="Academic"/>
    <s v="Functional"/>
    <s v="National"/>
    <s v="Judges/clerks"/>
    <s v="4 - Decision support"/>
    <s v="These solutions facilitate or fully automate decision making processes in the justice systems"/>
    <m/>
  </r>
  <r>
    <x v="124"/>
    <x v="0"/>
    <s v="Predictive Jurisprudence (Genoca, Pisa)"/>
    <s v="non-AI"/>
    <n v="2019"/>
    <s v="Italy"/>
    <s v="The initiative of Genoa Second Instance Court is part of the Predictive Justice project of the Pisa Superior School Sant'Anna. Its aim is the recognition of jurisprudential orientations, which can provide judges with synthetic and analytical data to evaluate the corectness of their decisions. It has been applied to: divorce proceedings, compensation for non-pecuniary damages, and compensation for damage caused by stress and work bullying. "/>
    <m/>
    <s v="https://www.santannapisa.it/it/news/locchio-della-tecnologia-sulla-giustizia-di-genova-unintelligenza-artificiale-potra-prevedere "/>
    <s v="Academic"/>
    <s v="Functional"/>
    <s v="National"/>
    <s v="Court users (general public)"/>
    <s v="3 - Prediction of Litigation Outcomes"/>
    <m/>
    <m/>
  </r>
  <r>
    <x v="124"/>
    <x v="0"/>
    <s v="Predictive Jurisprudence (Genoca, Pisa)"/>
    <s v="non-AI"/>
    <n v="2019"/>
    <s v="Italy"/>
    <s v="The initiative of Genoa Second Instance Court is part of the Predictive Justice project of the Pisa Superior School Sant'Anna. Its aim is the recognition of jurisprudential orientations, which can provide judges with synthetic and analytical data to evaluate the corectness of their decisions. It has been applied to: divorce proceedings, compensation for non-pecuniary damages, and compensation for damage caused by stress and work bullying. "/>
    <m/>
    <s v="https://www.santannapisa.it/it/news/locchio-della-tecnologia-sulla-giustizia-di-genova-unintelligenza-artificiale-potra-prevedere "/>
    <s v="Academic"/>
    <s v="Functional"/>
    <s v="National"/>
    <s v="Court users (general public)"/>
    <s v="4 - Decision support"/>
    <s v="These solutions facilitate or fully automate decision making processes in the justice systems"/>
    <m/>
  </r>
  <r>
    <x v="125"/>
    <x v="0"/>
    <s v="TIPKO / Speech to text "/>
    <s v="AI"/>
    <n v="2023"/>
    <s v="Slovenia"/>
    <s v="The system directly transforms the audio recordings to text, based on machine learning and ontology of Slovene language."/>
    <m/>
    <m/>
    <s v="Public authority"/>
    <s v="Functional"/>
    <s v="National"/>
    <s v="Management"/>
    <s v="7 - Recording, transcription and translation"/>
    <s v="These solutions are capable of recognizing and analysing speech, written text and communicating back. Their main use for courts is in speech recognition and transcription of court proceedings."/>
    <m/>
  </r>
  <r>
    <x v="125"/>
    <x v="0"/>
    <s v="TIPKO / Speech to text "/>
    <s v="AI"/>
    <n v="2023"/>
    <s v="Slovenia"/>
    <s v="The system directly transforms the audio recordings to text, based on machine learning and ontology of Slovene language."/>
    <m/>
    <m/>
    <s v="Public authority"/>
    <s v="Functional"/>
    <s v="National"/>
    <s v="Court users (general public)"/>
    <s v="7 - Recording, transcription and translation"/>
    <s v="These solutions are capable of recognizing and analysing speech, written text and communicating back. Their main use for courts is in speech recognition and transcription of court proceedings."/>
    <m/>
  </r>
  <r>
    <x v="126"/>
    <x v="0"/>
    <s v="The 206 system"/>
    <s v="AI"/>
    <n v="2018"/>
    <s v="China"/>
    <s v="The system can accept verbal commands to display relevant information on digital screens. It is also able to transcribe speech throughout hearings and identify speakers according to their roles: judges, prosecutors, defendants, and others.  It can assist the judge to ascertain facts and to identify evidence."/>
    <m/>
    <s v="https://www.sixthtone.com/news/1003496/shanghai-court-adopts-new-ai-assistant "/>
    <s v="Public authority"/>
    <s v="Functional"/>
    <s v="Court specific"/>
    <s v="Judges/clerks"/>
    <s v="7 - Recording, transcription and translation"/>
    <s v="These solutions are capable of recognizing and analysing speech, written text and communicating back. Their main use for courts is in speech recognition and transcription of court proceedings."/>
    <m/>
  </r>
  <r>
    <x v="126"/>
    <x v="0"/>
    <s v="The 206 system"/>
    <s v="AI"/>
    <n v="2018"/>
    <s v="China"/>
    <s v="The system can accept verbal commands to display relevant information on digital screens. It is also able to transcribe speech throughout hearings and identify speakers according to their roles: judges, prosecutors, defendants, and others.  It can assist the judge to ascertain facts and to identify evidence."/>
    <m/>
    <s v="https://www.sixthtone.com/news/1003496/shanghai-court-adopts-new-ai-assistant "/>
    <s v="Public authority"/>
    <s v="Functional"/>
    <s v="Court specific"/>
    <s v="Judges/clerks"/>
    <s v="4 - Decision support"/>
    <s v="These solutions facilitate or fully automate decision making processes in the justice systems"/>
    <m/>
  </r>
  <r>
    <x v="126"/>
    <x v="0"/>
    <s v="The 206 system"/>
    <s v="AI"/>
    <n v="2018"/>
    <s v="China"/>
    <s v="The system can accept verbal commands to display relevant information on digital screens. It is also able to transcribe speech throughout hearings and identify speakers according to their roles: judges, prosecutors, defendants, and others.  It can assist the judge to ascertain facts and to identify evidence."/>
    <m/>
    <s v="https://www.sixthtone.com/news/1003496/shanghai-court-adopts-new-ai-assistant "/>
    <s v="Public authority"/>
    <s v="Functional"/>
    <s v="Court specific"/>
    <s v="Management"/>
    <s v="7 - Recording, transcription and translation"/>
    <s v="These solutions are capable of recognizing and analysing speech, written text and communicating back. Their main use for courts is in speech recognition and transcription of court proceedings."/>
    <m/>
  </r>
  <r>
    <x v="126"/>
    <x v="0"/>
    <s v="The 206 system"/>
    <s v="AI"/>
    <n v="2018"/>
    <s v="China"/>
    <s v="The system can accept verbal commands to display relevant information on digital screens. It is also able to transcribe speech throughout hearings and identify speakers according to their roles: judges, prosecutors, defendants, and others.  It can assist the judge to ascertain facts and to identify evidence."/>
    <m/>
    <s v="https://www.sixthtone.com/news/1003496/shanghai-court-adopts-new-ai-assistant "/>
    <s v="Public authority"/>
    <s v="Functional"/>
    <s v="Court specific"/>
    <s v="Management"/>
    <s v="4 - Decision support"/>
    <s v="These solutions facilitate or fully automate decision making processes in the justice systems"/>
    <m/>
  </r>
  <r>
    <x v="127"/>
    <x v="0"/>
    <s v="AI-assisted sentencing"/>
    <s v="AI"/>
    <n v="2019"/>
    <s v="China"/>
    <s v="The Hainan High People's Court has introduced a system to standardise sentencing. It employs big data and AI technologies, such as natural language processing, knowledge graphs and deep learning, to automatically pick out key facts in a case and formulate a written judgment, after data analysis based on decisions from previous cases."/>
    <m/>
    <s v="https://www.chinadaily.com.cn/cndy/2019-04/18/content_37459601.htm"/>
    <s v="Public authority"/>
    <s v="Functional"/>
    <s v="Court specific"/>
    <s v="Judges/clerks"/>
    <s v="4 - Decision support"/>
    <s v="These solutions facilitate or fully automate decision making processes in the justice systems"/>
    <m/>
  </r>
  <r>
    <x v="127"/>
    <x v="0"/>
    <s v="AI-assisted sentencing"/>
    <s v="AI"/>
    <n v="2019"/>
    <s v="China"/>
    <s v="The Hainan High People's Court has introduced a system to standardise sentencing. It employs big data and AI technologies, such as natural language processing, knowledge graphs and deep learning, to automatically pick out key facts in a case and formulate a written judgment, after data analysis based on decisions from previous cases."/>
    <m/>
    <s v="https://www.chinadaily.com.cn/cndy/2019-04/18/content_37459601.htm"/>
    <s v="Public authority"/>
    <s v="Functional"/>
    <s v="Court specific"/>
    <s v="Judges/clerks"/>
    <s v="3 - Prediction of Litigation Outcomes"/>
    <m/>
    <m/>
  </r>
  <r>
    <x v="128"/>
    <x v="0"/>
    <s v="Mobile MiniCourt "/>
    <s v="non-AI"/>
    <n v="2021"/>
    <s v="China"/>
    <s v="The Mobile MiniCourt is a WeChat Applet (China's largest social media)  allowing parties living abroad to file a lawsuit in a Chinese court on the Internet, by completing the relevant operations on the mobile online platform with a mobile device.  The platform has a modular design, currently comprising: case filing, service, evidence exchange, mediation, court hearing, and enforcement. It introduces technologies, such as facial recognition, electronic signatures and multi-access real-time audio and video interaction. "/>
    <m/>
    <s v="https://www.chinajusticeobserver.com/a/chinese-courts-on-smart-phones"/>
    <s v="Public authority"/>
    <s v="Functional"/>
    <s v="National"/>
    <s v="Court users (general public)"/>
    <s v="2 - Online Dispute Resolution"/>
    <m/>
    <m/>
  </r>
  <r>
    <x v="128"/>
    <x v="0"/>
    <s v="Mobile MiniCourt "/>
    <s v="non-AI"/>
    <n v="2021"/>
    <s v="China"/>
    <s v="The Mobile MiniCourt is a WeChat Applet (China's largest social media)  allowing parties living abroad to file a lawsuit in a Chinese court on the Internet, by completing the relevant operations on the mobile online platform with a mobile device.  The platform has a modular design, currently comprising: case filing, service, evidence exchange, mediation, court hearing, and enforcement. It introduces technologies, such as facial recognition, electronic signatures and multi-access real-time audio and video interaction. "/>
    <m/>
    <s v="https://www.chinajusticeobserver.com/a/chinese-courts-on-smart-phones"/>
    <s v="Public authority"/>
    <s v="Functional"/>
    <s v="National"/>
    <s v="Management"/>
    <s v="2 - Online Dispute Resolution"/>
    <m/>
    <m/>
  </r>
  <r>
    <x v="129"/>
    <x v="0"/>
    <s v="The Hangzhou Internet Court "/>
    <s v="AI"/>
    <n v="2017"/>
    <s v="China"/>
    <s v="The court uses new technologies such as blockchain in the online settlement of  civil and administrative disputes. By mid 2022 it concluded apparently more than  80,000 cases. "/>
    <m/>
    <s v="http://www.ezhejiang.gov.cn/2022-08/23/c_804705.htm "/>
    <s v="Public authority"/>
    <s v="Functional"/>
    <s v="National"/>
    <s v="Court users (general public)"/>
    <s v="2 - Online Dispute Resolution"/>
    <m/>
    <m/>
  </r>
  <r>
    <x v="129"/>
    <x v="0"/>
    <s v="The Hangzhou Internet Court "/>
    <s v="AI"/>
    <n v="2017"/>
    <s v="China"/>
    <s v="The court uses new technologies such as blockchain in the online settlement of  civil and administrative disputes. By mid 2022 it concluded apparently more than  80,000 cases. "/>
    <m/>
    <s v="http://www.ezhejiang.gov.cn/2022-08/23/c_804705.htm "/>
    <s v="Public authority"/>
    <s v="Functional"/>
    <s v="National"/>
    <s v="Management"/>
    <s v="2 - Online Dispute Resolution"/>
    <m/>
    <m/>
  </r>
  <r>
    <x v="130"/>
    <x v="0"/>
    <s v="ClaudeAI: Claude (by Anthropic) – Conversational AI tools, chatbots, etc."/>
    <s v="AI"/>
    <n v="2023"/>
    <s v="USA"/>
    <s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laude.ai/"/>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0"/>
    <x v="0"/>
    <s v="ClaudeAI: Claude (by Anthropic) – Conversational AI tools, chatbots, etc."/>
    <s v="AI"/>
    <n v="2023"/>
    <s v="USA"/>
    <s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laude.ai/"/>
    <m/>
    <s v="Functional"/>
    <s v="International"/>
    <s v="Court users (general public)"/>
    <s v="4 - Decision support"/>
    <s v="These solutions facilitate or fully automate decision making processes in the justice systems"/>
    <m/>
  </r>
  <r>
    <x v="130"/>
    <x v="0"/>
    <s v="ClaudeAI: Claude (by Anthropic) – Conversational AI tools, chatbots, etc."/>
    <s v="AI"/>
    <n v="2023"/>
    <s v="USA"/>
    <s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laude.ai/"/>
    <m/>
    <s v="Functional"/>
    <s v="International"/>
    <s v="Judges/clerks"/>
    <s v="8 - Information and assistance services"/>
    <s v="These solutions provide individuals with information on services available in the justice systems and links individuals to the services and opportunities that are available"/>
    <m/>
  </r>
  <r>
    <x v="130"/>
    <x v="0"/>
    <s v="ClaudeAI: Claude (by Anthropic) – Conversational AI tools, chatbots, etc."/>
    <s v="AI"/>
    <n v="2023"/>
    <s v="USA"/>
    <s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laude.ai/"/>
    <m/>
    <s v="Functional"/>
    <s v="International"/>
    <s v="Judges/clerks"/>
    <s v="4 - Decision support"/>
    <s v="These solutions facilitate or fully automate decision making processes in the justice systems"/>
    <m/>
  </r>
  <r>
    <x v="130"/>
    <x v="0"/>
    <s v="ClaudeAI: Claude (by Anthropic) – Conversational AI tools, chatbots, etc."/>
    <s v="AI"/>
    <n v="2023"/>
    <s v="USA"/>
    <s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laude.ai/"/>
    <m/>
    <s v="Functional"/>
    <s v="International"/>
    <s v="Lawyers"/>
    <s v="8 - Information and assistance services"/>
    <s v="These solutions provide individuals with information on services available in the justice systems and links individuals to the services and opportunities that are available"/>
    <m/>
  </r>
  <r>
    <x v="130"/>
    <x v="0"/>
    <s v="ClaudeAI: Claude (by Anthropic) – Conversational AI tools, chatbots, etc."/>
    <s v="AI"/>
    <n v="2023"/>
    <s v="USA"/>
    <s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laude.ai/"/>
    <m/>
    <s v="Functional"/>
    <s v="International"/>
    <s v="Lawyers"/>
    <s v="4 - Decision support"/>
    <s v="These solutions facilitate or fully automate decision making processes in the justice systems"/>
    <m/>
  </r>
  <r>
    <x v="131"/>
    <x v="0"/>
    <s v="Google Gemini: Google Gemini (by DeepMind) – previously Google Bard (now renamed to Gemini), search-related AI tools"/>
    <s v="AI"/>
    <n v="2023"/>
    <s v="USA"/>
    <s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gemini.google.com/"/>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1"/>
    <x v="0"/>
    <s v="Google Gemini: Google Gemini (by DeepMind) – previously Google Bard (now renamed to Gemini), search-related AI tools"/>
    <s v="AI"/>
    <n v="2023"/>
    <s v="USA"/>
    <s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gemini.google.com/"/>
    <m/>
    <s v="Functional"/>
    <s v="International"/>
    <s v="Court users (general public)"/>
    <s v="4 - Decision support"/>
    <s v="These solutions facilitate or fully automate decision making processes in the justice systems"/>
    <m/>
  </r>
  <r>
    <x v="131"/>
    <x v="0"/>
    <s v="Google Gemini: Google Gemini (by DeepMind) – previously Google Bard (now renamed to Gemini), search-related AI tools"/>
    <s v="AI"/>
    <n v="2023"/>
    <s v="USA"/>
    <s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gemini.google.com/"/>
    <m/>
    <s v="Functional"/>
    <s v="International"/>
    <s v="Judges/clerks"/>
    <s v="8 - Information and assistance services"/>
    <s v="These solutions provide individuals with information on services available in the justice systems and links individuals to the services and opportunities that are available"/>
    <m/>
  </r>
  <r>
    <x v="131"/>
    <x v="0"/>
    <s v="Google Gemini: Google Gemini (by DeepMind) – previously Google Bard (now renamed to Gemini), search-related AI tools"/>
    <s v="AI"/>
    <n v="2023"/>
    <s v="USA"/>
    <s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gemini.google.com/"/>
    <m/>
    <s v="Functional"/>
    <s v="International"/>
    <s v="Judges/clerks"/>
    <s v="4 - Decision support"/>
    <s v="These solutions facilitate or fully automate decision making processes in the justice systems"/>
    <m/>
  </r>
  <r>
    <x v="131"/>
    <x v="0"/>
    <s v="Google Gemini: Google Gemini (by DeepMind) – previously Google Bard (now renamed to Gemini), search-related AI tools"/>
    <s v="AI"/>
    <n v="2023"/>
    <s v="USA"/>
    <s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gemini.google.com/"/>
    <m/>
    <s v="Functional"/>
    <s v="International"/>
    <s v="Lawyers"/>
    <s v="8 - Information and assistance services"/>
    <s v="These solutions provide individuals with information on services available in the justice systems and links individuals to the services and opportunities that are available"/>
    <m/>
  </r>
  <r>
    <x v="131"/>
    <x v="0"/>
    <s v="Google Gemini: Google Gemini (by DeepMind) – previously Google Bard (now renamed to Gemini), search-related AI tools"/>
    <s v="AI"/>
    <n v="2023"/>
    <s v="USA"/>
    <s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gemini.google.com/"/>
    <m/>
    <s v="Functional"/>
    <s v="International"/>
    <s v="Lawyers"/>
    <s v="4 - Decision support"/>
    <s v="These solutions facilitate or fully automate decision making processes in the justice systems"/>
    <m/>
  </r>
  <r>
    <x v="132"/>
    <x v="0"/>
    <s v="Microsoft Copilot: GPT (or other LLMs) – Copilot in Office apps (Word, Excel, etc.)"/>
    <s v="AI"/>
    <n v="2023"/>
    <s v="USA"/>
    <s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opilot.cloud.microsoft/"/>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2"/>
    <x v="0"/>
    <s v="Microsoft Copilot: GPT (or other LLMs) – Copilot in Office apps (Word, Excel, etc.)"/>
    <s v="AI"/>
    <n v="2023"/>
    <s v="USA"/>
    <s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opilot.cloud.microsoft/"/>
    <m/>
    <s v="Functional"/>
    <s v="International"/>
    <s v="Court users (general public)"/>
    <s v="4 - Decision support"/>
    <s v="These solutions facilitate or fully automate decision making processes in the justice systems"/>
    <m/>
  </r>
  <r>
    <x v="132"/>
    <x v="0"/>
    <s v="Microsoft Copilot: GPT (or other LLMs) – Copilot in Office apps (Word, Excel, etc.)"/>
    <s v="AI"/>
    <n v="2023"/>
    <s v="USA"/>
    <s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opilot.cloud.microsoft/"/>
    <m/>
    <s v="Functional"/>
    <s v="International"/>
    <s v="Judges/clerks"/>
    <s v="8 - Information and assistance services"/>
    <s v="These solutions provide individuals with information on services available in the justice systems and links individuals to the services and opportunities that are available"/>
    <m/>
  </r>
  <r>
    <x v="132"/>
    <x v="0"/>
    <s v="Microsoft Copilot: GPT (or other LLMs) – Copilot in Office apps (Word, Excel, etc.)"/>
    <s v="AI"/>
    <n v="2023"/>
    <s v="USA"/>
    <s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opilot.cloud.microsoft/"/>
    <m/>
    <s v="Functional"/>
    <s v="International"/>
    <s v="Judges/clerks"/>
    <s v="4 - Decision support"/>
    <s v="These solutions facilitate or fully automate decision making processes in the justice systems"/>
    <m/>
  </r>
  <r>
    <x v="132"/>
    <x v="0"/>
    <s v="Microsoft Copilot: GPT (or other LLMs) – Copilot in Office apps (Word, Excel, etc.)"/>
    <s v="AI"/>
    <n v="2023"/>
    <s v="USA"/>
    <s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opilot.cloud.microsoft/"/>
    <m/>
    <s v="Functional"/>
    <s v="International"/>
    <s v="Lawyers"/>
    <s v="8 - Information and assistance services"/>
    <s v="These solutions provide individuals with information on services available in the justice systems and links individuals to the services and opportunities that are available"/>
    <m/>
  </r>
  <r>
    <x v="132"/>
    <x v="0"/>
    <s v="Microsoft Copilot: GPT (or other LLMs) – Copilot in Office apps (Word, Excel, etc.)"/>
    <s v="AI"/>
    <n v="2023"/>
    <s v="USA"/>
    <s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opilot.cloud.microsoft/"/>
    <m/>
    <s v="Functional"/>
    <s v="International"/>
    <s v="Lawyers"/>
    <s v="4 - Decision support"/>
    <s v="These solutions facilitate or fully automate decision making processes in the justice systems"/>
    <m/>
  </r>
  <r>
    <x v="133"/>
    <x v="0"/>
    <s v="Meta AI: LLaMA, other Meta LLMs – AI for social media, content moderation, chatbots"/>
    <s v="AI"/>
    <n v="2023"/>
    <s v="USA"/>
    <s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ai.meta.com/"/>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3"/>
    <x v="0"/>
    <s v="Meta AI: LLaMA, other Meta LLMs – AI for social media, content moderation, chatbots"/>
    <s v="AI"/>
    <n v="2023"/>
    <s v="USA"/>
    <s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ai.meta.com/"/>
    <m/>
    <s v="Functional"/>
    <s v="International"/>
    <s v="Court users (general public)"/>
    <s v="4 - Decision support"/>
    <s v="These solutions facilitate or fully automate decision making processes in the justice systems"/>
    <m/>
  </r>
  <r>
    <x v="133"/>
    <x v="0"/>
    <s v="Meta AI: LLaMA, other Meta LLMs – AI for social media, content moderation, chatbots"/>
    <s v="AI"/>
    <n v="2023"/>
    <s v="USA"/>
    <s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ai.meta.com/"/>
    <m/>
    <s v="Functional"/>
    <s v="International"/>
    <s v="Judges/clerks"/>
    <s v="8 - Information and assistance services"/>
    <s v="These solutions provide individuals with information on services available in the justice systems and links individuals to the services and opportunities that are available"/>
    <m/>
  </r>
  <r>
    <x v="133"/>
    <x v="0"/>
    <s v="Meta AI: LLaMA, other Meta LLMs – AI for social media, content moderation, chatbots"/>
    <s v="AI"/>
    <n v="2023"/>
    <s v="USA"/>
    <s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ai.meta.com/"/>
    <m/>
    <s v="Functional"/>
    <s v="International"/>
    <s v="Judges/clerks"/>
    <s v="4 - Decision support"/>
    <s v="These solutions facilitate or fully automate decision making processes in the justice systems"/>
    <m/>
  </r>
  <r>
    <x v="133"/>
    <x v="0"/>
    <s v="Meta AI: LLaMA, other Meta LLMs – AI for social media, content moderation, chatbots"/>
    <s v="AI"/>
    <n v="2023"/>
    <s v="USA"/>
    <s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ai.meta.com/"/>
    <m/>
    <s v="Functional"/>
    <s v="International"/>
    <s v="Lawyers"/>
    <s v="8 - Information and assistance services"/>
    <s v="These solutions provide individuals with information on services available in the justice systems and links individuals to the services and opportunities that are available"/>
    <m/>
  </r>
  <r>
    <x v="133"/>
    <x v="0"/>
    <s v="Meta AI: LLaMA, other Meta LLMs – AI for social media, content moderation, chatbots"/>
    <s v="AI"/>
    <n v="2023"/>
    <s v="USA"/>
    <s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ai.meta.com/"/>
    <m/>
    <s v="Functional"/>
    <s v="International"/>
    <s v="Lawyers"/>
    <s v="4 - Decision support"/>
    <s v="These solutions facilitate or fully automate decision making processes in the justice systems"/>
    <m/>
  </r>
  <r>
    <x v="134"/>
    <x v="0"/>
    <s v="Perplexity AI: GPT, but also other LLMs – Conversational search engine, query-based tools"/>
    <s v="AI"/>
    <n v="2022"/>
    <s v="USA"/>
    <s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perplexity.ai"/>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4"/>
    <x v="0"/>
    <s v="Perplexity AI: GPT, but also other LLMs – Conversational search engine, query-based tools"/>
    <s v="AI"/>
    <n v="2022"/>
    <s v="USA"/>
    <s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perplexity.ai"/>
    <m/>
    <s v="Functional"/>
    <s v="International"/>
    <s v="Court users (general public)"/>
    <s v="4 - Decision support"/>
    <s v="These solutions facilitate or fully automate decision making processes in the justice systems"/>
    <m/>
  </r>
  <r>
    <x v="134"/>
    <x v="0"/>
    <s v="Perplexity AI: GPT, but also other LLMs – Conversational search engine, query-based tools"/>
    <s v="AI"/>
    <n v="2022"/>
    <s v="USA"/>
    <s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perplexity.ai"/>
    <m/>
    <s v="Functional"/>
    <s v="International"/>
    <s v="Judges/clerks"/>
    <s v="8 - Information and assistance services"/>
    <s v="These solutions provide individuals with information on services available in the justice systems and links individuals to the services and opportunities that are available"/>
    <m/>
  </r>
  <r>
    <x v="134"/>
    <x v="0"/>
    <s v="Perplexity AI: GPT, but also other LLMs – Conversational search engine, query-based tools"/>
    <s v="AI"/>
    <n v="2022"/>
    <s v="USA"/>
    <s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perplexity.ai"/>
    <m/>
    <s v="Functional"/>
    <s v="International"/>
    <s v="Judges/clerks"/>
    <s v="4 - Decision support"/>
    <s v="These solutions facilitate or fully automate decision making processes in the justice systems"/>
    <m/>
  </r>
  <r>
    <x v="134"/>
    <x v="0"/>
    <s v="Perplexity AI: GPT, but also other LLMs – Conversational search engine, query-based tools"/>
    <s v="AI"/>
    <n v="2022"/>
    <s v="USA"/>
    <s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perplexity.ai"/>
    <m/>
    <s v="Functional"/>
    <s v="International"/>
    <s v="Lawyers"/>
    <s v="8 - Information and assistance services"/>
    <s v="These solutions provide individuals with information on services available in the justice systems and links individuals to the services and opportunities that are available"/>
    <m/>
  </r>
  <r>
    <x v="134"/>
    <x v="0"/>
    <s v="Perplexity AI: GPT, but also other LLMs – Conversational search engine, query-based tools"/>
    <s v="AI"/>
    <n v="2022"/>
    <s v="USA"/>
    <s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perplexity.ai"/>
    <m/>
    <s v="Functional"/>
    <s v="International"/>
    <s v="Lawyers"/>
    <s v="4 - Decision support"/>
    <s v="These solutions facilitate or fully automate decision making processes in the justice systems"/>
    <m/>
  </r>
  <r>
    <x v="135"/>
    <x v="0"/>
    <s v="Mistral Le Chat: Mistral LLM (open-weight) – Chatbots and conversational tools"/>
    <s v="AI"/>
    <n v="2024"/>
    <s v="France"/>
    <s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hat.mistral.ai/chat"/>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5"/>
    <x v="0"/>
    <s v="Mistral Le Chat: Mistral LLM (open-weight) – Chatbots and conversational tools"/>
    <s v="AI"/>
    <n v="2024"/>
    <s v="France"/>
    <s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hat.mistral.ai/chat"/>
    <m/>
    <s v="Functional"/>
    <s v="International"/>
    <s v="Court users (general public)"/>
    <s v="4 - Decision support"/>
    <s v="These solutions facilitate or fully automate decision making processes in the justice systems"/>
    <m/>
  </r>
  <r>
    <x v="135"/>
    <x v="0"/>
    <s v="Mistral Le Chat: Mistral LLM (open-weight) – Chatbots and conversational tools"/>
    <s v="AI"/>
    <n v="2024"/>
    <s v="France"/>
    <s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hat.mistral.ai/chat"/>
    <m/>
    <s v="Functional"/>
    <s v="International"/>
    <s v="Judges/clerks"/>
    <s v="8 - Information and assistance services"/>
    <s v="These solutions provide individuals with information on services available in the justice systems and links individuals to the services and opportunities that are available"/>
    <m/>
  </r>
  <r>
    <x v="135"/>
    <x v="0"/>
    <s v="Mistral Le Chat: Mistral LLM (open-weight) – Chatbots and conversational tools"/>
    <s v="AI"/>
    <n v="2024"/>
    <s v="France"/>
    <s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hat.mistral.ai/chat"/>
    <m/>
    <s v="Functional"/>
    <s v="International"/>
    <s v="Judges/clerks"/>
    <s v="4 - Decision support"/>
    <s v="These solutions facilitate or fully automate decision making processes in the justice systems"/>
    <m/>
  </r>
  <r>
    <x v="135"/>
    <x v="0"/>
    <s v="Mistral Le Chat: Mistral LLM (open-weight) – Chatbots and conversational tools"/>
    <s v="AI"/>
    <n v="2024"/>
    <s v="France"/>
    <s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hat.mistral.ai/chat"/>
    <m/>
    <s v="Functional"/>
    <s v="International"/>
    <s v="Lawyers"/>
    <s v="8 - Information and assistance services"/>
    <s v="These solutions provide individuals with information on services available in the justice systems and links individuals to the services and opportunities that are available"/>
    <m/>
  </r>
  <r>
    <x v="135"/>
    <x v="0"/>
    <s v="Mistral Le Chat: Mistral LLM (open-weight) – Chatbots and conversational tools"/>
    <s v="AI"/>
    <n v="2024"/>
    <s v="France"/>
    <s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chat.mistral.ai/chat"/>
    <m/>
    <s v="Functional"/>
    <s v="International"/>
    <s v="Lawyers"/>
    <s v="4 - Decision support"/>
    <s v="These solutions facilitate or fully automate decision making processes in the justice systems"/>
    <m/>
  </r>
  <r>
    <x v="136"/>
    <x v="0"/>
    <s v="DeepSeek: LLM + Search Models – Knowledge exploration, information retrieval tools"/>
    <s v="AI"/>
    <n v="2024"/>
    <s v="China"/>
    <s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deepseek.com"/>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6"/>
    <x v="0"/>
    <s v="DeepSeek: LLM + Search Models – Knowledge exploration, information retrieval tools"/>
    <s v="AI"/>
    <n v="2024"/>
    <s v="China"/>
    <s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deepseek.com"/>
    <m/>
    <s v="Functional"/>
    <s v="International"/>
    <s v="Court users (general public)"/>
    <s v="4 - Decision support"/>
    <s v="These solutions facilitate or fully automate decision making processes in the justice systems"/>
    <m/>
  </r>
  <r>
    <x v="136"/>
    <x v="0"/>
    <s v="DeepSeek: LLM + Search Models – Knowledge exploration, information retrieval tools"/>
    <s v="AI"/>
    <n v="2024"/>
    <s v="China"/>
    <s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deepseek.com"/>
    <m/>
    <s v="Functional"/>
    <s v="International"/>
    <s v="Judges/clerks"/>
    <s v="8 - Information and assistance services"/>
    <s v="These solutions provide individuals with information on services available in the justice systems and links individuals to the services and opportunities that are available"/>
    <m/>
  </r>
  <r>
    <x v="136"/>
    <x v="0"/>
    <s v="DeepSeek: LLM + Search Models – Knowledge exploration, information retrieval tools"/>
    <s v="AI"/>
    <n v="2024"/>
    <s v="China"/>
    <s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deepseek.com"/>
    <m/>
    <s v="Functional"/>
    <s v="International"/>
    <s v="Judges/clerks"/>
    <s v="4 - Decision support"/>
    <s v="These solutions facilitate or fully automate decision making processes in the justice systems"/>
    <m/>
  </r>
  <r>
    <x v="136"/>
    <x v="0"/>
    <s v="DeepSeek: LLM + Search Models – Knowledge exploration, information retrieval tools"/>
    <s v="AI"/>
    <n v="2024"/>
    <s v="China"/>
    <s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deepseek.com"/>
    <m/>
    <s v="Functional"/>
    <s v="International"/>
    <s v="Lawyers"/>
    <s v="8 - Information and assistance services"/>
    <s v="These solutions provide individuals with information on services available in the justice systems and links individuals to the services and opportunities that are available"/>
    <m/>
  </r>
  <r>
    <x v="136"/>
    <x v="0"/>
    <s v="DeepSeek: LLM + Search Models – Knowledge exploration, information retrieval tools"/>
    <s v="AI"/>
    <n v="2024"/>
    <s v="China"/>
    <s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www.deepseek.com"/>
    <m/>
    <s v="Functional"/>
    <s v="International"/>
    <s v="Lawyers"/>
    <s v="4 - Decision support"/>
    <s v="These solutions facilitate or fully automate decision making processes in the justice systems"/>
    <m/>
  </r>
  <r>
    <x v="137"/>
    <x v="0"/>
    <s v="Grok: Grok LLM (by xAI) – Chatbots, AI for social media, customer service"/>
    <s v="AI"/>
    <n v="2025"/>
    <s v="USA"/>
    <s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x.ai/grok"/>
    <m/>
    <s v="Functional"/>
    <s v="International"/>
    <s v="Court users (general public)"/>
    <s v="8 - Information and assistance services"/>
    <s v="These solutions provide individuals with information on services available in the justice systems and links individuals to the services and opportunities that are available"/>
    <m/>
  </r>
  <r>
    <x v="137"/>
    <x v="0"/>
    <s v="Grok: Grok LLM (by xAI) – Chatbots, AI for social media, customer service"/>
    <s v="AI"/>
    <n v="2025"/>
    <s v="USA"/>
    <s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x.ai/grok"/>
    <m/>
    <s v="Functional"/>
    <s v="International"/>
    <s v="Court users (general public)"/>
    <s v="4 - Decision support"/>
    <s v="These solutions facilitate or fully automate decision making processes in the justice systems"/>
    <m/>
  </r>
  <r>
    <x v="137"/>
    <x v="0"/>
    <s v="Grok: Grok LLM (by xAI) – Chatbots, AI for social media, customer service"/>
    <s v="AI"/>
    <n v="2025"/>
    <s v="USA"/>
    <s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x.ai/grok"/>
    <m/>
    <s v="Functional"/>
    <s v="International"/>
    <s v="Judges/clerks"/>
    <s v="8 - Information and assistance services"/>
    <s v="These solutions provide individuals with information on services available in the justice systems and links individuals to the services and opportunities that are available"/>
    <m/>
  </r>
  <r>
    <x v="137"/>
    <x v="0"/>
    <s v="Grok: Grok LLM (by xAI) – Chatbots, AI for social media, customer service"/>
    <s v="AI"/>
    <n v="2025"/>
    <s v="USA"/>
    <s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x.ai/grok"/>
    <m/>
    <s v="Functional"/>
    <s v="International"/>
    <s v="Judges/clerks"/>
    <s v="4 - Decision support"/>
    <s v="These solutions facilitate or fully automate decision making processes in the justice systems"/>
    <m/>
  </r>
  <r>
    <x v="137"/>
    <x v="0"/>
    <s v="Grok: Grok LLM (by xAI) – Chatbots, AI for social media, customer service"/>
    <s v="AI"/>
    <n v="2025"/>
    <s v="USA"/>
    <s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x.ai/grok"/>
    <m/>
    <s v="Functional"/>
    <s v="International"/>
    <s v="Lawyers"/>
    <s v="8 - Information and assistance services"/>
    <s v="These solutions provide individuals with information on services available in the justice systems and links individuals to the services and opportunities that are available"/>
    <m/>
  </r>
  <r>
    <x v="137"/>
    <x v="0"/>
    <s v="Grok: Grok LLM (by xAI) – Chatbots, AI for social media, customer service"/>
    <s v="AI"/>
    <n v="2025"/>
    <s v="USA"/>
    <s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
    <s v="https://rm.coe.int/cepej-gt-cyberjust-2023-5final-en-note-on-generative-ai/1680ae8e01"/>
    <s v="https://x.ai/grok"/>
    <m/>
    <s v="Functional"/>
    <s v="International"/>
    <s v="Lawyers"/>
    <s v="4 - Decision support"/>
    <s v="These solutions facilitate or fully automate decision making processes in the justice systems"/>
    <m/>
  </r>
  <r>
    <x v="138"/>
    <x v="0"/>
    <s v="StruKI (Strukturierung mit Künstlicher Intelligenz)"/>
    <s v="AI"/>
    <n v="2025"/>
    <s v="Germany"/>
    <s v="The aim of the ‘StruKI’ (structuring with AI) project is to develop a universal structuring tool for legal proceedings based on an AI application. The structuring tool should include the option of comprehensive processing of all data from a court case. The introduction of the e-file, which contains all the data relating to a court case or legal proceedings in digital form, makes it possible to develop AI assistance systems for a range of activities in the justice system. Their role in structuring process information is particularly important. AI can be used to structure process information such as court documents, evidence or witness statements, thus efficiently supporting the legal process._x000a_The aim of the ‘StruKI’ project is to provide an AI-based structuring tool to relieve the workload in the judiciary and to support work processes that would otherwise lead to a significant increase in work. This includes the AI-supported processing of applications for financial support in court proceedings (legal aid), the preparation of cost orders in mass proceedings, the anonymisation of documents, and much more."/>
    <m/>
    <s v="https://www.bmj.de/DE/themen/digitales/digitalisierung_justiz/digitalisierungsinitiative/laendervorhaben/_doc/artikel_vorhaben_07_struki.html"/>
    <s v="Public authority"/>
    <s v="Concept/planned"/>
    <s v="National"/>
    <s v="Judges/clerks"/>
    <s v="4 - Decision spport"/>
    <m/>
    <m/>
  </r>
  <r>
    <x v="139"/>
    <x v="0"/>
    <s v="ChatJT - Labour Justice Tool - Chatbot of the Brazilian Labour Court"/>
    <s v="AI"/>
    <n v="2025"/>
    <s v="Brazil"/>
    <s v="ChatJT is a generative AI tool, supporting judges in the decision making. It is trained with all case law from the Brazilian Labor Court, from the Superior Labor Court to First-Instance Courts and available to all judges and staff members of the Brazilian Labor Court. It is based on Based on an open-source platform called “Hugging Face” and ser-provided data is not used to train the underlying model."/>
    <m/>
    <s v="(Internal system, no public reference)."/>
    <s v="Public authority"/>
    <s v="Functional"/>
    <s v="National"/>
    <s v="Judges/clerks"/>
    <s v="4 - Decision support"/>
    <s v="These solutions facilitate or fully automate decision making processes in the justice systems"/>
    <m/>
  </r>
  <r>
    <x v="0"/>
    <x v="1"/>
    <s v="Automated allocation and processing of incoming documents "/>
    <s v="AI"/>
    <n v="2017"/>
    <s v="Autriche"/>
    <s v="L'attribution et le traitement entièrement automatisés des documents entrants provenant de canaux électroniques et/ou de documents scannés ; l'extraction de métadonnées et l'identification des numéros de dossier grâce au traitement du langage naturel, la catégorisation et le titrage des documents ; ainsi que la reconnaissance du type d’affaires des nouveaux dossiers entrants. Il vise à résoudre le problème de la gestion manuelle des documents, qui prend beaucoup de temps. Le système de dépôt numérique fournit également d'autres (petits) outils d'IA, par exemple en suggérant des flux de travail ou des tâches au juge (par exemple le traitement des frais de procédure). La solution est basée sur l'apprentissage automatique. "/>
    <s v="https://www.justiz.gv.at/file/2c94848b6ff7074f017493349cf54406.de.0/it-anwendungen%20in%20der%20%C3%B6sterreichischen%20justiz%20stand%20august%202020.pdf?forcedownload=true"/>
    <s v="Internal system, no direct public link available."/>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0"/>
    <x v="1"/>
    <s v="Automated allocation and processing of incoming documents "/>
    <s v="AI"/>
    <n v="2017"/>
    <s v="Autriche"/>
    <s v="L'attribution et le traitement entièrement automatisés des documents entrants provenant de canaux électroniques et/ou de documents scannés ; l'extraction de métadonnées et l'identification des numéros de dossier grâce au traitement du langage naturel, la catégorisation et le titrage des documents ; ainsi que la reconnaissance du type d’affaires des nouveaux dossiers entrants. Il vise à résoudre le problème de la gestion manuelle des documents, qui prend beaucoup de temps. Le système de dépôt numérique fournit également d'autres (petits) outils d'IA, par exemple en suggérant des flux de travail ou des tâches au juge (par exemple le traitement des frais de procédure). La solution est basée sur l'apprentissage automatique. "/>
    <s v="https://www.justiz.gv.at/file/2c94848b6ff7074f017493349cf54406.de.0/it-anwendungen%20in%20der%20%C3%B6sterreichischen%20justiz%20stand%20august%202020.pdf?forcedownload=true"/>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
    <x v="1"/>
    <s v="Assegnazione Automatica Contenzioso Civile e Volontaria Giurisdizione / Automatic civil case assignment to judges"/>
    <s v="non-AI"/>
    <n v="2014"/>
    <s v="Italie"/>
    <s v="Algorithme développé par le ministère de la Justice pour l'attribution des dossiers civils aux juges, selon les exigences suivantes : attribution aléatoire, distribution équitable des affaires, tant en termes quantitatifs que qualitatifs. En fonction des critères d'attribution définis par des paramètres de configuration spécifiques, l'algorithme est personnalisable par chaque tribunal."/>
    <s v="https://www.tribunale.napolinord.giustizia.it/documentazione/D_59023.pdf"/>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2"/>
    <x v="1"/>
    <s v="SLPS / Random Case Allocation System"/>
    <s v="non-AI"/>
    <n v="2018"/>
    <s v="Pologne"/>
    <s v="Le système d'attribution aléatoire des juges (abréviation polonaise : SLPS) est une application web utilisée pour attribuer aléatoirement des affaires à des juges. Il est configuré de manière à ce qu'il n'y ait aucune possibilité d'interférence dans le processus aléatoire, qui est effectué automatiquement - sans la participation de l'utilisateur. Le système offre aux juges une garantie d'uniformité des règles relatives à la charge de travail au sein du tribunal. Il permet de préserver les spécialisations existantes des juges et prend en compte l'exercice des fonctions d'un juge, comme celles de président de département ou de juge visiteur, garantit une charge de travail correcte pour le juge et donne la possibilité de ne pas attribuer d'affaires à un juge qui traite une affaire exceptionnellement lourde."/>
    <s v=""/>
    <s v="https://www.gov.pl/web/sprawiedliwosc/algorytm"/>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3"/>
    <x v="1"/>
    <s v="CLAUDETTE / An Automated Detector for Potentially Unfair Clauses"/>
    <s v="AI"/>
    <n v="2019"/>
    <s v="Italie"/>
    <s v="CLAUDETTE est un serveur web pour la détection automatique de clauses potentiellement abusives dans les documents de conditions d'utilisation, développé et maintenu à des fins de recherche uniquement."/>
    <s v=""/>
    <s v="http://claudette.eui.eu/demo/"/>
    <s v="Recherche/Universitaire"/>
    <s v="Fonctionnel"/>
    <s v="International"/>
    <s v="Avocat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3"/>
    <x v="1"/>
    <s v="CLAUDETTE / An Automated Detector for Potentially Unfair Clauses"/>
    <s v="AI"/>
    <n v="2019"/>
    <s v="Italie"/>
    <s v="CLAUDETTE est un serveur web pour la détection automatique de clauses potentiellement abusives dans les documents de conditions d'utilisation, développé et maintenu à des fins de recherche uniquement."/>
    <s v=""/>
    <s v="http://claudette.eui.eu/demo/"/>
    <s v="Recherche/Universitaire"/>
    <s v="Fonctionnel"/>
    <s v="International"/>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4"/>
    <x v="1"/>
    <s v="LEXIQ / Case Law Engine"/>
    <s v="AI"/>
    <n v="2017"/>
    <s v="Pays-Bas"/>
    <s v="LexIQ a développé un moteur de jurisprudence pour le ministère public néerlandais, afin d'aider les procureurs et les chercheurs dans leur travail quotidien de recherche, d'analyse et d'utilisation des informations relatives aux affaires pénales. Son principal objectif est de faire gagner du temps aux utilisateurs et de leur donner une indication de l'issue possible de l'affaire devant le tribunal. En outre, il les aide à découvrir des informations cachées. L'utilisation d'algorithmes d'apprentissage automatique et de fonctionnalités telles que la visualisation des données et la recherche intuitive offre une nouvelle approche de la surcharge d'informations existantes. "/>
    <s v=""/>
    <s v="https://www.lexiq.nl"/>
    <s v="Publique "/>
    <s v="Fonctionnel"/>
    <s v="Check"/>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3 - Prévision des résultats des litiges"/>
  </r>
  <r>
    <x v="4"/>
    <x v="1"/>
    <s v="LEXIQ / Case Law Engine"/>
    <s v="AI"/>
    <n v="2017"/>
    <s v="Pays-Bas"/>
    <s v="LexIQ a développé un moteur de jurisprudence pour le ministère public néerlandais, afin d'aider les procureurs et les chercheurs dans leur travail quotidien de recherche, d'analyse et d'utilisation des informations relatives aux affaires pénales. Son principal objectif est de faire gagner du temps aux utilisateurs et de leur donner une indication de l'issue possible de l'affaire devant le tribunal. En outre, il les aide à découvrir des informations cachées. L'utilisation d'algorithmes d'apprentissage automatique et de fonctionnalités telles que la visualisation des données et la recherche intuitive offre une nouvelle approche de la surcharge d'informations existantes. "/>
    <s v=""/>
    <s v="https://www.lexiq.nl"/>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3 - Prévision des résultats des litiges"/>
  </r>
  <r>
    <x v="4"/>
    <x v="1"/>
    <s v="LEXIQ / Case Law Engine"/>
    <s v="AI"/>
    <n v="2017"/>
    <s v="Pays-Bas"/>
    <s v="LexIQ a développé un moteur de jurisprudence pour le ministère public néerlandais, afin d'aider les procureurs et les chercheurs dans leur travail quotidien de recherche, d'analyse et d'utilisation des informations relatives aux affaires pénales. Son principal objectif est de faire gagner du temps aux utilisateurs et de leur donner une indication de l'issue possible de l'affaire devant le tribunal. En outre, il les aide à découvrir des informations cachées. L'utilisation d'algorithmes d'apprentissage automatique et de fonctionnalités telles que la visualisation des données et la recherche intuitive offre une nouvelle approche de la surcharge d'informations existantes. "/>
    <s v=""/>
    <s v="https://www.lexiq.nl"/>
    <s v="Publique "/>
    <s v="Fonctionnel"/>
    <s v="Check"/>
    <s v="Procureurs/greffiers"/>
    <s v="3 - Prévision des résultats des litiges"/>
    <s v="Ces instruments apprennent à partir de grands ensembles de données pour créer des modèles qui sont ensuite utilisés pour visualiser, simuler ou prédire de nouveaux résultats de litiges."/>
    <s v="1 - Recherche documentaire; 3 - Prévision des résultats des litiges"/>
  </r>
  <r>
    <x v="4"/>
    <x v="1"/>
    <s v="LEXIQ / Case Law Engine"/>
    <s v="AI"/>
    <n v="2017"/>
    <s v="Pays-Bas"/>
    <s v="LexIQ a développé un moteur de jurisprudence pour le ministère public néerlandais, afin d'aider les procureurs et les chercheurs dans leur travail quotidien de recherche, d'analyse et d'utilisation des informations relatives aux affaires pénales. Son principal objectif est de faire gagner du temps aux utilisateurs et de leur donner une indication de l'issue possible de l'affaire devant le tribunal. En outre, il les aide à découvrir des informations cachées. L'utilisation d'algorithmes d'apprentissage automatique et de fonctionnalités telles que la visualisation des données et la recherche intuitive offre une nouvelle approche de la surcharge d'informations existantes. "/>
    <s v=""/>
    <s v="https://www.lexiq.nl"/>
    <s v="Publique "/>
    <s v="Fonctionnel"/>
    <s v="Check"/>
    <s v="Usagers des tribunaux (Grand public)"/>
    <s v="3 - Prévision des résultats des litiges"/>
    <s v="Ces instruments apprennent à partir de grands ensembles de données pour créer des modèles qui sont ensuite utilisés pour visualiser, simuler ou prédire de nouveaux résultats de litiges."/>
    <s v="1 - Recherche documentaire; 3 - Prévision des résultats des litiges"/>
  </r>
  <r>
    <x v="2"/>
    <x v="1"/>
    <s v="SLPS / Random Case Allocation System"/>
    <s v="non-AI"/>
    <n v="2018"/>
    <s v="Pologne"/>
    <s v="Le système d'attribution aléatoire des juges (abréviation polonaise : SLPS) est une application web utilisée pour attribuer aléatoirement des affaires à des juges. Il est configuré de manière à ce qu'il n'y ait aucune possibilité d'interférence dans le processus aléatoire, qui est effectué automatiquement - sans la participation de l'utilisateur. Le système offre aux juges une garantie d'uniformité des règles relatives à la charge de travail au sein du tribunal. Il permet de préserver les spécialisations existantes des juges et prend en compte l'exercice des fonctions d'un juge, comme celles de président de département ou de juge visiteur, garantit une charge de travail correcte pour le juge et donne la possibilité de ne pas attribuer d'affaires à un juge qui traite une affaire exceptionnellement lourde."/>
    <s v=""/>
    <s v="https://www.gov.pl/web/sprawiedliwosc/algorytm"/>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5"/>
    <x v="1"/>
    <s v="Speech-to-Text"/>
    <s v="AI"/>
    <n v="2018"/>
    <s v="Croatie"/>
    <s v="La synthèse vocale vise à générer des documents (par exemple, les procès-verbaux des réunions et les décisions des tribunaux et des parquets). Il vise à faciliter les processus opérationnels des tribunaux et des parquets. Son algorithme s'appuie sur une solution existante (basée sur un fournisseur : Newton Technology Adria (NTA)), qui est ensuite adaptée au vocabulaire et à l'usage de la langue croate, ainsi qu'aux demandes et besoins spécifiques du secteur judiciaire. L’instrument est formé à la transcription de la parole dans un document texte. Il peut être utilisé dans divers contextes, tels que la transcription de procès-verbaux de réunions ou l'enregistrement d'une décision de justice. "/>
    <s v="https://www.diktiranje.hr/newton-dictate/"/>
    <s v="Internal system, no direct public link available."/>
    <s v="Publique "/>
    <s v="Fonctionnel"/>
    <s v="Check"/>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5"/>
    <x v="1"/>
    <s v="Speech-to-Text"/>
    <s v="AI"/>
    <n v="2018"/>
    <s v="Croatie"/>
    <s v="La synthèse vocale vise à générer des documents (par exemple, les procès-verbaux des réunions et les décisions des tribunaux et des parquets). Il vise à faciliter les processus opérationnels des tribunaux et des parquets. Son algorithme s'appuie sur une solution existante (basée sur un fournisseur : Newton Technology Adria (NTA)), qui est ensuite adaptée au vocabulaire et à l'usage de la langue croate, ainsi qu'aux demandes et besoins spécifiques du secteur judiciaire. L’instrument est formé à la transcription de la parole dans un document texte. Il peut être utilisé dans divers contextes, tels que la transcription de procès-verbaux de réunions ou l'enregistrement d'une décision de justice. "/>
    <s v="https://www.diktiranje.hr/newton-dictate/"/>
    <s v="Internal system, no direct public link available."/>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6"/>
    <x v="1"/>
    <s v="Unified state register of court decisions / Єдиний державний реєстр судових рішень_x000a_"/>
    <s v="AI"/>
    <n v="2006"/>
    <s v="Ukraine"/>
    <s v="Le registre des décisions de justice offre un accès public en ligne à toutes les décisions de justice en Ukraine. Les données personnelles et les autres types d'informations définis par la loi doivent être anonymisés dans le cadre de l'accès public. L'anonymisation est automatisée depuis 2018 et supervisée."/>
    <s v=""/>
    <s v="https://reyestr.court.gov.ua"/>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6"/>
    <x v="1"/>
    <s v="Unified state register of court decisions / Єдиний державний реєстр судових рішень_x000a_"/>
    <s v="AI"/>
    <n v="2006"/>
    <s v="Ukraine"/>
    <s v="Le registre des décisions de justice offre un accès public en ligne à toutes les décisions de justice en Ukraine. Les données personnelles et les autres types d'informations définis par la loi doivent être anonymisés dans le cadre de l'accès public. L'anonymisation est automatisée depuis 2018 et supervisée."/>
    <s v=""/>
    <s v="https://reyestr.court.gov.ua"/>
    <s v="Publique "/>
    <s v="Fonctionnel"/>
    <s v="Check"/>
    <s v="Avocats"/>
    <s v="5 - Anonymisation et pseudonymisation"/>
    <s v="Ces instruments sont utilisées pour supprimer les informations permettant d'identifier un individu telles que les données personnelles des utilisateurs des tribunaux."/>
    <s v="5 - Anonymisation et pseudonymisation; "/>
  </r>
  <r>
    <x v="6"/>
    <x v="1"/>
    <s v="Unified state register of court decisions / Єдиний державний реєстр судових рішень_x000a_"/>
    <s v="AI"/>
    <n v="2006"/>
    <s v="Ukraine"/>
    <s v="Le registre des décisions de justice offre un accès public en ligne à toutes les décisions de justice en Ukraine. Les données personnelles et les autres types d'informations définis par la loi doivent être anonymisés dans le cadre de l'accès public. L'anonymisation est automatisée depuis 2018 et supervisée."/>
    <s v=""/>
    <s v="https://reyestr.court.gov.ua"/>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7"/>
    <x v="1"/>
    <s v="AI in the entrance area "/>
    <s v="AI"/>
    <n v="2018"/>
    <s v="Autriche"/>
    <s v="Attribution et préparation entièrement automatisées des documents entrants, sans intervention du bureau d'entrée ou du cabinet d’avocats. It is used for documents' analysis including extraction of metadata, then categorisation and direct allocation, as well as follow up of documents' lifecycle.  "/>
    <s v="https://www.justiz.gv.at/file/2c94848b6ff7074f017493349cf54406.de.0/it-anwendungen%20in%20der%20%C3%B6sterreichischen%20justiz%20stand%20august%202020.pdf?forcedownload=true"/>
    <s v="Internal system, no direct public link available."/>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8"/>
    <x v="1"/>
    <s v="AI in file processing"/>
    <s v="AI"/>
    <n v="2018"/>
    <s v="Autriche"/>
    <s v="L'utilisation de l'IA concerne principalement la reconnaissance des responsabilités judiciaires internes. La base d'une attribution par le système d’IA est la répartition fixe des affaires, conformément à l'article 87, paragraphe 3, du Code civil autrichien. Sur la base de la demande adressée au tribunal et des informations qu'elle contient, le système d’IA reconnaît le juge responsable de l'acte en question. Des extensions de cette solution sont prévues et concernent le déroulement des procédures et leur gestion par le pouvoir judiciaire dans son ensemble (cartographie complète de certaines étapes de la procédure)."/>
    <s v="https://www.justiz.gv.at/file/2c94848b6ff7074f017493349cf54406.de.0/it-anwendungen%20in%20der%20%C3%B6sterreichischen%20justiz%20stand%20august%202020.pdf?forcedownload=true"/>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8"/>
    <x v="1"/>
    <s v="AI in file processing"/>
    <s v="AI"/>
    <n v="2018"/>
    <s v="Autriche"/>
    <s v="L'utilisation de l'IA concerne principalement la reconnaissance des responsabilités judiciaires internes. La base d'une attribution par le système d’IA est la répartition fixe des affaires, conformément à l'article 87, paragraphe 3, du Code civil autrichien. Sur la base de la demande adressée au tribunal et des informations qu'elle contient, le système d’IA reconnaît le juge responsable de l'acte en question. Des extensions de cette solution sont prévues et concernent le déroulement des procédures et leur gestion par le pouvoir judiciaire dans son ensemble (cartographie complète de certaines étapes de la procédure)."/>
    <s v="https://www.justiz.gv.at/file/2c94848b6ff7074f017493349cf54406.de.0/it-anwendungen%20in%20der%20%C3%B6sterreichischen%20justiz%20stand%20august%202020.pdf?forcedownload=true"/>
    <s v="Internal system, no direct public link available."/>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9"/>
    <x v="1"/>
    <s v="AI to anonymize decisions "/>
    <s v="AI"/>
    <n v="2022"/>
    <s v="Autriche"/>
    <s v="Reconnaissance automatisée des métadonnées contenues dans les décisions de justice dans le but d'anonymiser les données relatives aux parties afin d'étendre la publication des décisions (article 15, paragraphe 4, de l'OGHG). Il s'agit en particulier des noms, des adresses et, le cas échéant, d'autres désignations de lieux et de régions, mais pas des juges et des représentants des parties. "/>
    <s v="https://www.justiz.gv.at/file/2c94848b6ff7074f017493349cf54406.de.0/it-anwendungen%20in%20der%20%C3%B6sterreichischen%20justiz%20stand%20august%202020.pdf?forcedownload=true"/>
    <s v="https://ris.bka.gv.at/Jus/"/>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9"/>
    <x v="1"/>
    <s v="AI to anonymize decisions "/>
    <s v="AI"/>
    <n v="2022"/>
    <s v="Autriche"/>
    <s v="Reconnaissance automatisée des métadonnées contenues dans les décisions de justice dans le but d'anonymiser les données relatives aux parties afin d'étendre la publication des décisions (article 15, paragraphe 4, de l'OGHG). Il s'agit en particulier des noms, des adresses et, le cas échéant, d'autres désignations de lieux et de régions, mais pas des juges et des représentants des parties. "/>
    <s v="https://www.justiz.gv.at/file/2c94848b6ff7074f017493349cf54406.de.0/it-anwendungen%20in%20der%20%C3%B6sterreichischen%20justiz%20stand%20august%202020.pdf?forcedownload=true"/>
    <s v="https://ris.bka.gv.at/Jus/"/>
    <s v="Publique "/>
    <s v="Fonctionnel"/>
    <s v="Check"/>
    <s v="Avocats"/>
    <s v="5 - Anonymisation et pseudonymisation"/>
    <s v="Ces instruments sont utilisées pour supprimer les informations permettant d'identifier un individu telles que les données personnelles des utilisateurs des tribunaux."/>
    <s v="5 - Anonymisation et pseudonymisation; "/>
  </r>
  <r>
    <x v="9"/>
    <x v="1"/>
    <s v="AI to anonymize decisions "/>
    <s v="AI"/>
    <n v="2022"/>
    <s v="Autriche"/>
    <s v="Reconnaissance automatisée des métadonnées contenues dans les décisions de justice dans le but d'anonymiser les données relatives aux parties afin d'étendre la publication des décisions (article 15, paragraphe 4, de l'OGHG). Il s'agit en particulier des noms, des adresses et, le cas échéant, d'autres désignations de lieux et de régions, mais pas des juges et des représentants des parties. "/>
    <s v="https://www.justiz.gv.at/file/2c94848b6ff7074f017493349cf54406.de.0/it-anwendungen%20in%20der%20%C3%B6sterreichischen%20justiz%20stand%20august%202020.pdf?forcedownload=true"/>
    <s v="https://ris.bka.gv.at/Jus/"/>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10"/>
    <x v="1"/>
    <s v="AI in the Analysis of Investigation Data"/>
    <s v="AI"/>
    <n v="2018"/>
    <s v="Autriche"/>
    <s v="Analyse, classification et extraction de métadonnées à partir de n'importe quelle forme de données, ainsi que reconnaissance de corrélations et de séquences de communication. Il permet aux juges de trouver des articles de toutes sortes sur des questions juridiques pertinentes. L'avantage : la capacité de reconnaître des synonymes et de développer une certaine &quot;compréhension&quot; du contexte au cours de la phase d'apprentissage basée sur les données d'entraînement."/>
    <s v="https://www.justiz.gv.at/file/2c94848b6ff7074f017493349cf54406.de.0/it-anwendungen%20in%20der%20%C3%B6sterreichischen%20justiz%20stand%20august%202020.pdf?forcedownload=true"/>
    <s v="Internal system, no direct public link available."/>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0"/>
    <x v="1"/>
    <s v="AI in the Analysis of Investigation Data"/>
    <s v="AI"/>
    <n v="2018"/>
    <s v="Autriche"/>
    <s v="Analyse, classification et extraction de métadonnées à partir de n'importe quelle forme de données, ainsi que reconnaissance de corrélations et de séquences de communication. Il permet aux juges de trouver des articles de toutes sortes sur des questions juridiques pertinentes. L'avantage : la capacité de reconnaître des synonymes et de développer une certaine &quot;compréhension&quot; du contexte au cours de la phase d'apprentissage basée sur les données d'entraînement."/>
    <s v="https://www.justiz.gv.at/file/2c94848b6ff7074f017493349cf54406.de.0/it-anwendungen%20in%20der%20%C3%B6sterreichischen%20justiz%20stand%20august%202020.pdf?forcedownload=true"/>
    <s v="Internal system, no direct public link available."/>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1"/>
    <x v="1"/>
    <s v="AI-based speech recognition in the justice system"/>
    <s v="AI"/>
    <n v="1997"/>
    <s v="Autriche"/>
    <s v="Le système judiciaire autrichien utilise des systèmes de reconnaissance de la parole pendant les audiences depuis 1997. Le taux de reconnaissance est optimisé étape par étape - par l'intégration supplémentaire d'un vocabulaire judiciaire basé sur les décisions de la Cour suprême disponibles dans RIS, ainsi que par l’alimentation du vocabulaire global par le vocabulaire ajouté par les utilisateurs. Avantages : augmentation significative de l'efficacité, et donc réduction de la durée des procédures. Le système est basé sur l'application commerciale Dragon Naturally Speaking."/>
    <s v="https://www.justiz.gv.at/file/2c94848b6ff7074f017493349cf54406.de.0/it-anwendungen%20in%20der%20%C3%B6sterreichischen%20justiz%20stand%20august%202020.pdf?forcedownload=true"/>
    <s v="Internal system, no direct public link available."/>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12"/>
    <x v="1"/>
    <s v="JUSTITIA / Judicial chatbot"/>
    <s v="AI"/>
    <n v="2022"/>
    <s v="Autriche"/>
    <s v="Information et aide à la navigation pour les demandeurs d'aide juridique. Domaines d'application : compréhension du langage naturel dans le cadre de la plateforme de services numériques Justice Online ; définition et aide à la navigation ; aide à l'enregistrement. "/>
    <s v="https://www.justiz.gv.at/file/2c94848b6ff7074f017493349cf54406.de.0/it-anwendungen%20in%20der%20%C3%B6sterreichischen%20justiz%20stand%20august%202020.pdf?forcedownload=true"/>
    <s v="https://justizonline.gv.at/jop/web/home"/>
    <s v="Publique "/>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13"/>
    <x v="1"/>
    <s v="E-case / Document management system "/>
    <s v="non-AI"/>
    <n v="2019"/>
    <s v="Croatie"/>
    <s v="L'accès public aux données de base sur les affaires judiciaires est un service public gratuit pour les parties, les avocats et les autres personnes intéressées et impliquées dans les procédures judiciaires. La recherche par juridiction et par numéro de dossier permet au visiteur d'être informé de l'évolution et de l’avancement de la résolution des affaires, tant dans les procédures ordinaires que dans les procédures d'appel. Étant donné que le système actualise quotidiennement les données relatives aux affaires, les parties ont accès à l'état actuel de leur affaire, et les tribunaux sont ainsi déchargés de ces demandes et peuvent consacrer plus de temps à la résolution efficace des affaires. "/>
    <s v=""/>
    <s v="https://sudovi.hr/en/citizens/e-cas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4"/>
    <x v="1"/>
    <s v="KIS / Court Information System "/>
    <s v="AI"/>
    <n v="2014"/>
    <s v="Estonie"/>
    <s v="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
    <s v=""/>
    <s v="https://www.rik.ee/en/international/court-information-system"/>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5 - Anonymisation et pseudonymisation"/>
  </r>
  <r>
    <x v="14"/>
    <x v="1"/>
    <s v="KIS / Court Information System "/>
    <s v="AI"/>
    <n v="2014"/>
    <s v="Estonie"/>
    <s v="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
    <s v=""/>
    <s v="https://www.rik.ee/en/international/court-information-system"/>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6 - Triage, attribution et automatisation des flux de travail; 5 - Anonymisation et pseudonymisation"/>
  </r>
  <r>
    <x v="14"/>
    <x v="1"/>
    <s v="KIS / Court Information System "/>
    <s v="AI"/>
    <n v="2014"/>
    <s v="Estonie"/>
    <s v="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
    <s v=""/>
    <s v="https://www.rik.ee/en/international/court-information-system"/>
    <s v="Publique "/>
    <s v="Fonctionnel"/>
    <s v="Check"/>
    <s v="Avocat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5 - Anonymisation et pseudonymisation"/>
  </r>
  <r>
    <x v="14"/>
    <x v="1"/>
    <s v="KIS / Court Information System "/>
    <s v="AI"/>
    <n v="2014"/>
    <s v="Estonie"/>
    <s v="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
    <s v=""/>
    <s v="https://www.rik.ee/en/international/court-information-system"/>
    <s v="Publique "/>
    <s v="Fonctionnel"/>
    <s v="Check"/>
    <s v="Avocats"/>
    <s v="5 - Anonymisation et pseudonymisation"/>
    <s v="Ces instruments sont utilisées pour supprimer les informations permettant d'identifier un individu telles que les données personnelles des utilisateurs des tribunaux."/>
    <s v="6 - Triage, attribution et automatisation des flux de travail; 5 - Anonymisation et pseudonymisation"/>
  </r>
  <r>
    <x v="14"/>
    <x v="1"/>
    <s v="KIS / Court Information System "/>
    <s v="AI"/>
    <n v="2014"/>
    <s v="Estonie"/>
    <s v="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
    <s v=""/>
    <s v="https://www.rik.ee/en/international/court-information-system"/>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5 - Anonymisation et pseudonymisation"/>
  </r>
  <r>
    <x v="14"/>
    <x v="1"/>
    <s v="KIS / Court Information System "/>
    <s v="AI"/>
    <n v="2014"/>
    <s v="Estonie"/>
    <s v="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
    <s v=""/>
    <s v="https://www.rik.ee/en/international/court-information-system"/>
    <s v="Publique "/>
    <s v="Fonctionnel"/>
    <s v="Check"/>
    <s v="Juges/greffiers"/>
    <s v="5 - Anonymisation et pseudonymisation"/>
    <s v="Ces instruments sont utilisées pour supprimer les informations permettant d'identifier un individu telles que les données personnelles des utilisateurs des tribunaux."/>
    <s v="6 - Triage, attribution et automatisation des flux de travail; 5 - Anonymisation et pseudonymisation"/>
  </r>
  <r>
    <x v="15"/>
    <x v="1"/>
    <s v="Sudska praksa / Court Practice Database"/>
    <s v="AI"/>
    <n v="2020"/>
    <s v="Serbie"/>
    <s v="L'outil de recherche de la jurisprudence a été enrichi d'un module de recherche avancée qui reconnaît les modèles et les résultats de recherche avec des termes qui apparaissent fréquemment dans un contexte similaire."/>
    <s v=""/>
    <s v="https://www.vk.sud.rs/sr-lat/baza-sudske-prakse-suda"/>
    <s v="Publique "/>
    <s v="Fonctionnel"/>
    <s v="Check"/>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5"/>
    <x v="1"/>
    <s v="Sudska praksa / Court Practice Database"/>
    <s v="AI"/>
    <n v="2020"/>
    <s v="Serbie"/>
    <s v="L'outil de recherche de la jurisprudence a été enrichi d'un module de recherche avancée qui reconnaît les modèles et les résultats de recherche avec des termes qui apparaissent fréquemment dans un contexte similaire."/>
    <s v=""/>
    <s v="https://www.vk.sud.rs/sr-lat/baza-sudske-prakse-suda"/>
    <s v="Publique "/>
    <s v="Fonctionnel"/>
    <s v="Check"/>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5"/>
    <x v="1"/>
    <s v="Sudska praksa / Court Practice Database"/>
    <s v="AI"/>
    <n v="2020"/>
    <s v="Serbie"/>
    <s v="L'outil de recherche de la jurisprudence a été enrichi d'un module de recherche avancée qui reconnaît les modèles et les résultats de recherche avec des termes qui apparaissent fréquemment dans un contexte similaire."/>
    <s v=""/>
    <s v="https://www.vk.sud.rs/sr-lat/baza-sudske-prakse-suda"/>
    <s v="Publique "/>
    <s v="Fonctionnel"/>
    <s v="Check"/>
    <s v="Avocat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6"/>
    <x v="1"/>
    <s v="Automated Creation of Decision Templates"/>
    <s v="non-AI"/>
    <n v="2010"/>
    <s v="Italie"/>
    <s v="Le système PCT permet de créer des modèles personnalisables qui sont partiellement auto-remplis à l'aide des métadonnées saisies dans le registre électronique."/>
    <s v="https://pst.giustizia.it/PST/it/homepage.page# "/>
    <s v="Internal system, no direct public link available."/>
    <s v="Publique "/>
    <s v="Fonctionnel"/>
    <s v="Check"/>
    <s v="Juges/greffiers"/>
    <s v="4 - Aide à la décision"/>
    <s v="Ces instruments facilitent ou automatisent entièrement les processus de prise de décision dans les systèmes judiciaires."/>
    <s v="4 - Aide à la décision; "/>
  </r>
  <r>
    <x v="16"/>
    <x v="1"/>
    <s v="Automated Creation of Decision Templates"/>
    <s v="non-AI"/>
    <n v="2010"/>
    <s v="Italie"/>
    <s v="Le système PCT permet de créer des modèles personnalisables qui sont partiellement auto-remplis à l'aide des métadonnées saisies dans le registre électronique."/>
    <s v="https://pst.giustizia.it/PST/it/homepage.page# "/>
    <s v="Internal system, no direct public link available."/>
    <s v="Publique "/>
    <s v="Fonctionnel"/>
    <s v="Check"/>
    <s v="Gestion"/>
    <s v="4 - Aide à la décision"/>
    <s v="Ces instruments facilitent ou automatisent entièrement les processus de prise de décision dans les systèmes judiciaires."/>
    <s v="4 - Aide à la décision; "/>
  </r>
  <r>
    <x v="16"/>
    <x v="1"/>
    <s v="Automated Creation of Decision Templates"/>
    <s v="non-AI"/>
    <n v="2010"/>
    <s v="Italie"/>
    <s v="Le système PCT permet de créer des modèles personnalisables qui sont partiellement auto-remplis à l'aide des métadonnées saisies dans le registre électronique."/>
    <s v="https://pst.giustizia.it/PST/it/homepage.page# "/>
    <s v="Internal system, no direct public link available."/>
    <s v="Publique "/>
    <s v="Fonctionnel"/>
    <s v="Check"/>
    <s v="Avocats"/>
    <s v="4 - Aide à la décision"/>
    <s v="Ces instruments facilitent ou automatisent entièrement les processus de prise de décision dans les systèmes judiciaires."/>
    <s v="4 - Aide à la décision; "/>
  </r>
  <r>
    <x v="17"/>
    <x v="1"/>
    <s v="Anonymization of Civil Decisions"/>
    <s v="non-AI"/>
    <n v="2022"/>
    <s v="Italie"/>
    <s v="Par une simple commande, le système supprime automatiquement toutes les références aux parties impliquées dans le procès, aux lieux et aux dates de la procédure. Ceci est possible parce que ces éléments d’information sont insérés dans la décision en tant que méta-données / caractères génériques. L'anonymisation est affinée par un opérateur humain."/>
    <s v="https://pst.giustizia.it/PST/it/homepage.page# "/>
    <s v="Internal system, no direct public link available."/>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17"/>
    <x v="1"/>
    <s v="Anonymization of Civil Decisions"/>
    <s v="non-AI"/>
    <n v="2022"/>
    <s v="Italie"/>
    <s v="Par une simple commande, le système supprime automatiquement toutes les références aux parties impliquées dans le procès, aux lieux et aux dates de la procédure. Ceci est possible parce que ces éléments d’information sont insérés dans la décision en tant que méta-données / caractères génériques. L'anonymisation est affinée par un opérateur humain."/>
    <s v="https://pst.giustizia.it/PST/it/homepage.page# "/>
    <s v="Internal system, no direct public link available."/>
    <s v="Publique "/>
    <s v="Fonctionnel"/>
    <s v="Check"/>
    <s v="Avocats"/>
    <s v="5 - Anonymisation et pseudonymisation"/>
    <s v="Ces instruments sont utilisées pour supprimer les informations permettant d'identifier un individu telles que les données personnelles des utilisateurs des tribunaux."/>
    <s v="5 - Anonymisation et pseudonymisation; "/>
  </r>
  <r>
    <x v="17"/>
    <x v="1"/>
    <s v="Anonymization of Civil Decisions"/>
    <s v="non-AI"/>
    <n v="2022"/>
    <s v="Italie"/>
    <s v="Par une simple commande, le système supprime automatiquement toutes les références aux parties impliquées dans le procès, aux lieux et aux dates de la procédure. Ceci est possible parce que ces éléments d’information sont insérés dans la décision en tant que méta-données / caractères génériques. L'anonymisation est affinée par un opérateur humain."/>
    <s v="https://pst.giustizia.it/PST/it/homepage.page# "/>
    <s v="Internal system, no direct public link available."/>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18"/>
    <x v="1"/>
    <s v="Automated Assignment of Criminal Cases"/>
    <s v="non-AI"/>
    <n v="2015"/>
    <s v="Italie"/>
    <s v="GIADA permet l'attribution des procès aux juges pénaux, ainsi que l'organisation de la première audience, en prévoyant un système de répartition à la fois objectif et équitable. En outre, il détermine le poids des affaires (par exemple, 2 difficile - homicide involontaire, ..., 5 facile, 3 avec des prisonniers, 2 urgent, 2 avec prescription)."/>
    <s v="https://pst.giustizia.it/PST/it/homepage.page# "/>
    <s v="Internal system, no direct public link available."/>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8"/>
    <x v="1"/>
    <s v="Automated Assignment of Criminal Cases"/>
    <s v="non-AI"/>
    <n v="2015"/>
    <s v="Italie"/>
    <s v="GIADA permet l'attribution des procès aux juges pénaux, ainsi que l'organisation de la première audience, en prévoyant un système de répartition à la fois objectif et équitable. En outre, il détermine le poids des affaires (par exemple, 2 difficile - homicide involontaire, ..., 5 facile, 3 avec des prisonniers, 2 urgent, 2 avec prescription)."/>
    <s v="https://pst.giustizia.it/PST/it/homepage.page# "/>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8"/>
    <x v="1"/>
    <s v="Automated Assignment of Criminal Cases"/>
    <s v="non-AI"/>
    <n v="2015"/>
    <s v="Italie"/>
    <s v="GIADA permet l'attribution des procès aux juges pénaux, ainsi que l'organisation de la première audience, en prévoyant un système de répartition à la fois objectif et équitable. En outre, il détermine le poids des affaires (par exemple, 2 difficile - homicide involontaire, ..., 5 facile, 3 avec des prisonniers, 2 urgent, 2 avec prescription)."/>
    <s v="https://pst.giustizia.it/PST/it/homepage.page# "/>
    <s v="Internal system, no direct public link available."/>
    <s v="Publique "/>
    <s v="Fonctionnel"/>
    <s v="Check"/>
    <s v="Procureur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9"/>
    <x v="1"/>
    <s v="Elektroniskās maksātnespējas uzskaites sistēma (Electronic Insolvency Accounting System) /  Tiesu informatīvā sistēma (Court Information System)"/>
    <s v="AI"/>
    <n v="2018"/>
    <s v="Lettonie"/>
    <s v="Le système comptable électronique pour l'insolvabilité est une plateforme électronique unique pour toutes les personnes impliquées dans les procédures d'insolvabilité et les institutions. Il assure la circulation des informations entre les parties concernées, ainsi que la répartition aléatoire et proportionnelle de la file d'attente des administrateurs pour la prise en charge des dossiers."/>
    <s v=""/>
    <s v="https://www.mkd.gov.lv/en/information-about-emus"/>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20"/>
    <x v="1"/>
    <s v="Bylų skirsymo modulis / Case Allocation Module"/>
    <s v="AI"/>
    <n v="2010"/>
    <s v="Lituanie"/>
    <s v="Cet outil a été développé pour la répartition aléatoire des affaires entre les juges, sur la base de caractéristiques telles que : le type d'affaire, le nombre d'affaires reçues par le tribunal au cours d'une période donnée, le facteur aléatoire, la spécialisation, les affaires reçues par un juge au cours d'une période donnée."/>
    <s v=""/>
    <s v="https://www.teismai.lt/data/public/uploads/2022/03/teismai2022-taisytas.pdf"/>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21"/>
    <x v="1"/>
    <s v="VICTOR"/>
    <s v="AI"/>
    <n v="2020"/>
    <s v="Brésil"/>
    <s v="Victor est un système d'intelligence artificielle appliqué aux affaires pendantes devant la Cour suprême fédérale du Brésil. Il vise à faciliter le processus d'identification de ce que l'on appelle la répercussion générale (seules les questions réellement pertinentes pour la société brésilienne sont entendues par la Cour), contribuant ainsi à accroître les performances et l'efficacité dans les phases de traitement des appels extraordinaires."/>
    <s v=""/>
    <s v="https://ciapj.fgv.br/sites/ciapj.fgv.br/files/relatorio_ia_3a_edicao_0.pdf"/>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21"/>
    <x v="1"/>
    <s v="VICTOR"/>
    <s v="AI"/>
    <n v="2020"/>
    <s v="Brésil"/>
    <s v="Victor est un système d'intelligence artificielle appliqué aux affaires pendantes devant la Cour suprême fédérale du Brésil. Il vise à faciliter le processus d'identification de ce que l'on appelle la répercussion générale (seules les questions réellement pertinentes pour la société brésilienne sont entendues par la Cour), contribuant ainsi à accroître les performances et l'efficacité dans les phases de traitement des appels extraordinaires."/>
    <s v=""/>
    <s v="https://ciapj.fgv.br/sites/ciapj.fgv.br/files/relatorio_ia_3a_edicao_0.pdf"/>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22"/>
    <x v="1"/>
    <s v="Interlex "/>
    <s v="AI"/>
    <n v="2020"/>
    <s v="Italie"/>
    <s v="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
    <s v=""/>
    <s v="https://interlex-portal.eu/en/index.html"/>
    <s v="Recherche/Universitaire"/>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22"/>
    <x v="1"/>
    <s v="Interlex "/>
    <s v="AI"/>
    <n v="2020"/>
    <s v="Italie"/>
    <s v="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
    <s v=""/>
    <s v="https://interlex-portal.eu/en/index.html"/>
    <s v="Recherche/Universitaire"/>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22"/>
    <x v="1"/>
    <s v="Interlex "/>
    <s v="AI"/>
    <n v="2020"/>
    <s v="Italie"/>
    <s v="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
    <s v=""/>
    <s v="https://interlex-portal.eu/en/index.html"/>
    <s v="Recherche/Universitaire"/>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22"/>
    <x v="1"/>
    <s v="Interlex "/>
    <s v="AI"/>
    <n v="2020"/>
    <s v="Italie"/>
    <s v="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
    <s v=""/>
    <s v="https://interlex-portal.eu/en/index.html"/>
    <s v="Recherche/Universitaire"/>
    <s v="Fonctionnel"/>
    <s v="International"/>
    <s v="Avocats"/>
    <s v="4 - Aide à la décision"/>
    <s v="Ces instruments facilitent ou automatisent entièrement les processus de prise de décision dans les systèmes judiciaires."/>
    <s v="8 - Services d'information/assistance; 4 - Aide à la décision"/>
  </r>
  <r>
    <x v="22"/>
    <x v="1"/>
    <s v="Interlex "/>
    <s v="AI"/>
    <n v="2020"/>
    <s v="Italie"/>
    <s v="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
    <s v=""/>
    <s v="https://interlex-portal.eu/en/index.html"/>
    <s v="Recherche/Universitaire"/>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22"/>
    <x v="1"/>
    <s v="Interlex "/>
    <s v="AI"/>
    <n v="2020"/>
    <s v="Italie"/>
    <s v="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
    <s v=""/>
    <s v="https://interlex-portal.eu/en/index.html"/>
    <s v="Recherche/Universitaire"/>
    <s v="Fonctionnel"/>
    <s v="International"/>
    <s v="Juges/greffiers"/>
    <s v="4 - Aide à la décision"/>
    <s v="Ces instruments facilitent ou automatisent entièrement les processus de prise de décision dans les systèmes judiciaires."/>
    <s v="8 - Services d'information/assistance; 4 - Aide à la décision"/>
  </r>
  <r>
    <x v="23"/>
    <x v="1"/>
    <s v="JURI says "/>
    <s v=""/>
    <n v="2020"/>
    <s v="Pays-Bas"/>
    <s v="JURI lit les documents publiés les années précédentes et les décisions des affaires jugées par la Cour européenne des droits de l'homme et prédit les décisions que la Cour prendra. Le système apprend chaque mois de ses erreurs. "/>
    <s v=""/>
    <s v="https://jurisays.com"/>
    <s v="Recherche/Universitaire"/>
    <s v="Fonctionnel"/>
    <s v="International"/>
    <s v="Usagers des tribunaux (Grand public)"/>
    <s v="3 - Prévision des résultats des litiges"/>
    <s v="Ces instruments apprennent à partir de grands ensembles de données pour créer des modèles qui sont ensuite utilisés pour visualiser, simuler ou prédire de nouveaux résultats de litiges."/>
    <s v="3 - Prévision des résultats des litiges; "/>
  </r>
  <r>
    <x v="24"/>
    <x v="1"/>
    <s v="Civil Resolution Tribunal / CRT "/>
    <s v="AI"/>
    <n v="2015"/>
    <s v="Canada"/>
    <s v="Le « Civil Resolution Tribunal » est situé en Colombie-Britannique, au Canada. Il a été créé pour aider les personnes qui n'ont pas d'avocat à résoudre rapidement certains types de litiges. Il s'occupe des petites réclamations en matière civile d'une valeur inférieure à 5 000 dollars, des litiges entre copropriétaires, des réclamations pour dommages corporels causés par des véhicules à moteur jusqu'à 50 000 dollars, et des litiges entre sociétés et associations coopératives. Ses décisions peuvent faire l'objet d'un appel devant la Cour provinciale ou la Cour suprême de révision judiciaire, selon le type de problème."/>
    <s v=""/>
    <s v="https://civilresolutionbc.ca/"/>
    <s v="Publique "/>
    <s v="Fonctionnel"/>
    <s v="Check"/>
    <s v="Gestion"/>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
  </r>
  <r>
    <x v="24"/>
    <x v="1"/>
    <s v="Civil Resolution Tribunal / CRT "/>
    <s v="AI"/>
    <n v="2015"/>
    <s v="Canada"/>
    <s v="Le « Civil Resolution Tribunal » est situé en Colombie-Britannique, au Canada. Il a été créé pour aider les personnes qui n'ont pas d'avocat à résoudre rapidement certains types de litiges. Il s'occupe des petites réclamations en matière civile d'une valeur inférieure à 5 000 dollars, des litiges entre copropriétaires, des réclamations pour dommages corporels causés par des véhicules à moteur jusqu'à 50 000 dollars, et des litiges entre sociétés et associations coopératives. Ses décisions peuvent faire l'objet d'un appel devant la Cour provinciale ou la Cour suprême de révision judiciaire, selon le type de problème."/>
    <s v=""/>
    <s v="https://civilresolutionbc.ca/"/>
    <s v="Publique "/>
    <s v="Fonctionnel"/>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
  </r>
  <r>
    <x v="25"/>
    <x v="1"/>
    <s v="ANOPPI"/>
    <s v="AI"/>
    <n v="2019"/>
    <s v="Finlande"/>
    <s v="Un outil de pseudonymisation des documents juridiques pour la publication et l'utilisation de données liées sur le web sémantique. "/>
    <s v="https://seco.cs.aalto.fi/publications/2022/oksanen-et-al-anoppi-2022.pdf"/>
    <s v="https://seco-cs-aalto-fi.translate.goog/projects/anoppi/?_x_tr_sl=fi&amp;_x_tr_tl=en&amp;_x_tr_hl=fi"/>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25"/>
    <x v="1"/>
    <s v="ANOPPI"/>
    <s v="AI"/>
    <n v="2019"/>
    <s v="Finlande"/>
    <s v="Un outil de pseudonymisation des documents juridiques pour la publication et l'utilisation de données liées sur le web sémantique. "/>
    <s v="https://seco.cs.aalto.fi/publications/2022/oksanen-et-al-anoppi-2022.pdf"/>
    <s v="https://seco-cs-aalto-fi.translate.goog/projects/anoppi/?_x_tr_sl=fi&amp;_x_tr_tl=en&amp;_x_tr_hl=fi"/>
    <s v="Publique "/>
    <s v="Fonctionnel"/>
    <s v="Check"/>
    <s v="Avocats"/>
    <s v="5 - Anonymisation et pseudonymisation"/>
    <s v="Ces instruments sont utilisées pour supprimer les informations permettant d'identifier un individu telles que les données personnelles des utilisateurs des tribunaux."/>
    <s v="5 - Anonymisation et pseudonymisation; "/>
  </r>
  <r>
    <x v="25"/>
    <x v="1"/>
    <s v="ANOPPI"/>
    <s v="AI"/>
    <n v="2019"/>
    <s v="Finlande"/>
    <s v="Un outil de pseudonymisation des documents juridiques pour la publication et l'utilisation de données liées sur le web sémantique. "/>
    <s v="https://seco.cs.aalto.fi/publications/2022/oksanen-et-al-anoppi-2022.pdf"/>
    <s v="https://seco-cs-aalto-fi.translate.goog/projects/anoppi/?_x_tr_sl=fi&amp;_x_tr_tl=en&amp;_x_tr_hl=fi"/>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26"/>
    <x v="1"/>
    <s v="Socrates "/>
    <s v="AI"/>
    <n v="2019"/>
    <s v="Brésil"/>
    <s v="Sócrates prévoit un examen automatisé de chaque recours envoyé à la Cour supérieure de justice du Brésil (STJ) et des décisions intervenues antérieurement dans la procédure, recommande des sources normatives et des précédents juridiques, et fournit une recommandation d'action ; la décision finale est toujours prise par le ministre de la STJ. Le projet se concentre sur la classification des données, en mettant en œuvre des techniques de traitement du langage naturel et d'apprentissage automatique non supervisé qui utilisent comme données d'entraînement les requêtes et décisions antérieures. "/>
    <s v=""/>
    <s v="https://ciapj.fgv.br/sites/ciapj.fgv.br/files/relatorio_ia_3a_edicao_0.pdf"/>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26"/>
    <x v="1"/>
    <s v="Socrates "/>
    <s v="AI"/>
    <n v="2019"/>
    <s v="Brésil"/>
    <s v="Sócrates prévoit un examen automatisé de chaque recours envoyé à la Cour supérieure de justice du Brésil (STJ) et des décisions intervenues antérieurement dans la procédure, recommande des sources normatives et des précédents juridiques, et fournit une recommandation d'action ; la décision finale est toujours prise par le ministre de la STJ. Le projet se concentre sur la classification des données, en mettant en œuvre des techniques de traitement du langage naturel et d'apprentissage automatique non supervisé qui utilisent comme données d'entraînement les requêtes et décisions antérieures. "/>
    <s v=""/>
    <s v="https://ciapj.fgv.br/sites/ciapj.fgv.br/files/relatorio_ia_3a_edicao_0.pdf"/>
    <s v="Publique "/>
    <s v="Fonctionnel"/>
    <s v="Check"/>
    <s v="Juges/greffiers"/>
    <s v="4 - Aide à la décision"/>
    <s v="Ces instruments facilitent ou automatisent entièrement les processus de prise de décision dans les systèmes judiciaires."/>
    <s v="1 - Recherche documentaire; 4 - Aide à la décision"/>
  </r>
  <r>
    <x v="27"/>
    <x v="1"/>
    <s v="SIGMA"/>
    <s v="AI"/>
    <n v="2020"/>
    <s v="Brésil"/>
    <s v="SIGMA est un système intelligent d'utilisation de modèles pour la production de projets de décisions. Il est conçu pour aider à la préparation des rapports, des décisions et des jugements dans le système TRF3 Electronic Judicial Process (PJe). Le système trie les textes stockés, compare les informations extraites des documents de procédure avec la manière dont chaque unité utilise ses modèles et génère des entrées pour la rédaction du rapport. L'observation des documents de procédure suggère des modèles déjà utilisés pour le même type de processus, ce qui accélère la productivité des magistrats et des fonctionnaires pour éviter les décisions contradictoires."/>
    <s v=""/>
    <s v="https://ciapj.fgv.br/sites/ciapj.fgv.br/files/relatorio_ia_3a_edicao_0.pdf"/>
    <s v="Publique "/>
    <s v="Fonctionnel"/>
    <s v="Check"/>
    <s v="Juges/greffiers"/>
    <s v="4 - Aide à la décision"/>
    <s v="Ces instruments facilitent ou automatisent entièrement les processus de prise de décision dans les systèmes judiciaires."/>
    <s v="4 - Aide à la décision; 1 - Recherche documentaire"/>
  </r>
  <r>
    <x v="27"/>
    <x v="1"/>
    <s v="SIGMA"/>
    <s v="AI"/>
    <n v="2020"/>
    <s v="Brésil"/>
    <s v="SIGMA est un système intelligent d'utilisation de modèles pour la production de projets de décisions. Il est conçu pour aider à la préparation des rapports, des décisions et des jugements dans le système TRF3 Electronic Judicial Process (PJe). Le système trie les textes stockés, compare les informations extraites des documents de procédure avec la manière dont chaque unité utilise ses modèles et génère des entrées pour la rédaction du rapport. L'observation des documents de procédure suggère des modèles déjà utilisés pour le même type de processus, ce qui accélère la productivité des magistrats et des fonctionnaires pour éviter les décisions contradictoires."/>
    <s v=""/>
    <s v="https://ciapj.fgv.br/sites/ciapj.fgv.br/files/relatorio_ia_3a_edicao_0.pdf"/>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28"/>
    <x v="1"/>
    <s v="Salme"/>
    <s v="non-AI"/>
    <n v="2022"/>
    <s v="Estonie"/>
    <s v="Salme est un outil de reconnaissance vocale développé par le ministère estonien de la Justice en partenariat avec la société informatique CGI Estonia et l'entreprise de technologie linguistique Tilde, qui a été introduit dans les tribunaux estoniens pour simplifier et optimiser cette opération. Il s'agit d'un outil d'apprentissage automatique et de NLP qui est connecté au X-Road estonien (une couche d'échange de données sécurisée pour l'envoi et la réception de données entre les organisations des secteurs privé et public) pour traiter les données d'enregistrement et de transcription. Salme peut transcrire en temps réel ou hors ligne, ce qui prend plus de temps mais est plus précis. L'horodatage par l'utilisateur est possible, ce qui permet d'ajouter des notes pour retrouver plus facilement l'enregistrement audio correspondant."/>
    <s v=""/>
    <s v="https://e-estonia.com/introducing-salme-estonian-courts-speech-recognition-assistant/"/>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29"/>
    <x v="1"/>
    <s v="Dataanalys för verksamhetsutveckling / Process mining"/>
    <s v="AI"/>
    <n v="2022"/>
    <s v="Suède"/>
    <s v="Outil permettant de collecter des données à partir des systèmes informatiques afin d'analyser les processus. Il permet de créer des statistiques objectives afin de développer et de modifier le flux de travail des tribunaux."/>
    <s v=""/>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30"/>
    <x v="1"/>
    <s v="Tiesu informatīvā sistēma / Court Information System"/>
    <s v="non-AI"/>
    <n v="2022"/>
    <s v="Lettonie"/>
    <s v="Intégré au système d'information de la Cour  et sur la base des décisions des tribunaux, l'outil est déjà formé pour reconnaître toutes les valeurs textuelles qui doivent être rendues anonymes conformément à la législation (c'est-à-dire les noms, les adresses, les données d'identification personnelle). En outre, il peut être entraîné à reconnaître et à rendre anonymes d'autres valeurs, si nécessaire. Avant de publier les décisions sur le portail de la Cour, un humain vérifie et modifie, si nécessaire, les erreurs d'anonymisation."/>
    <s v=""/>
    <s v="Internal system, no direct public link available."/>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30"/>
    <x v="1"/>
    <s v="Tiesu informatīvā sistēma / Court Information System"/>
    <s v="non-AI"/>
    <n v="2022"/>
    <s v="Lettonie"/>
    <s v="Intégré au système d'information de la Cour  et sur la base des décisions des tribunaux, l'outil est déjà formé pour reconnaître toutes les valeurs textuelles qui doivent être rendues anonymes conformément à la législation (c'est-à-dire les noms, les adresses, les données d'identification personnelle). En outre, il peut être entraîné à reconnaître et à rendre anonymes d'autres valeurs, si nécessaire. Avant de publier les décisions sur le portail de la Cour, un humain vérifie et modifie, si nécessaire, les erreurs d'anonymisation."/>
    <s v=""/>
    <s v="Internal system, no direct public link available."/>
    <s v="Publique "/>
    <s v="Fonctionnel"/>
    <s v="Check"/>
    <s v="Avocats"/>
    <s v="5 - Anonymisation et pseudonymisation"/>
    <s v="Ces instruments sont utilisées pour supprimer les informations permettant d'identifier un individu telles que les données personnelles des utilisateurs des tribunaux."/>
    <s v="5 - Anonymisation et pseudonymisation; "/>
  </r>
  <r>
    <x v="30"/>
    <x v="1"/>
    <s v="Tiesu informatīvā sistēma / Court Information System"/>
    <s v="non-AI"/>
    <n v="2022"/>
    <s v="Lettonie"/>
    <s v="Intégré au système d'information de la Cour  et sur la base des décisions des tribunaux, l'outil est déjà formé pour reconnaître toutes les valeurs textuelles qui doivent être rendues anonymes conformément à la législation (c'est-à-dire les noms, les adresses, les données d'identification personnelle). En outre, il peut être entraîné à reconnaître et à rendre anonymes d'autres valeurs, si nécessaire. Avant de publier les décisions sur le portail de la Cour, un humain vérifie et modifie, si nécessaire, les erreurs d'anonymisation."/>
    <s v=""/>
    <s v="Internal system, no direct public link available."/>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31"/>
    <x v="1"/>
    <s v="Giustizia Predittiva (Brescia) / Predictive Justice"/>
    <s v="AI"/>
    <n v="2017"/>
    <s v="Italie"/>
    <s v="Le site présente - regroupées par domaines thématiques - des décisions sélectionnées de la Cour d'appel et du Tribunal de seconde instance de Brescia. Une fois le domaine d'intérêt choisi (droit du travail/droit des affaires), il est possible de suivre un &quot;itinéraire&quot; guidé, visant à identifier la décision judiciaire la plus appropriée pour répondre à la question posée.  Le système est le fruit d'une collaboration entre la Cour d'appel et le Tribunal de Brescia et l'Université de Brescia.  (Dernière mise à jour de la base de données inconnue)."/>
    <s v=""/>
    <s v="https://giustiziapredittiva.unibs.it "/>
    <s v="Recherche/Universitaire"/>
    <s v="Fonctionnel"/>
    <s v="Régional"/>
    <s v="Avocats"/>
    <s v="3 - Prévision des résultats des litiges"/>
    <s v="Ces instruments apprennent à partir de grands ensembles de données pour créer des modèles qui sont ensuite utilisés pour visualiser, simuler ou prédire de nouveaux résultats de litiges."/>
    <s v="3 - Prévision des résultats des litiges; "/>
  </r>
  <r>
    <x v="31"/>
    <x v="1"/>
    <s v="Giustizia Predittiva (Brescia) / Predictive Justice"/>
    <s v="AI"/>
    <n v="2017"/>
    <s v="Italie"/>
    <s v="Le site présente - regroupées par domaines thématiques - des décisions sélectionnées de la Cour d'appel et du Tribunal de seconde instance de Brescia. Une fois le domaine d'intérêt choisi (droit du travail/droit des affaires), il est possible de suivre un &quot;itinéraire&quot; guidé, visant à identifier la décision judiciaire la plus appropriée pour répondre à la question posée.  Le système est le fruit d'une collaboration entre la Cour d'appel et le Tribunal de Brescia et l'Université de Brescia.  (Dernière mise à jour de la base de données inconnue)."/>
    <s v=""/>
    <s v="https://giustiziapredittiva.unibs.it "/>
    <s v="Recherche/Universitaire"/>
    <s v="Fonctionnel"/>
    <s v="Régional"/>
    <s v="Usagers des tribunaux (Grand public)"/>
    <s v="3 - Prévision des résultats des litiges"/>
    <s v="Ces instruments apprennent à partir de grands ensembles de données pour créer des modèles qui sont ensuite utilisés pour visualiser, simuler ou prédire de nouveaux résultats de litiges."/>
    <s v="3 - Prévision des résultats des litiges; "/>
  </r>
  <r>
    <x v="32"/>
    <x v="1"/>
    <s v="ANOM / Anonymization "/>
    <s v="AI"/>
    <n v="2021"/>
    <s v="Suisse"/>
    <s v="ANOM utilise l'IA pour détecter le nom d'experts ou d'autres informations, par exemple des numéros de parcelles, qui ne sont pas parties à la procédure, et les propose comme candidats à l'anonymisation à la lumière de la publication de l'arrêt. "/>
    <s v=""/>
    <s v="(Internal system, no public reference)."/>
    <s v="Publique "/>
    <s v="Fonctionnel"/>
    <s v="Régional"/>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32"/>
    <x v="1"/>
    <s v="ANOM / Anonymization "/>
    <s v="AI"/>
    <n v="2021"/>
    <s v="Suisse"/>
    <s v="ANOM utilise l'IA pour détecter le nom d'experts ou d'autres informations, par exemple des numéros de parcelles, qui ne sont pas parties à la procédure, et les propose comme candidats à l'anonymisation à la lumière de la publication de l'arrêt. "/>
    <s v=""/>
    <s v="(Internal system, no public reference)."/>
    <s v="Publique "/>
    <s v="Fonctionnel"/>
    <s v="Régional"/>
    <s v="Avocats"/>
    <s v="5 - Anonymisation et pseudonymisation"/>
    <s v="Ces instruments sont utilisées pour supprimer les informations permettant d'identifier un individu telles que les données personnelles des utilisateurs des tribunaux."/>
    <s v="5 - Anonymisation et pseudonymisation; "/>
  </r>
  <r>
    <x v="32"/>
    <x v="1"/>
    <s v="ANOM / Anonymization "/>
    <s v="AI"/>
    <n v="2021"/>
    <s v="Suisse"/>
    <s v="ANOM utilise l'IA pour détecter le nom d'experts ou d'autres informations, par exemple des numéros de parcelles, qui ne sont pas parties à la procédure, et les propose comme candidats à l'anonymisation à la lumière de la publication de l'arrêt. "/>
    <s v=""/>
    <s v="(Internal system, no public reference)."/>
    <s v="Publique "/>
    <s v="Fonctionnel"/>
    <s v="Régional"/>
    <s v="Juges/greffiers"/>
    <s v="5 - Anonymisation et pseudonymisation"/>
    <s v="Ces instruments sont utilisées pour supprimer les informations permettant d'identifier un individu telles que les données personnelles des utilisateurs des tribunaux."/>
    <s v="5 - Anonymisation et pseudonymisation; "/>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Avocat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Avocat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6 - Triage, attribution et automatisation des flux de travail"/>
  </r>
  <r>
    <x v="33"/>
    <x v="1"/>
    <s v="Sinapses "/>
    <s v="AI"/>
    <n v="2020"/>
    <s v="Brésil"/>
    <s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_x000a__x000a_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
    <s v="https://ciapj.fgv.br/sites/ciapj.fgv.br/files/relatorio_ia_3a_edicao_0.pdf"/>
    <s v="https://www.cnj.jus.br/sistemas/plataforma-sinapses/"/>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1 - Recherche documentaire; 6 - Triage, attribution et automatisation des flux de travail"/>
  </r>
  <r>
    <x v="34"/>
    <x v="1"/>
    <s v="Anonymization tool"/>
    <s v="AI"/>
    <n v="2021"/>
    <s v="République tchèque"/>
    <s v="L'outil d'anonymisation détecte automatiquement les données personnelles et privées spécifiées dans les décisions de justice. Il rend ces données anonymes et assure la publication des décisions judiciaires anonymes. Développement interne, IA basée sur des règles."/>
    <s v=""/>
    <s v="Internal system, no direct public link available."/>
    <s v="Publique "/>
    <s v="Fonctionnel"/>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34"/>
    <x v="1"/>
    <s v="Anonymization tool"/>
    <s v="AI"/>
    <n v="2021"/>
    <s v="République tchèque"/>
    <s v="L'outil d'anonymisation détecte automatiquement les données personnelles et privées spécifiées dans les décisions de justice. Il rend ces données anonymes et assure la publication des décisions judiciaires anonymes. Développement interne, IA basée sur des règles."/>
    <s v=""/>
    <s v="Internal system, no direct public link available."/>
    <s v="Publique "/>
    <s v="Fonctionnel"/>
    <s v="Check"/>
    <s v="Avocats"/>
    <s v="5 - Anonymisation et pseudonymisation"/>
    <s v="Ces instruments sont utilisées pour supprimer les informations permettant d'identifier un individu telles que les données personnelles des utilisateurs des tribunaux."/>
    <s v="5 - Anonymisation et pseudonymisation; "/>
  </r>
  <r>
    <x v="34"/>
    <x v="1"/>
    <s v="Anonymization tool"/>
    <s v="AI"/>
    <n v="2021"/>
    <s v="République tchèque"/>
    <s v="L'outil d'anonymisation détecte automatiquement les données personnelles et privées spécifiées dans les décisions de justice. Il rend ces données anonymes et assure la publication des décisions judiciaires anonymes. Développement interne, IA basée sur des règles."/>
    <s v=""/>
    <s v="Internal system, no direct public link available."/>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35"/>
    <x v="1"/>
    <s v="Domsdatabasen / Judgment database with anonymisation"/>
    <s v="AI"/>
    <n v="2022"/>
    <s v="Danemark"/>
    <s v="Une base de données centrale des jugements est obligatoire pour la publication des jugements rendus par les tribunaux danois. L'objectif est d'accroître l'ouverture - de donner au public un accès libre aux jugements et la possibilité de se faire une idée de la pratique juridique._x000a_La base de données des jugements se compose de deux éléments : un portail interne, où les jugements sont traités et pseudonymisés, et un portail web à partir duquel le public peut accéder aux jugements._x000a_C'est sur le portail interne que la pseudonomisation des jugements est effectuée et que le système d'intelligence artificielle est mis en œuvre. Le système d'IA appelé NER analyse le document pdf de l'arrêt et identifie et suggère le texte et les noms qui doivent être pseudonymisés. Un employé examine les suggestions, les accepte ou les corrige et décide quand l'arrêt, avec les métadonnées et les documents associés, peut être publié sur le portail web public. Le système NER apprend de l'acceptation ou de la correction de ses suggestions par l'employé et du nombre de pseudonomisations générées par l'utilisateur que l'employé ajoute aux jugements."/>
    <s v=""/>
    <s v="domsdatabasen.dk"/>
    <s v="Publique "/>
    <s v="Fonctionnel"/>
    <s v="Régional"/>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35"/>
    <x v="1"/>
    <s v="Domsdatabasen / Judgment database with anonymisation"/>
    <s v="AI"/>
    <n v="2022"/>
    <s v="Danemark"/>
    <s v="Une base de données centrale des jugements est obligatoire pour la publication des jugements rendus par les tribunaux danois. L'objectif est d'accroître l'ouverture - de donner au public un accès libre aux jugements et la possibilité de se faire une idée de la pratique juridique._x000a_La base de données des jugements se compose de deux éléments : un portail interne, où les jugements sont traités et pseudonymisés, et un portail web à partir duquel le public peut accéder aux jugements._x000a_C'est sur le portail interne que la pseudonomisation des jugements est effectuée et que le système d'intelligence artificielle est mis en œuvre. Le système d'IA appelé NER analyse le document pdf de l'arrêt et identifie et suggère le texte et les noms qui doivent être pseudonymisés. Un employé examine les suggestions, les accepte ou les corrige et décide quand l'arrêt, avec les métadonnées et les documents associés, peut être publié sur le portail web public. Le système NER apprend de l'acceptation ou de la correction de ses suggestions par l'employé et du nombre de pseudonomisations générées par l'utilisateur que l'employé ajoute aux jugements."/>
    <s v=""/>
    <s v="domsdatabasen.dk"/>
    <s v="Publique "/>
    <s v="Fonctionnel"/>
    <s v="Régional"/>
    <s v="Avocats"/>
    <s v="5 - Anonymisation et pseudonymisation"/>
    <s v="Ces instruments sont utilisées pour supprimer les informations permettant d'identifier un individu telles que les données personnelles des utilisateurs des tribunaux."/>
    <s v="5 - Anonymisation et pseudonymisation; "/>
  </r>
  <r>
    <x v="35"/>
    <x v="1"/>
    <s v="Domsdatabasen / Judgment database with anonymisation"/>
    <s v="AI"/>
    <n v="2022"/>
    <s v="Danemark"/>
    <s v="Une base de données centrale des jugements est obligatoire pour la publication des jugements rendus par les tribunaux danois. L'objectif est d'accroître l'ouverture - de donner au public un accès libre aux jugements et la possibilité de se faire une idée de la pratique juridique._x000a_La base de données des jugements se compose de deux éléments : un portail interne, où les jugements sont traités et pseudonymisés, et un portail web à partir duquel le public peut accéder aux jugements._x000a_C'est sur le portail interne que la pseudonomisation des jugements est effectuée et que le système d'intelligence artificielle est mis en œuvre. Le système d'IA appelé NER analyse le document pdf de l'arrêt et identifie et suggère le texte et les noms qui doivent être pseudonymisés. Un employé examine les suggestions, les accepte ou les corrige et décide quand l'arrêt, avec les métadonnées et les documents associés, peut être publié sur le portail web public. Le système NER apprend de l'acceptation ou de la correction de ses suggestions par l'employé et du nombre de pseudonomisations générées par l'utilisateur que l'employé ajoute aux jugements."/>
    <s v=""/>
    <s v="domsdatabasen.dk"/>
    <s v="Publique "/>
    <s v="Fonctionnel"/>
    <s v="Régional"/>
    <s v="Juges/greffiers"/>
    <s v="5 - Anonymisation et pseudonymisation"/>
    <s v="Ces instruments sont utilisées pour supprimer les informations permettant d'identifier un individu telles que les données personnelles des utilisateurs des tribunaux."/>
    <s v="5 - Anonymisation et pseudonymisation; "/>
  </r>
  <r>
    <x v="35"/>
    <x v="1"/>
    <s v="Domsdatabasen / Judgment database with anonymisation"/>
    <s v="AI"/>
    <n v="2022"/>
    <s v="Danemark"/>
    <s v="Une base de données centrale des jugements est obligatoire pour la publication des jugements rendus par les tribunaux danois. L'objectif est d'accroître l'ouverture - de donner au public un accès libre aux jugements et la possibilité de se faire une idée de la pratique juridique._x000a_La base de données des jugements se compose de deux éléments : un portail interne, où les jugements sont traités et pseudonymisés, et un portail web à partir duquel le public peut accéder aux jugements._x000a_C'est sur le portail interne que la pseudonomisation des jugements est effectuée et que le système d'intelligence artificielle est mis en œuvre. Le système d'IA appelé NER analyse le document pdf de l'arrêt et identifie et suggère le texte et les noms qui doivent être pseudonymisés. Un employé examine les suggestions, les accepte ou les corrige et décide quand l'arrêt, avec les métadonnées et les documents associés, peut être publié sur le portail web public. Le système NER apprend de l'acceptation ou de la correction de ses suggestions par l'employé et du nombre de pseudonomisations générées par l'utilisateur que l'employé ajoute aux jugements."/>
    <s v=""/>
    <s v="domsdatabasen.dk"/>
    <s v="Publique "/>
    <s v="Fonctionnel"/>
    <s v="Régional"/>
    <s v="Gestion"/>
    <s v="5 - Anonymisation et pseudonymisation"/>
    <s v="Ces instruments sont utilisées pour supprimer les informations permettant d'identifier un individu telles que les données personnelles des utilisateurs des tribunaux."/>
    <s v="5 - Anonymisation et pseudonymisation; "/>
  </r>
  <r>
    <x v="36"/>
    <x v="1"/>
    <s v="COMPAS / Correctional Offender Management Profiling for Alternative Sanctions"/>
    <s v="non-AI"/>
    <n v="1990"/>
    <s v="Etats-Unis"/>
    <s v="Logiciel propriétaire créé pour aider les juges américains à évaluer si un défendeur est susceptible de récidiver, tant pour la mise en liberté sous caution que pour la détermination de la peine. Le système automatise l'évaluation du risque en posant un total de 137 questions basées sur un entretien avec la personne concernée et son casier judiciaire.  Il calcule ensuite des scores de 1 à 10 dans 43 catégories différentes (échelles). Les scores obtenus dans certaines catégories (appelées échelles de risque) sont censés indiquer le risque de récidive - en général, pour des types particuliers d'infractions (par exemple, les crimes violents) ou spécifiquement pour des facteurs de risque individuels identifiés (par exemple, les condamnations antérieures, la consommation de drogue, l'intégration sociale). Plus le score est élevé, plus le risque de récidive est important. Il ne s'agit pas d'un risque &quot;absolu&quot;, mais seulement d'un risque relatif par rapport au &quot;groupe de référence&quot;."/>
    <s v=""/>
    <s v="https://www.equivant.com/wp-content/uploads/Practitioners-Guide-to-COMPAS-Core-040419.pdf"/>
    <s v="Publique "/>
    <s v="Fonctionnel"/>
    <s v="Régional"/>
    <s v="Juges/greffiers"/>
    <s v="4 - Aide à la décision"/>
    <s v="Ces instruments facilitent ou automatisent entièrement les processus de prise de décision dans les systèmes judiciaires."/>
    <s v="4 - Aide à la décision; "/>
  </r>
  <r>
    <x v="36"/>
    <x v="1"/>
    <s v="COMPAS / Correctional Offender Management Profiling for Alternative Sanctions"/>
    <s v="non-AI"/>
    <n v="1990"/>
    <s v="Etats-Unis"/>
    <s v="Logiciel propriétaire créé pour aider les juges américains à évaluer si un défendeur est susceptible de récidiver, tant pour la mise en liberté sous caution que pour la détermination de la peine. Le système automatise l'évaluation du risque en posant un total de 137 questions basées sur un entretien avec la personne concernée et son casier judiciaire.  Il calcule ensuite des scores de 1 à 10 dans 43 catégories différentes (échelles). Les scores obtenus dans certaines catégories (appelées échelles de risque) sont censés indiquer le risque de récidive - en général, pour des types particuliers d'infractions (par exemple, les crimes violents) ou spécifiquement pour des facteurs de risque individuels identifiés (par exemple, les condamnations antérieures, la consommation de drogue, l'intégration sociale). Plus le score est élevé, plus le risque de récidive est important. Il ne s'agit pas d'un risque &quot;absolu&quot;, mais seulement d'un risque relatif par rapport au &quot;groupe de référence&quot;."/>
    <s v=""/>
    <s v="https://www.equivant.com/wp-content/uploads/Practitioners-Guide-to-COMPAS-Core-040419.pdf"/>
    <s v="Publique "/>
    <s v="Fonctionnel"/>
    <s v="Régional"/>
    <s v="Gestion"/>
    <s v="4 - Aide à la décision"/>
    <s v="Ces instruments facilitent ou automatisent entièrement les processus de prise de décision dans les systèmes judiciaires."/>
    <s v="4 - Aide à la décision; "/>
  </r>
  <r>
    <x v="37"/>
    <x v="1"/>
    <s v="HART /Harm Assessment Risk Tool"/>
    <s v="non-AI"/>
    <n v="2017"/>
    <s v="Royaume Uni"/>
    <s v="Créé par des experts en statistiques de l'université de Cambridge en collaboration avec la gendarmerie de Durhanm, HART a pour but d'aider les policiers à déterminer si les personnes arrêtées peuvent bénéficier d'une alternative à l'incarcération. Il permet de modéliser un ratio erreurs-coûts."/>
    <s v="https://www.durham.police.uk/News/News-Articles/2022/January/AI-can-predict-reoffending-university-study-finds.aspx"/>
    <s v="Internal system, no direct public link available."/>
    <s v="Publique "/>
    <s v="Fonctionnel"/>
    <s v="Spécifique au tribunal"/>
    <s v="Gestion"/>
    <s v="4 - Aide à la décision"/>
    <s v="Ces instruments facilitent ou automatisent entièrement les processus de prise de décision dans les systèmes judiciaires."/>
    <s v="4 - Aide à la décision; "/>
  </r>
  <r>
    <x v="37"/>
    <x v="1"/>
    <s v="HART /Harm Assessment Risk Tool"/>
    <s v="non-AI"/>
    <n v="2017"/>
    <s v="Royaume Uni"/>
    <s v="Créé par des experts en statistiques de l'université de Cambridge en collaboration avec la gendarmerie de Durhanm, HART a pour but d'aider les policiers à déterminer si les personnes arrêtées peuvent bénéficier d'une alternative à l'incarcération. Il permet de modéliser un ratio erreurs-coûts."/>
    <s v="https://www.durham.police.uk/News/News-Articles/2022/January/AI-can-predict-reoffending-university-study-finds.aspx"/>
    <s v="Internal system, no direct public link available."/>
    <s v="Publique "/>
    <s v="Fonctionnel"/>
    <s v="Spécifique au tribunal"/>
    <s v="Usagers des tribunaux (Grand public)"/>
    <s v="4 - Aide à la décision"/>
    <s v="Ces instruments facilitent ou automatisent entièrement les processus de prise de décision dans les systèmes judiciaires."/>
    <s v="4 - Aide à la décision; "/>
  </r>
  <r>
    <x v="38"/>
    <x v="1"/>
    <s v="OASys/ Offender Assessment and Sentence Management"/>
    <s v="non-AI"/>
    <n v="2005"/>
    <s v="Royaume Uni"/>
    <s v="OASys est un outil statistique général d'évaluation des risques et des besoins, utilisé à la fois pour la libération conditionnelle (par les services pénitentiaires) et pour les décisions de condamnation (par les services de probation). Il met l'accent sur la réinsertion, ce qui permet de réduire la récidive."/>
    <s v="https://assets.publishing.service.gov.uk/government/uploads/system/uploads/attachment_data/file/491688/oasys-methodology.pdf"/>
    <s v="Internal system, no direct public link available."/>
    <s v="Publique "/>
    <s v="Fonctionnel"/>
    <s v="Spécifique au tribunal"/>
    <s v="Juges/greffiers"/>
    <s v="4 - Aide à la décision"/>
    <s v="Ces instruments facilitent ou automatisent entièrement les processus de prise de décision dans les systèmes judiciaires."/>
    <s v="4 - Aide à la décision; "/>
  </r>
  <r>
    <x v="38"/>
    <x v="1"/>
    <s v="OASys/ Offender Assessment and Sentence Management"/>
    <s v="non-AI"/>
    <n v="2005"/>
    <s v="Royaume Uni"/>
    <s v="OASys est un outil statistique général d'évaluation des risques et des besoins, utilisé à la fois pour la libération conditionnelle (par les services pénitentiaires) et pour les décisions de condamnation (par les services de probation). Il met l'accent sur la réinsertion, ce qui permet de réduire la récidive."/>
    <s v="https://assets.publishing.service.gov.uk/government/uploads/system/uploads/attachment_data/file/491688/oasys-methodology.pdf"/>
    <s v="Internal system, no direct public link available."/>
    <s v="Publique "/>
    <s v="Fonctionnel"/>
    <s v="Spécifique au tribunal"/>
    <s v="Usagers des tribunaux (Grand public)"/>
    <s v="4 - Aide à la décision"/>
    <s v="Ces instruments facilitent ou automatisent entièrement les processus de prise de décision dans les systèmes judiciaires."/>
    <s v="4 - Aide à la décision; "/>
  </r>
  <r>
    <x v="38"/>
    <x v="1"/>
    <s v="OASys/ Offender Assessment and Sentence Management"/>
    <s v="non-AI"/>
    <n v="2005"/>
    <s v="Royaume Uni"/>
    <s v="OASys est un outil statistique général d'évaluation des risques et des besoins, utilisé à la fois pour la libération conditionnelle (par les services pénitentiaires) et pour les décisions de condamnation (par les services de probation). Il met l'accent sur la réinsertion, ce qui permet de réduire la récidive."/>
    <s v="https://assets.publishing.service.gov.uk/government/uploads/system/uploads/attachment_data/file/491688/oasys-methodology.pdf"/>
    <s v="Internal system, no direct public link available."/>
    <s v="Publique "/>
    <s v="Fonctionnel"/>
    <s v="Spécifique au tribunal"/>
    <s v="Gestion"/>
    <s v="4 - Aide à la décision"/>
    <s v="Ces instruments facilitent ou automatisent entièrement les processus de prise de décision dans les systèmes judiciaires."/>
    <s v="4 - Aide à la décision; "/>
  </r>
  <r>
    <x v="39"/>
    <x v="1"/>
    <s v="RITA (Riski-ja tarvearvio) / Finnish Risk and Needs Assessment Form"/>
    <s v="non-AI"/>
    <n v="2006"/>
    <s v="Finlande"/>
    <s v="La Finlande a &quot;traduit et adapté&quot; à ses besoins OASys, un outil statistique d'évaluation des risques et des besoins pour les décisions de libération conditionnelle et de condamnation. Il s'agit d'un entretien semi-structuré, ce qui donne à la personne responsable une marge d'appréciation considérable lors de l'interprétation des résultats."/>
    <s v="https://journals.sagepub.com/doi/10.1177/0093854819848793"/>
    <s v="Internal system, no direct public link available."/>
    <s v="Publique "/>
    <s v="Fonctionnel"/>
    <s v="Check"/>
    <s v="Juges/greffiers"/>
    <s v="4 - Aide à la décision"/>
    <s v="Ces instruments facilitent ou automatisent entièrement les processus de prise de décision dans les systèmes judiciaires."/>
    <s v="4 - Aide à la décision; "/>
  </r>
  <r>
    <x v="39"/>
    <x v="1"/>
    <s v="RITA (Riski-ja tarvearvio) / Finnish Risk and Needs Assessment Form"/>
    <s v="non-AI"/>
    <n v="2006"/>
    <s v="Finlande"/>
    <s v="La Finlande a &quot;traduit et adapté&quot; à ses besoins OASys, un outil statistique d'évaluation des risques et des besoins pour les décisions de libération conditionnelle et de condamnation. Il s'agit d'un entretien semi-structuré, ce qui donne à la personne responsable une marge d'appréciation considérable lors de l'interprétation des résultats."/>
    <s v="https://journals.sagepub.com/doi/10.1177/0093854819848793"/>
    <s v="Internal system, no direct public link available."/>
    <s v="Publique "/>
    <s v="Fonctionnel"/>
    <s v="Check"/>
    <s v="Usagers des tribunaux (Grand public)"/>
    <s v="4 - Aide à la décision"/>
    <s v="Ces instruments facilitent ou automatisent entièrement les processus de prise de décision dans les systèmes judiciaires."/>
    <s v="4 - Aide à la décision; "/>
  </r>
  <r>
    <x v="39"/>
    <x v="1"/>
    <s v="RITA (Riski-ja tarvearvio) / Finnish Risk and Needs Assessment Form"/>
    <s v="non-AI"/>
    <n v="2006"/>
    <s v="Finlande"/>
    <s v="La Finlande a &quot;traduit et adapté&quot; à ses besoins OASys, un outil statistique d'évaluation des risques et des besoins pour les décisions de libération conditionnelle et de condamnation. Il s'agit d'un entretien semi-structuré, ce qui donne à la personne responsable une marge d'appréciation considérable lors de l'interprétation des résultats."/>
    <s v="https://journals.sagepub.com/doi/10.1177/0093854819848793"/>
    <s v="Internal system, no direct public link available."/>
    <s v="Publique "/>
    <s v="Fonctionnel"/>
    <s v="Check"/>
    <s v="Gestion"/>
    <s v="4 - Aide à la décision"/>
    <s v="Ces instruments facilitent ou automatisent entièrement les processus de prise de décision dans les systèmes judiciaires."/>
    <s v="4 - Aide à la décision; "/>
  </r>
  <r>
    <x v="40"/>
    <x v="1"/>
    <s v="Recidive InschattingsSchalen/ RISc - Recidivism Assessment Scales"/>
    <s v="non-AI"/>
    <n v="2004"/>
    <s v="Pays-Bas"/>
    <s v="Le RISc est un outil statistique d'évaluation des risques et des besoins pour les décisions de libération conditionnelle et de condamnation. Il est généralement utilisé lorsqu'un individu est placé en état d'arrestation préventive et que le niveau de gravité du crime est élevé."/>
    <s v="https://www.cep-probation.org/risk-assessment-the-dutch-way-a-scalable-easy-to-use-tool-for-probation-reports/"/>
    <s v="Internal system, no direct public link available."/>
    <s v="Publique "/>
    <s v="Fonctionnel"/>
    <s v="Check"/>
    <s v="Juges/greffiers"/>
    <s v="4 - Aide à la décision"/>
    <s v="Ces instruments facilitent ou automatisent entièrement les processus de prise de décision dans les systèmes judiciaires."/>
    <s v="4 - Aide à la décision; "/>
  </r>
  <r>
    <x v="40"/>
    <x v="1"/>
    <s v="Recidive InschattingsSchalen/ RISc - Recidivism Assessment Scales"/>
    <s v="non-AI"/>
    <n v="2004"/>
    <s v="Pays-Bas"/>
    <s v="Le RISc est un outil statistique d'évaluation des risques et des besoins pour les décisions de libération conditionnelle et de condamnation. Il est généralement utilisé lorsqu'un individu est placé en état d'arrestation préventive et que le niveau de gravité du crime est élevé."/>
    <s v="https://www.cep-probation.org/risk-assessment-the-dutch-way-a-scalable-easy-to-use-tool-for-probation-reports/"/>
    <s v="Internal system, no direct public link available."/>
    <s v="Publique "/>
    <s v="Fonctionnel"/>
    <s v="Check"/>
    <s v="Usagers des tribunaux (Grand public)"/>
    <s v="4 - Aide à la décision"/>
    <s v="Ces instruments facilitent ou automatisent entièrement les processus de prise de décision dans les systèmes judiciaires."/>
    <s v="4 - Aide à la décision; "/>
  </r>
  <r>
    <x v="40"/>
    <x v="1"/>
    <s v="Recidive InschattingsSchalen/ RISc - Recidivism Assessment Scales"/>
    <s v="non-AI"/>
    <n v="2004"/>
    <s v="Pays-Bas"/>
    <s v="Le RISc est un outil statistique d'évaluation des risques et des besoins pour les décisions de libération conditionnelle et de condamnation. Il est généralement utilisé lorsqu'un individu est placé en état d'arrestation préventive et que le niveau de gravité du crime est élevé."/>
    <s v="https://www.cep-probation.org/risk-assessment-the-dutch-way-a-scalable-easy-to-use-tool-for-probation-reports/"/>
    <s v="Internal system, no direct public link available."/>
    <s v="Publique "/>
    <s v="Fonctionnel"/>
    <s v="Check"/>
    <s v="Gestion"/>
    <s v="4 - Aide à la décision"/>
    <s v="Ces instruments facilitent ou automatisent entièrement les processus de prise de décision dans les systèmes judiciaires."/>
    <s v="4 - Aide à la décision; "/>
  </r>
  <r>
    <x v="41"/>
    <x v="1"/>
    <s v="OxRec / Oxford Risk of Recidivism Tool "/>
    <s v=""/>
    <n v="2016"/>
    <s v="Suède"/>
    <s v="OxRec est un calculateur de risque en ligne permettant d'évaluer le risque de récidive chez les détenus. Cet outil a été développé par le groupe de psychiatrie et de psychologie légale de l'Université d'Oxford. Il a été dérivé et validé en Suède, puis dans les autres pays. Il est disponible en suédois, grec, français, chinois, russe, italien, espagnol, finlandais, allemand et polonais."/>
    <s v="https://oxrisk.com/home-2-2/"/>
    <s v="https://oxrisk.com/oxrec-9/"/>
    <s v="Recherche/Universitaire"/>
    <s v="Fonctionnel"/>
    <s v="International"/>
    <s v="Juges/greffiers"/>
    <s v="4 - Aide à la décision"/>
    <s v="Ces instruments facilitent ou automatisent entièrement les processus de prise de décision dans les systèmes judiciaires."/>
    <s v="4 - Aide à la décision; "/>
  </r>
  <r>
    <x v="41"/>
    <x v="1"/>
    <s v="OxRec / Oxford Risk of Recidivism Tool "/>
    <s v=""/>
    <n v="2016"/>
    <s v="Suède"/>
    <s v="OxRec est un calculateur de risque en ligne permettant d'évaluer le risque de récidive chez les détenus. Cet outil a été développé par le groupe de psychiatrie et de psychologie légale de l'Université d'Oxford. Il a été dérivé et validé en Suède, puis dans les autres pays. Il est disponible en suédois, grec, français, chinois, russe, italien, espagnol, finlandais, allemand et polonais."/>
    <s v="https://oxrisk.com/home-2-2/"/>
    <s v="https://oxrisk.com/oxrec-9/"/>
    <s v="Recherche/Universitaire"/>
    <s v="Fonctionnel"/>
    <s v="International"/>
    <s v="Usagers des tribunaux (Grand public)"/>
    <s v="4 - Aide à la décision"/>
    <s v="Ces instruments facilitent ou automatisent entièrement les processus de prise de décision dans les systèmes judiciaires."/>
    <s v="4 - Aide à la décision; "/>
  </r>
  <r>
    <x v="42"/>
    <x v="1"/>
    <s v="RisCanvi / Risk Change protocol"/>
    <s v="AI"/>
    <n v="2009"/>
    <s v="Espagne"/>
    <s v="Outil conçu par les services pénitentiaires catalans et le Groupe d'études avancées sur la violence de l'Université de Barcelone. Il est utilisé pour décider si les détenus peuvent bénéficier d'une permission de sortie (lorsqu'ils sont autorisés à quitter la prison pour une courte période), mais aussi pour prendre des décisions concernant le transfert des détenus d'une prison à l'autre ou la libération conditionnelle (libération anticipée). RisCanvi analyse cinq résultats différents : la récidive violente, les lésions auto-infligées, la violence avec d'autres détenus ou à l'intérieur des établissements, la rupture de la permission de sortie et la récidive en général."/>
    <s v="https://onlinelibrary.wiley.com/doi/abs/10.1002/9781119184256.ch13 "/>
    <s v="Internal system, no direct public link available."/>
    <s v="Publique "/>
    <s v="Fonctionnel"/>
    <s v="Spécifique au tribunal"/>
    <s v="Gestion"/>
    <s v="4 - Aide à la décision"/>
    <s v="Ces instruments facilitent ou automatisent entièrement les processus de prise de décision dans les systèmes judiciaires."/>
    <s v="4 - Aide à la décision; "/>
  </r>
  <r>
    <x v="42"/>
    <x v="1"/>
    <s v="RisCanvi / Risk Change protocol"/>
    <s v="AI"/>
    <n v="2009"/>
    <s v="Espagne"/>
    <s v="Outil conçu par les services pénitentiaires catalans et le Groupe d'études avancées sur la violence de l'Université de Barcelone. Il est utilisé pour décider si les détenus peuvent bénéficier d'une permission de sortie (lorsqu'ils sont autorisés à quitter la prison pour une courte période), mais aussi pour prendre des décisions concernant le transfert des détenus d'une prison à l'autre ou la libération conditionnelle (libération anticipée). RisCanvi analyse cinq résultats différents : la récidive violente, les lésions auto-infligées, la violence avec d'autres détenus ou à l'intérieur des établissements, la rupture de la permission de sortie et la récidive en général."/>
    <s v="https://onlinelibrary.wiley.com/doi/abs/10.1002/9781119184256.ch13 "/>
    <s v="Internal system, no direct public link available."/>
    <s v="Publique "/>
    <s v="Fonctionnel"/>
    <s v="Spécifique au tribunal"/>
    <s v="Juges/greffiers"/>
    <s v="4 - Aide à la décision"/>
    <s v="Ces instruments facilitent ou automatisent entièrement les processus de prise de décision dans les systèmes judiciaires."/>
    <s v="4 - Aide à la décision; "/>
  </r>
  <r>
    <x v="42"/>
    <x v="1"/>
    <s v="RisCanvi / Risk Change protocol"/>
    <s v="AI"/>
    <n v="2009"/>
    <s v="Espagne"/>
    <s v="Outil conçu par les services pénitentiaires catalans et le Groupe d'études avancées sur la violence de l'Université de Barcelone. Il est utilisé pour décider si les détenus peuvent bénéficier d'une permission de sortie (lorsqu'ils sont autorisés à quitter la prison pour une courte période), mais aussi pour prendre des décisions concernant le transfert des détenus d'une prison à l'autre ou la libération conditionnelle (libération anticipée). RisCanvi analyse cinq résultats différents : la récidive violente, les lésions auto-infligées, la violence avec d'autres détenus ou à l'intérieur des établissements, la rupture de la permission de sortie et la récidive en général."/>
    <s v="https://onlinelibrary.wiley.com/doi/abs/10.1002/9781119184256.ch13 "/>
    <s v="Internal system, no direct public link available."/>
    <s v="Publique "/>
    <s v="Fonctionnel"/>
    <s v="Spécifique au tribunal"/>
    <s v="Usagers des tribunaux (Grand public)"/>
    <s v="4 - Aide à la décision"/>
    <s v="Ces instruments facilitent ou automatisent entièrement les processus de prise de décision dans les systèmes judiciaires."/>
    <s v="4 - Aide à la décision; "/>
  </r>
  <r>
    <x v="43"/>
    <x v="1"/>
    <s v="Software zur Bekämpfung von Kinderpornografie / Software to combat child pornography"/>
    <s v="AI"/>
    <n v="2020"/>
    <s v="Allemagne"/>
    <s v="Le système doit permettre d'examiner les volumes de données obtenus dans le cadre d'activités d'enquête, parfois considérables, afin de détecter le matériel pédopornographique qu'ils pourraient contenir."/>
    <s v="https://www.bundestag.de/resource/blob/832204/6813d064fab52e9b6d54cbbf5319cea3/WD-7-017-21-pdf-data.pdf"/>
    <s v="Internal system, no direct public link available."/>
    <s v="Publique "/>
    <s v="Fonctionnel"/>
    <s v="Check"/>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44"/>
    <x v="1"/>
    <s v="Speech to Text - Legal"/>
    <s v="AI"/>
    <n v="2008"/>
    <s v="Allemagne"/>
    <s v="Logiciel de reconnaissance linguistique et de dictée utilisé par le Justizminsterium North Rhine- Westphalia. Dragon NaturallySpeaking Legal Edition personnalisé."/>
    <s v="https://www.bundestag.de/resource/blob/832204/6813d064fab52e9b6d54cbbf5319cea3/WD-7-017-21-pdf-data.pdf"/>
    <s v="0"/>
    <s v="Publique "/>
    <s v="Fonctionnel"/>
    <s v="Spécifique au tribunal"/>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45"/>
    <x v="1"/>
    <s v="Split-Up "/>
    <s v="AI"/>
    <n v="1995"/>
    <s v="Australie"/>
    <s v="Le programme aide les juges aux affaires familiales dans les litiges de divorce. Il identifie les biens des parties à partager et, sur la base d'un calcul, propose un pourcentage que chaque partie devrait recevoir."/>
    <s v="https://medium.com/legal-design-and-innovation/ai-goes-to-court-the-growing-landscape-of-ai-for-access-to-justice-3f58aca4306f"/>
    <s v="Internal system, no direct public link available."/>
    <s v="Publique "/>
    <s v="Fonctionnel"/>
    <s v="Check"/>
    <s v="Juges/greffiers"/>
    <s v="4 - Aide à la décision"/>
    <s v="Ces instruments facilitent ou automatisent entièrement les processus de prise de décision dans les systèmes judiciaires."/>
    <s v="4 - Aide à la décision; 1 - Recherche documentaire"/>
  </r>
  <r>
    <x v="45"/>
    <x v="1"/>
    <s v="Split-Up "/>
    <s v="AI"/>
    <n v="1995"/>
    <s v="Australie"/>
    <s v="Le programme aide les juges aux affaires familiales dans les litiges de divorce. Il identifie les biens des parties à partager et, sur la base d'un calcul, propose un pourcentage que chaque partie devrait recevoir."/>
    <s v="https://medium.com/legal-design-and-innovation/ai-goes-to-court-the-growing-landscape-of-ai-for-access-to-justice-3f58aca4306f"/>
    <s v="Internal system, no direct public link available."/>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46"/>
    <x v="1"/>
    <s v="AI for literature research"/>
    <s v="AI"/>
    <n v="2021"/>
    <s v="Autriche"/>
    <s v="Le système analyse le document dans le système de gestion des fichiers à la recherche de citations juridiques et d'affaires mentionnées et les relie aux références correspondantes dans des bases de données juridiques externes. En conséquence, les citations reconnues sont soulignées dans le document et en cliquant sur le lien, la base de données juridique s'ouvre au bon endroit. En outre, une liste de sources structurée par types de citations identifiées (journaux, décisions, etc.) est affichée dans le panneau latéral pour permettre de naviguer dans le document et de poursuivre le traitement."/>
    <s v="https://www.justiz.gv.at/file/2c94848b6ff7074f017493349cf54406.de.0/it-anwendungen%20in%20der%20%C3%B6sterreichischen%20justiz%20stand%20august%202020.pdf?forcedownload=true"/>
    <s v="Internal system, no direct public link available. "/>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46"/>
    <x v="1"/>
    <s v="AI for literature research"/>
    <s v="AI"/>
    <n v="2021"/>
    <s v="Autriche"/>
    <s v="Le système analyse le document dans le système de gestion des fichiers à la recherche de citations juridiques et d'affaires mentionnées et les relie aux références correspondantes dans des bases de données juridiques externes. En conséquence, les citations reconnues sont soulignées dans le document et en cliquant sur le lien, la base de données juridique s'ouvre au bon endroit. En outre, une liste de sources structurée par types de citations identifiées (journaux, décisions, etc.) est affichée dans le panneau latéral pour permettre de naviguer dans le document et de poursuivre le traitement."/>
    <s v="https://www.justiz.gv.at/file/2c94848b6ff7074f017493349cf54406.de.0/it-anwendungen%20in%20der%20%C3%B6sterreichischen%20justiz%20stand%20august%202020.pdf?forcedownload=true"/>
    <s v="Internal system, no direct public link available. "/>
    <s v="Publique "/>
    <s v="Fonctionnel"/>
    <s v="Check"/>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47"/>
    <x v="1"/>
    <s v="EIS / e-Enforcement Information System"/>
    <s v="AI"/>
    <n v="2018"/>
    <s v="Azerbaïjan"/>
    <s v="Le système d'information e-Enforcement est le système unique de gestion des dossiers pour tous les agents d'exécution, et il est géré par le ministère de la Justice au niveau central. Il est cofinancé par le ministère de la justice et la Banque mondiale. "/>
    <s v="https://rm.coe.int/recommendations-on-ict-solutions-in-enforcement-eng/1680a31561"/>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47"/>
    <x v="1"/>
    <s v="EIS / e-Enforcement Information System"/>
    <s v="AI"/>
    <n v="2018"/>
    <s v="Azerbaïjan"/>
    <s v="Le système d'information e-Enforcement est le système unique de gestion des dossiers pour tous les agents d'exécution, et il est géré par le ministère de la Justice au niveau central. Il est cofinancé par le ministère de la justice et la Banque mondiale. "/>
    <s v="https://rm.coe.int/recommendations-on-ict-solutions-in-enforcement-eng/1680a31561"/>
    <s v="Internal system, no direct public link available."/>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48"/>
    <x v="1"/>
    <s v="ADELE / Analytics for DEcision of LEgal Cases"/>
    <s v="AI"/>
    <n v="2023"/>
    <s v="Italie"/>
    <s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
    <s v=""/>
    <s v="https://adele-tool.eu"/>
    <s v="Recherche/Universitaire"/>
    <s v="Version pilote/bêta"/>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48"/>
    <x v="1"/>
    <s v="ADELE / Analytics for DEcision of LEgal Cases"/>
    <s v="AI"/>
    <n v="2023"/>
    <s v="Italie"/>
    <s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
    <s v=""/>
    <s v="https://adele-tool.eu"/>
    <s v="Recherche/Universitaire"/>
    <s v="Version pilote/bêta"/>
    <s v="Check"/>
    <s v="Juges/greffiers"/>
    <s v="4 - Aide à la décision"/>
    <s v="Ces instruments facilitent ou automatisent entièrement les processus de prise de décision dans les systèmes judiciaires."/>
    <s v="1 - Recherche documentaire; 4 - Aide à la décision"/>
  </r>
  <r>
    <x v="48"/>
    <x v="1"/>
    <s v="ADELE / Analytics for DEcision of LEgal Cases"/>
    <s v="AI"/>
    <n v="2023"/>
    <s v="Italie"/>
    <s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
    <s v=""/>
    <s v="https://adele-tool.eu"/>
    <s v="Recherche/Universitaire"/>
    <s v="Version pilote/bêta"/>
    <s v="Check"/>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48"/>
    <x v="1"/>
    <s v="ADELE / Analytics for DEcision of LEgal Cases"/>
    <s v="AI"/>
    <n v="2023"/>
    <s v="Italie"/>
    <s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
    <s v=""/>
    <s v="https://adele-tool.eu"/>
    <s v="Recherche/Universitaire"/>
    <s v="Version pilote/bêta"/>
    <s v="Check"/>
    <s v="Gestion"/>
    <s v="4 - Aide à la décision"/>
    <s v="Ces instruments facilitent ou automatisent entièrement les processus de prise de décision dans les systèmes judiciaires."/>
    <s v="1 - Recherche documentaire; 4 - Aide à la décision"/>
  </r>
  <r>
    <x v="48"/>
    <x v="1"/>
    <s v="ADELE / Analytics for DEcision of LEgal Cases"/>
    <s v="AI"/>
    <n v="2023"/>
    <s v="Italie"/>
    <s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
    <s v=""/>
    <s v="https://adele-tool.eu"/>
    <s v="Recherche/Universitaire"/>
    <s v="Version pilote/bêta"/>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48"/>
    <x v="1"/>
    <s v="ADELE / Analytics for DEcision of LEgal Cases"/>
    <s v="AI"/>
    <n v="2023"/>
    <s v="Italie"/>
    <s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
    <s v=""/>
    <s v="https://adele-tool.eu"/>
    <s v="Recherche/Universitaire"/>
    <s v="Version pilote/bêta"/>
    <s v="Check"/>
    <s v="Usagers des tribunaux (Grand public)"/>
    <s v="4 - Aide à la décision"/>
    <s v="Ces instruments facilitent ou automatisent entièrement les processus de prise de décision dans les systèmes judiciaires."/>
    <s v="1 - Recherche documentaire; 4 - Aide à la décision"/>
  </r>
  <r>
    <x v="49"/>
    <x v="1"/>
    <s v="Automatic validator of documents authenticity for online nationality applications"/>
    <s v="AI"/>
    <n v="2022"/>
    <s v="Portugal"/>
    <s v="Un logiciel qui permet la validation automatique des documents requis pour la candidature à la nationalité. Au Portugal, les procédures de demande de nationalité requièrent un important volume de documents, qui sont actuellement délivrés sur papier et vérifiés manuellement. Ces opérations exigent un grand nombre d'heures de travail pour de nombreux employés de l'Institut des registres et du notariat (IRN). Ce validateur automatique permet d'optimiser et de dématérialiser complètement la procédure, augmentant ainsi l'efficacité et la réactivité face au nombre croissant de nouvelles demandes."/>
    <s v=""/>
    <s v="https://govtech.justica.gov.pt/en/portfolio/automatic-validator-of-documents-authenticity-for-online-nationality-applications/"/>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1 - Recherche documentaire"/>
  </r>
  <r>
    <x v="49"/>
    <x v="1"/>
    <s v="Automatic validator of documents authenticity for online nationality applications"/>
    <s v="AI"/>
    <n v="2022"/>
    <s v="Portugal"/>
    <s v="Un logiciel qui permet la validation automatique des documents requis pour la candidature à la nationalité. Au Portugal, les procédures de demande de nationalité requièrent un important volume de documents, qui sont actuellement délivrés sur papier et vérifiés manuellement. Ces opérations exigent un grand nombre d'heures de travail pour de nombreux employés de l'Institut des registres et du notariat (IRN). Ce validateur automatique permet d'optimiser et de dématérialiser complètement la procédure, augmentant ainsi l'efficacité et la réactivité face au nombre croissant de nouvelles demandes."/>
    <s v=""/>
    <s v="https://govtech.justica.gov.pt/en/portfolio/automatic-validator-of-documents-authenticity-for-online-nationality-applications/"/>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6 - Triage, attribution et automatisation des flux de travail; 1 - Recherche documentaire"/>
  </r>
  <r>
    <x v="50"/>
    <x v="1"/>
    <s v="Module d'anonymisation open data des décisions de justice/Anonymization of Court decisions"/>
    <s v="AI"/>
    <n v="2021"/>
    <s v="France"/>
    <s v="Brique technique permettant la détection des données à caractères personnelles et leur anonymisation en vue de l'open data des décisions de justice."/>
    <s v=""/>
    <s v="https://www.courdecassation.fr/acces-rapide-judilibre/open-data-et-api"/>
    <s v="Publique "/>
    <s v="Fonctionnel"/>
    <s v="Check"/>
    <s v="Gestion"/>
    <s v="5 - Anonymisation et pseudonymisation"/>
    <s v="Ces instruments sont utilisées pour supprimer les informations permettant d'identifier un individu telles que les données personnelles des utilisateurs des tribunaux."/>
    <s v="5 - Anonymisation et pseudonymisation; "/>
  </r>
  <r>
    <x v="50"/>
    <x v="1"/>
    <s v="Module d'anonymisation open data des décisions de justice/Anonymization of Court decisions"/>
    <s v="AI"/>
    <n v="2021"/>
    <s v="France"/>
    <s v="Brique technique permettant la détection des données à caractères personnelles et leur anonymisation en vue de l'open data des décisions de justice."/>
    <s v=""/>
    <s v="https://www.courdecassation.fr/acces-rapide-judilibre/open-data-et-api"/>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51"/>
    <x v="1"/>
    <s v="Module d'orientation des pourvois / Appeal referral module"/>
    <s v="AI "/>
    <n v="2021"/>
    <s v="France"/>
    <s v="Orientation automatisée des pourvois au sein des chambres de la Cour de cassation."/>
    <s v=""/>
    <s v=" https://www.vie-publique.fr/parole-dexpert/278415-la-cour-de-cassation-face-au-numerique-et-lintelligence-artificielle_x000a_"/>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51"/>
    <x v="1"/>
    <s v="Module d'orientation des pourvois / Appeal referral module"/>
    <s v="AI "/>
    <n v="2021"/>
    <s v="France"/>
    <s v="Orientation automatisée des pourvois au sein des chambres de la Cour de cassation."/>
    <s v=""/>
    <s v=" https://www.vie-publique.fr/parole-dexpert/278415-la-cour-de-cassation-face-au-numerique-et-lintelligence-artificielle_x000a_"/>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52"/>
    <x v="1"/>
    <s v="Prometea"/>
    <s v="AI"/>
    <n v="2017"/>
    <s v="_x000a_Argentine"/>
    <s v="Prometea vise à prédire l'issue des affaires judiciaires et à identifier les affaires urgentes dans les grandes masses de dossiers. Il a été développé par l'université et le ministère public de Buenos Aires dans le but principal d'accélérer les processus bureaucratiques et de libérer du temps pour l'analyse d'affaires complexes."/>
    <s v=""/>
    <s v="https://ceridap.eu/prometea-experience-using-ai-to-optimize-public-institutions/?lng=en"/>
    <s v="Publique "/>
    <s v="Fonctionnel"/>
    <s v="Régional"/>
    <s v="Procureurs/greffiers"/>
    <s v="4 - Aide à la décision"/>
    <s v="Ces instruments facilitent ou automatisent entièrement les processus de prise de décision dans les systèmes judiciaires."/>
    <s v="4 - Aide à la décision; 1 - Recherche documentaire"/>
  </r>
  <r>
    <x v="52"/>
    <x v="1"/>
    <s v="Prometea"/>
    <s v="AI"/>
    <n v="2017"/>
    <s v="_x000a_Argentine"/>
    <s v="Prometea vise à prédire l'issue des affaires judiciaires et à identifier les affaires urgentes dans les grandes masses de dossiers. Il a été développé par l'université et le ministère public de Buenos Aires dans le but principal d'accélérer les processus bureaucratiques et de libérer du temps pour l'analyse d'affaires complexes."/>
    <s v=""/>
    <s v="https://ceridap.eu/prometea-experience-using-ai-to-optimize-public-institutions/?lng=en"/>
    <s v="Publique "/>
    <s v="Fonctionnel"/>
    <s v="Régional"/>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53"/>
    <x v="1"/>
    <s v="Översättningsappen / The translation app "/>
    <s v="AI"/>
    <n v="2022"/>
    <s v="Suède"/>
    <s v="Une application qui traduit des textes dans plus de 60 langues, en utilisant l'IA. Elle est spécialisée dans le langage juridique. Il est utilisé pour transcrire et traduire les audiences des tribunaux."/>
    <s v=""/>
    <s v="Internal system, no direct public link available."/>
    <s v="Publique "/>
    <s v="Fonctionnel"/>
    <s v="Check"/>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53"/>
    <x v="1"/>
    <s v="Översättningsappen / The translation app "/>
    <s v="AI"/>
    <n v="2022"/>
    <s v="Suède"/>
    <s v="Une application qui traduit des textes dans plus de 60 langues, en utilisant l'IA. Elle est spécialisée dans le langage juridique. Il est utilisé pour transcrire et traduire les audiences des tribunaux."/>
    <s v=""/>
    <s v="Internal system, no direct public link available."/>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54"/>
    <x v="1"/>
    <s v="MKMKIS / Information System for Payment Order Procedure"/>
    <s v="non-AI"/>
    <n v="2006"/>
    <s v="Estonie"/>
    <s v="Le système d'information pour la procédure d'ordre de paiement (MKMKIS) permet d'automatiser en grande partie la procédure d'ordre de paiement.  "/>
    <s v=""/>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54"/>
    <x v="1"/>
    <s v="MKMKIS / Information System for Payment Order Procedure"/>
    <s v="non-AI"/>
    <n v="2006"/>
    <s v="Estonie"/>
    <s v="Le système d'information pour la procédure d'ordre de paiement (MKMKIS) permet d'automatiser en grande partie la procédure d'ordre de paiement.  "/>
    <s v=""/>
    <s v="Internal system, no direct public link available."/>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55"/>
    <x v="1"/>
    <s v="Voice Recording and Transcription Software"/>
    <s v="AI"/>
    <n v="2023"/>
    <s v="Estonie"/>
    <s v="Ce logiciel d'enregistrement et de transcription vocale est utilisé dans les audiences des tribunaux pour la transcription automatisée des procès-verbaux (la reconnaissance vocale est mise en œuvre à partir de 2023)."/>
    <s v=""/>
    <s v="Internal system, no direct public link available."/>
    <s v="Publique "/>
    <s v="Version pilote/bêta"/>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55"/>
    <x v="1"/>
    <s v="Voice Recording and Transcription Software"/>
    <s v="AI"/>
    <n v="2023"/>
    <s v="Estonie"/>
    <s v="Ce logiciel d'enregistrement et de transcription vocale est utilisé dans les audiences des tribunaux pour la transcription automatisée des procès-verbaux (la reconnaissance vocale est mise en œuvre à partir de 2023)."/>
    <s v=""/>
    <s v="Internal system, no direct public link available."/>
    <s v="Publique "/>
    <s v="Version pilote/bêta"/>
    <s v="Check"/>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55"/>
    <x v="1"/>
    <s v="Voice Recording and Transcription Software"/>
    <s v="AI"/>
    <n v="2023"/>
    <s v="Estonie"/>
    <s v="Ce logiciel d'enregistrement et de transcription vocale est utilisé dans les audiences des tribunaux pour la transcription automatisée des procès-verbaux (la reconnaissance vocale est mise en œuvre à partir de 2023)."/>
    <s v=""/>
    <s v="Internal system, no direct public link available."/>
    <s v="Publique "/>
    <s v="Version pilote/bêta"/>
    <s v="Check"/>
    <s v="Usagers des tribunaux (Grand public)"/>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56"/>
    <x v="1"/>
    <s v="OLGA - Oberlandesgerichtsassistent / Regional Court Assistant"/>
    <s v="AI"/>
    <n v="2022"/>
    <s v="Allemagne"/>
    <s v="Le système basé sur l'IA aide à analyser et à classer les demandes en fonction des faits. En octobre 2022, plus de 13 000 affaires relatives au diesel étaient pendantes devant le tribunal régional supérieur (concernant de fausses valeurs d'émissions de gaz d'échappement). Selon le ministère, les plaintes font souvent plus de 100 pages."/>
    <s v=""/>
    <s v="https://www.swr.de/swraktuell/baden-wuerttemberg/stuttgart/olg-stuttgart-mit-ki-gegen-flut-von-dieselklagen-100.html"/>
    <s v="Publique "/>
    <s v="Fonctionnel"/>
    <s v="Spécifique au tribunal"/>
    <s v="Juges/greffiers"/>
    <s v="4 - Aide à la décision"/>
    <s v="Ces instruments facilitent ou automatisent entièrement les processus de prise de décision dans les systèmes judiciaires."/>
    <s v="4 - Aide à la décision; 1 - Recherche documentaire"/>
  </r>
  <r>
    <x v="56"/>
    <x v="1"/>
    <s v="OLGA - Oberlandesgerichtsassistent / Regional Court Assistant"/>
    <s v="AI"/>
    <n v="2022"/>
    <s v="Allemagne"/>
    <s v="Le système basé sur l'IA aide à analyser et à classer les demandes en fonction des faits. En octobre 2022, plus de 13 000 affaires relatives au diesel étaient pendantes devant le tribunal régional supérieur (concernant de fausses valeurs d'émissions de gaz d'échappement). Selon le ministère, les plaintes font souvent plus de 100 pages."/>
    <s v=""/>
    <s v="https://www.swr.de/swraktuell/baden-wuerttemberg/stuttgart/olg-stuttgart-mit-ki-gegen-flut-von-dieselklagen-100.html"/>
    <s v="Publique "/>
    <s v="Fonctionnel"/>
    <s v="Spécifique au tribu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56"/>
    <x v="1"/>
    <s v="OLGA - Oberlandesgerichtsassistent / Regional Court Assistant"/>
    <s v="AI"/>
    <n v="2022"/>
    <s v="Allemagne"/>
    <s v="Le système basé sur l'IA aide à analyser et à classer les demandes en fonction des faits. En octobre 2022, plus de 13 000 affaires relatives au diesel étaient pendantes devant le tribunal régional supérieur (concernant de fausses valeurs d'émissions de gaz d'échappement). Selon le ministère, les plaintes font souvent plus de 100 pages."/>
    <s v=""/>
    <s v="https://www.swr.de/swraktuell/baden-wuerttemberg/stuttgart/olg-stuttgart-mit-ki-gegen-flut-von-dieselklagen-100.html"/>
    <s v="Publique "/>
    <s v="Fonctionnel"/>
    <s v="Spécifique au tribunal"/>
    <s v="Gestion"/>
    <s v="4 - Aide à la décision"/>
    <s v="Ces instruments facilitent ou automatisent entièrement les processus de prise de décision dans les systèmes judiciaires."/>
    <s v="4 - Aide à la décision; 1 - Recherche documentaire"/>
  </r>
  <r>
    <x v="56"/>
    <x v="1"/>
    <s v="OLGA - Oberlandesgerichtsassistent / Regional Court Assistant"/>
    <s v="AI"/>
    <n v="2022"/>
    <s v="Allemagne"/>
    <s v="Le système basé sur l'IA aide à analyser et à classer les demandes en fonction des faits. En octobre 2022, plus de 13 000 affaires relatives au diesel étaient pendantes devant le tribunal régional supérieur (concernant de fausses valeurs d'émissions de gaz d'échappement). Selon le ministère, les plaintes font souvent plus de 100 pages."/>
    <s v=""/>
    <s v="https://www.swr.de/swraktuell/baden-wuerttemberg/stuttgart/olg-stuttgart-mit-ki-gegen-flut-von-dieselklagen-100.html"/>
    <s v="Publique "/>
    <s v="Fonctionnel"/>
    <s v="Spécifique au tribunal"/>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57"/>
    <x v="1"/>
    <s v="AI for entity identification"/>
    <s v="AI"/>
    <n v="2023"/>
    <s v="Autriche"/>
    <s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
    <s v=""/>
    <s v="Internal system, no direct public link available."/>
    <s v="Publique "/>
    <s v="Fonctionnel"/>
    <s v="Check"/>
    <s v="Juges/greffiers"/>
    <s v="4 - Aide à la décision"/>
    <s v="Ces instruments facilitent ou automatisent entièrement les processus de prise de décision dans les systèmes judiciaires."/>
    <s v="4 - Aide à la décision; 1 - Recherche documentaire"/>
  </r>
  <r>
    <x v="57"/>
    <x v="1"/>
    <s v="AI for entity identification"/>
    <s v="AI"/>
    <n v="2023"/>
    <s v="Autriche"/>
    <s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
    <s v=""/>
    <s v="Internal system, no direct public link available."/>
    <s v="Publique "/>
    <s v="Fonctionnel"/>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57"/>
    <x v="1"/>
    <s v="AI for entity identification"/>
    <s v="AI"/>
    <n v="2023"/>
    <s v="Autriche"/>
    <s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
    <s v=""/>
    <s v="Internal system, no direct public link available."/>
    <s v="Publique "/>
    <s v="Fonctionnel"/>
    <s v="Check"/>
    <s v="Gestion"/>
    <s v="4 - Aide à la décision"/>
    <s v="Ces instruments facilitent ou automatisent entièrement les processus de prise de décision dans les systèmes judiciaires."/>
    <s v="4 - Aide à la décision; 1 - Recherche documentaire"/>
  </r>
  <r>
    <x v="57"/>
    <x v="1"/>
    <s v="AI for entity identification"/>
    <s v="AI"/>
    <n v="2023"/>
    <s v="Autriche"/>
    <s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
    <s v=""/>
    <s v="Internal system, no direct public link available."/>
    <s v="Publique "/>
    <s v="Fonctionnel"/>
    <s v="Check"/>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57"/>
    <x v="1"/>
    <s v="AI for entity identification"/>
    <s v="AI"/>
    <n v="2023"/>
    <s v="Autriche"/>
    <s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
    <s v=""/>
    <s v="Internal system, no direct public link available."/>
    <s v="Publique "/>
    <s v="Fonctionnel"/>
    <s v="Check"/>
    <s v="Usagers des tribunaux (Grand public)"/>
    <s v="4 - Aide à la décision"/>
    <s v="Ces instruments facilitent ou automatisent entièrement les processus de prise de décision dans les systèmes judiciaires."/>
    <s v="4 - Aide à la décision; 1 - Recherche documentaire"/>
  </r>
  <r>
    <x v="57"/>
    <x v="1"/>
    <s v="AI for entity identification"/>
    <s v="AI"/>
    <n v="2023"/>
    <s v="Autriche"/>
    <s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
    <s v=""/>
    <s v="Internal system, no direct public link available."/>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58"/>
    <x v="1"/>
    <s v="ChatGPT"/>
    <s v="AI"/>
    <n v="2023"/>
    <s v="Etats-Unis"/>
    <s v="Chat GPT est un système d'IA générative accessible au public qui a été utilisé par des professionnels du droit dans le cadre de leur travail (même s'il n'est pas spécifiquement conçu pour le secteur juridique)."/>
    <s v=""/>
    <s v="https://openai.com/blog/chatgpt"/>
    <s v="Privé"/>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58"/>
    <x v="1"/>
    <s v="ChatGPT"/>
    <s v="AI"/>
    <n v="2023"/>
    <s v="Etats-Unis"/>
    <s v="Chat GPT est un système d'IA générative accessible au public qui a été utilisé par des professionnels du droit dans le cadre de leur travail (même s'il n'est pas spécifiquement conçu pour le secteur juridique)."/>
    <s v=""/>
    <s v="https://openai.com/blog/chatgpt"/>
    <s v="Privé"/>
    <s v="Fonctionnel"/>
    <s v="Check"/>
    <s v="Usagers des tribunaux (Grand public)"/>
    <s v="4 - Aide à la décision"/>
    <s v="Ces instruments facilitent ou automatisent entièrement les processus de prise de décision dans les systèmes judiciaires."/>
    <s v="8 - Services d'information/assistance; 4 - Aide à la décision"/>
  </r>
  <r>
    <x v="58"/>
    <x v="1"/>
    <s v="ChatGPT"/>
    <s v="AI"/>
    <n v="2023"/>
    <s v="Etats-Unis"/>
    <s v="Chat GPT est un système d'IA générative accessible au public qui a été utilisé par des professionnels du droit dans le cadre de leur travail (même s'il n'est pas spécifiquement conçu pour le secteur juridique)."/>
    <s v=""/>
    <s v="https://openai.com/blog/chatgpt"/>
    <s v="Privé"/>
    <s v="Fonctionnel"/>
    <s v="Check"/>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58"/>
    <x v="1"/>
    <s v="ChatGPT"/>
    <s v="AI"/>
    <n v="2023"/>
    <s v="Etats-Unis"/>
    <s v="Chat GPT est un système d'IA générative accessible au public qui a été utilisé par des professionnels du droit dans le cadre de leur travail (même s'il n'est pas spécifiquement conçu pour le secteur juridique)."/>
    <s v=""/>
    <s v="https://openai.com/blog/chatgpt"/>
    <s v="Privé"/>
    <s v="Fonctionnel"/>
    <s v="Check"/>
    <s v="Avocats"/>
    <s v="4 - Aide à la décision"/>
    <s v="Ces instruments facilitent ou automatisent entièrement les processus de prise de décision dans les systèmes judiciaires."/>
    <s v="8 - Services d'information/assistance; 4 - Aide à la décision"/>
  </r>
  <r>
    <x v="58"/>
    <x v="1"/>
    <s v="ChatGPT"/>
    <s v="AI"/>
    <n v="2023"/>
    <s v="Etats-Unis"/>
    <s v="Chat GPT est un système d'IA générative accessible au public qui a été utilisé par des professionnels du droit dans le cadre de leur travail (même s'il n'est pas spécifiquement conçu pour le secteur juridique)."/>
    <s v=""/>
    <s v="https://openai.com/blog/chatgpt"/>
    <s v="Privé"/>
    <s v="Fonctionnel"/>
    <s v="Check"/>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58"/>
    <x v="1"/>
    <s v="ChatGPT"/>
    <s v="AI"/>
    <n v="2023"/>
    <s v="Etats-Unis"/>
    <s v="Chat GPT est un système d'IA générative accessible au public qui a été utilisé par des professionnels du droit dans le cadre de leur travail (même s'il n'est pas spécifiquement conçu pour le secteur juridique)."/>
    <s v=""/>
    <s v="https://openai.com/blog/chatgpt"/>
    <s v="Privé"/>
    <s v="Fonctionnel"/>
    <s v="Check"/>
    <s v="Juges/greffiers"/>
    <s v="4 - Aide à la décision"/>
    <s v="Ces instruments facilitent ou automatisent entièrement les processus de prise de décision dans les systèmes judiciaires."/>
    <s v="8 - Services d'information/assistance; 4 - Aide à la décision"/>
  </r>
  <r>
    <x v="59"/>
    <x v="1"/>
    <s v="Codefy"/>
    <s v="AI"/>
    <n v="2022"/>
    <s v="Allemagne"/>
    <s v="Structuration de documents - en particulier de mémoires d'avocats - assistée par l'IA et aide à l'enregistrement, à l'organisation et à l'évaluation du matériel. Utilisé au Landgericht Hechingen."/>
    <s v=""/>
    <s v="https://www.baden-wuerttemberg.de/de/service/presse/pressemitteilung/pid/kuenstliche-intelligenz-in-der-justiz/"/>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1 - Recherche documentaire"/>
  </r>
  <r>
    <x v="59"/>
    <x v="1"/>
    <s v="Codefy"/>
    <s v="AI"/>
    <n v="2022"/>
    <s v="Allemagne"/>
    <s v="Structuration de documents - en particulier de mémoires d'avocats - assistée par l'IA et aide à l'enregistrement, à l'organisation et à l'évaluation du matériel. Utilisé au Landgericht Hechingen."/>
    <s v=""/>
    <s v="https://www.baden-wuerttemberg.de/de/service/presse/pressemitteilung/pid/kuenstliche-intelligenz-in-der-justiz/"/>
    <s v="Publique "/>
    <s v="Version pilote/bêta"/>
    <s v="Spécifique au tribu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6 - Triage, attribution et automatisation des flux de travail; 1 - Recherche documentaire"/>
  </r>
  <r>
    <x v="59"/>
    <x v="1"/>
    <s v="Codefy"/>
    <s v="AI"/>
    <n v="2022"/>
    <s v="Allemagne"/>
    <s v="Structuration de documents - en particulier de mémoires d'avocats - assistée par l'IA et aide à l'enregistrement, à l'organisation et à l'évaluation du matériel. Utilisé au Landgericht Hechingen."/>
    <s v=""/>
    <s v="https://www.baden-wuerttemberg.de/de/service/presse/pressemitteilung/pid/kuenstliche-intelligenz-in-der-justiz/"/>
    <s v="Publique "/>
    <s v="Version pilote/bêta"/>
    <s v="Spécifique au tribunal"/>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1 - Recherche documentaire"/>
  </r>
  <r>
    <x v="59"/>
    <x v="1"/>
    <s v="Codefy"/>
    <s v="AI"/>
    <n v="2022"/>
    <s v="Allemagne"/>
    <s v="Structuration de documents - en particulier de mémoires d'avocats - assistée par l'IA et aide à l'enregistrement, à l'organisation et à l'évaluation du matériel. Utilisé au Landgericht Hechingen."/>
    <s v=""/>
    <s v="https://www.baden-wuerttemberg.de/de/service/presse/pressemitteilung/pid/kuenstliche-intelligenz-in-der-justiz/"/>
    <s v="Publique "/>
    <s v="Version pilote/bêta"/>
    <s v="Spécifique au tribunal"/>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6 - Triage, attribution et automatisation des flux de travail; 1 - Recherche documentaire"/>
  </r>
  <r>
    <x v="59"/>
    <x v="1"/>
    <s v="Codefy"/>
    <s v="AI"/>
    <n v="2022"/>
    <s v="Allemagne"/>
    <s v="Structuration de documents - en particulier de mémoires d'avocats - assistée par l'IA et aide à l'enregistrement, à l'organisation et à l'évaluation du matériel. Utilisé au Landgericht Hechingen."/>
    <s v=""/>
    <s v="https://www.baden-wuerttemberg.de/de/service/presse/pressemitteilung/pid/kuenstliche-intelligenz-in-der-justiz/"/>
    <s v="Publique "/>
    <s v="Version pilote/bêta"/>
    <s v="Spécifique au tribunal"/>
    <s v="Avocat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1 - Recherche documentaire"/>
  </r>
  <r>
    <x v="59"/>
    <x v="1"/>
    <s v="Codefy"/>
    <s v="AI"/>
    <n v="2022"/>
    <s v="Allemagne"/>
    <s v="Structuration de documents - en particulier de mémoires d'avocats - assistée par l'IA et aide à l'enregistrement, à l'organisation et à l'évaluation du matériel. Utilisé au Landgericht Hechingen."/>
    <s v=""/>
    <s v="https://www.baden-wuerttemberg.de/de/service/presse/pressemitteilung/pid/kuenstliche-intelligenz-in-der-justiz/"/>
    <s v="Publique "/>
    <s v="Version pilote/bêta"/>
    <s v="Spécifique au tribunal"/>
    <s v="Avocat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6 - Triage, attribution et automatisation des flux de travail; 1 - Recherche documentaire"/>
  </r>
  <r>
    <x v="60"/>
    <x v="1"/>
    <s v="Legal Analytics"/>
    <s v="AI"/>
    <n v="2020"/>
    <s v="Allemagne"/>
    <s v="Anonymisation automatisée des décisions judiciaires dans le respect de la protection des données."/>
    <s v=""/>
    <s v="https://www.bundestag.de/resource/blob/832204/6813d064fab52e9b6d54cbbf5319cea3/WD-7-017-21-pdf-data.pdf"/>
    <s v="Publique "/>
    <s v="Version pilote/bêta"/>
    <s v="Spécifique au tribunal"/>
    <s v="Gestion"/>
    <s v="5 - Anonymisation et pseudonymisation"/>
    <s v="Ces instruments sont utilisées pour supprimer les informations permettant d'identifier un individu telles que les données personnelles des utilisateurs des tribunaux."/>
    <s v="5 - Anonymisation et pseudonymisation; "/>
  </r>
  <r>
    <x v="60"/>
    <x v="1"/>
    <s v="Legal Analytics"/>
    <s v="AI"/>
    <n v="2020"/>
    <s v="Allemagne"/>
    <s v="Anonymisation automatisée des décisions judiciaires dans le respect de la protection des données."/>
    <s v=""/>
    <s v="https://www.bundestag.de/resource/blob/832204/6813d064fab52e9b6d54cbbf5319cea3/WD-7-017-21-pdf-data.pdf"/>
    <s v="Publique "/>
    <s v="Version pilote/bêta"/>
    <s v="Spécifique au tribunal"/>
    <s v="Juges/greffiers"/>
    <s v="5 - Anonymisation et pseudonymisation"/>
    <s v="Ces instruments sont utilisées pour supprimer les informations permettant d'identifier un individu telles que les données personnelles des utilisateurs des tribunaux."/>
    <s v="5 - Anonymisation et pseudonymisation; "/>
  </r>
  <r>
    <x v="60"/>
    <x v="1"/>
    <s v="Legal Analytics"/>
    <s v="AI"/>
    <n v="2020"/>
    <s v="Allemagne"/>
    <s v="Anonymisation automatisée des décisions judiciaires dans le respect de la protection des données."/>
    <s v=""/>
    <s v="https://www.bundestag.de/resource/blob/832204/6813d064fab52e9b6d54cbbf5319cea3/WD-7-017-21-pdf-data.pdf"/>
    <s v="Publique "/>
    <s v="Version pilote/bêta"/>
    <s v="Spécifique au tribunal"/>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61"/>
    <x v="1"/>
    <s v="Smart - Erfassung von bei Gericht eingereichten elektronischen Dokumenten / Recording of electronic documents filed with the court"/>
    <s v="AI"/>
    <n v="2020"/>
    <s v="Allemagne"/>
    <s v="Lecture automatisée d'informations juridiquement pertinentes à partir de documents électroniques. Enregistrement des documents électroniques déposés auprès du tribunal."/>
    <s v=""/>
    <s v="https://www.bundestag.de/resource/blob/832204/6813d064fab52e9b6d54cbbf5319cea3/WD-7-017-21-pdf-data.pdf"/>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61"/>
    <x v="1"/>
    <s v="Smart - Erfassung von bei Gericht eingereichten elektronischen Dokumenten / Recording of electronic documents filed with the court"/>
    <s v="AI"/>
    <n v="2020"/>
    <s v="Allemagne"/>
    <s v="Lecture automatisée d'informations juridiquement pertinentes à partir de documents électroniques. Enregistrement des documents électroniques déposés auprès du tribunal."/>
    <s v=""/>
    <s v="https://www.bundestag.de/resource/blob/832204/6813d064fab52e9b6d54cbbf5319cea3/WD-7-017-21-pdf-data.pdf"/>
    <s v="Publique "/>
    <s v="Version pilote/bêta"/>
    <s v="Spécifique au tribunal"/>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62"/>
    <x v="1"/>
    <s v="Videoüberwachung für den Justizvollzug / Video surveillance for the prison system"/>
    <s v="AI"/>
    <n v="2019"/>
    <s v="Allemagne"/>
    <s v="Vidéosurveillance pour le système pénitentiaire. Le programme est conçu pour détecter automatiquement les situations indiquant une tentative de suicide de la part des détenus et alerter les agents correctionnels à temps pour permettre des mesures de sauvetage."/>
    <s v=""/>
    <s v="https://www.bundestag.de/resource/blob/832204/6813d064fab52e9b6d54cbbf5319cea3/WD-7-017-21-pdf-data.pdf"/>
    <s v="Publique "/>
    <s v="Version pilote/bêta"/>
    <s v="Spécifique au tribunal"/>
    <s v="Usagers des tribunaux (Grand public)"/>
    <s v="4 - Aide à la décision"/>
    <s v="Ces instruments facilitent ou automatisent entièrement les processus de prise de décision dans les systèmes judiciaires."/>
    <s v="4 - Aide à la décision; 1 - Recherche documentaire"/>
  </r>
  <r>
    <x v="62"/>
    <x v="1"/>
    <s v="Videoüberwachung für den Justizvollzug / Video surveillance for the prison system"/>
    <s v="AI"/>
    <n v="2019"/>
    <s v="Allemagne"/>
    <s v="Vidéosurveillance pour le système pénitentiaire. Le programme est conçu pour détecter automatiquement les situations indiquant une tentative de suicide de la part des détenus et alerter les agents correctionnels à temps pour permettre des mesures de sauvetage."/>
    <s v=""/>
    <s v="https://www.bundestag.de/resource/blob/832204/6813d064fab52e9b6d54cbbf5319cea3/WD-7-017-21-pdf-data.pdf"/>
    <s v="Publique "/>
    <s v="Version pilote/bêta"/>
    <s v="Spécifique au tribunal"/>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63"/>
    <x v="1"/>
    <s v="Practical Guide to Justice"/>
    <s v="AI"/>
    <n v="2023"/>
    <s v="Portugal"/>
    <s v="Développement d'un modèle linguistique avancé avec apprentissage automatique, qui informe les citoyens et les entreprises sur les outils et les services que la justice met à leur disposition pour répondre à leurs demandes.Il sera entraîné à partir des informations déjà mises à disposition par les différents organes de la justice. Son objectif ne sera pas de créer de l'information, mais plutôt de mettre à disposition, dans une conversation naturelle, les informations nécessaires pour répondre aux questions de l'utilisateur. Qu'il s'agisse d'une conversation courte ou longue, le Guide pratique de la Justice sera en mesure de comprendre les besoins et les doutes de l'utilisateur, sans toutefois avoir besoin de conserver les informations personnelles fournies par l'utilisateur. La première version de ce guide se concentrera sur les questions de mariage, de divorce et d'entreprises 2.0."/>
    <s v="https://govtech.justica.gov.pt/en/portfolio/practical-guide-to-justice-ongoing/"/>
    <s v="https://justica.gov.pt/Servicos/Guia-pratico-da-Justica-Versao-Beta"/>
    <s v="Publique "/>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64"/>
    <x v="1"/>
    <s v="Gina/Jury Bot"/>
    <s v="AI"/>
    <n v="2016"/>
    <s v="Etats-Unis"/>
    <s v="Gina est un assistant en ligne conçu pour la Cour supérieure du comté de Los Angeles. Il aide les personnes à régler leurs contraventions. Le système utilise des services de traduction en ligne et la compréhension du langage naturel. Il aide plus de 5 000 citoyens chaque semaine et parle six langues (anglais, espagnol, arménien, chinois, coréen et vietnamien). "/>
    <s v="https://unesdoc.unesco.org/ark:/48223/pf0000387331"/>
    <s v="https://ww2.lacourt.org/traffic/ui/trafficOS.aspx?s=1&amp;language=1"/>
    <s v="Publique "/>
    <s v="Fonctionnel"/>
    <s v="Régional"/>
    <s v="Gestion"/>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8 - Services d'information/assistance"/>
  </r>
  <r>
    <x v="64"/>
    <x v="1"/>
    <s v="Gina/Jury Bot"/>
    <s v="AI"/>
    <n v="2016"/>
    <s v="Etats-Unis"/>
    <s v="Gina est un assistant en ligne conçu pour la Cour supérieure du comté de Los Angeles. Il aide les personnes à régler leurs contraventions. Le système utilise des services de traduction en ligne et la compréhension du langage naturel. Il aide plus de 5 000 citoyens chaque semaine et parle six langues (anglais, espagnol, arménien, chinois, coréen et vietnamien). "/>
    <s v="https://unesdoc.unesco.org/ark:/48223/pf0000387331"/>
    <s v="https://ww2.lacourt.org/traffic/ui/trafficOS.aspx?s=1&amp;language=1"/>
    <s v="Publique "/>
    <s v="Fonctionnel"/>
    <s v="Régional"/>
    <s v="Gestion"/>
    <s v="8 - Services d'information/assistance"/>
    <s v="Ces instruments fournissent aux individus des informations sur les services disponibles dans les systèmes de justice et les mettent en relation avec les services et les opportunités appropriés."/>
    <s v="2 - Résolution automatisée des litiges; 8 - Services d'information/assistance"/>
  </r>
  <r>
    <x v="64"/>
    <x v="1"/>
    <s v="Gina/Jury Bot"/>
    <s v="AI"/>
    <n v="2016"/>
    <s v="Etats-Unis"/>
    <s v="Gina est un assistant en ligne conçu pour la Cour supérieure du comté de Los Angeles. Il aide les personnes à régler leurs contraventions. Le système utilise des services de traduction en ligne et la compréhension du langage naturel. Il aide plus de 5 000 citoyens chaque semaine et parle six langues (anglais, espagnol, arménien, chinois, coréen et vietnamien). "/>
    <s v="https://unesdoc.unesco.org/ark:/48223/pf0000387331"/>
    <s v="https://ww2.lacourt.org/traffic/ui/trafficOS.aspx?s=1&amp;language=1"/>
    <s v="Publique "/>
    <s v="Fonctionnel"/>
    <s v="Régional"/>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8 - Services d'information/assistance"/>
  </r>
  <r>
    <x v="64"/>
    <x v="1"/>
    <s v="Gina/Jury Bot"/>
    <s v="AI"/>
    <n v="2016"/>
    <s v="Etats-Unis"/>
    <s v="Gina est un assistant en ligne conçu pour la Cour supérieure du comté de Los Angeles. Il aide les personnes à régler leurs contraventions. Le système utilise des services de traduction en ligne et la compréhension du langage naturel. Il aide plus de 5 000 citoyens chaque semaine et parle six langues (anglais, espagnol, arménien, chinois, coréen et vietnamien). "/>
    <s v="https://unesdoc.unesco.org/ark:/48223/pf0000387331"/>
    <s v="https://ww2.lacourt.org/traffic/ui/trafficOS.aspx?s=1&amp;language=1"/>
    <s v="Publique "/>
    <s v="Fonctionnel"/>
    <s v="Rég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2 - Résolution automatisée des litiges; 8 - Services d'information/assistance"/>
  </r>
  <r>
    <x v="65"/>
    <x v="1"/>
    <s v="SUVAS/The Vidhik Anuvaad Software "/>
    <s v="AI"/>
    <n v="2019"/>
    <s v="Inde"/>
    <s v="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
    <s v="https://unesdoc.unesco.org/ark:/48223/pf0000387331"/>
    <s v="https://www.business-standard.com/article/pti-stories/software-developed-to-translate-sc-judgments-in-9-vernacular-languages-law-minister-rs-prasad-119121200851_1.html"/>
    <s v="Publique "/>
    <s v="Fonctionnel"/>
    <s v="Check"/>
    <s v="Usagers des tribunaux (Grand public)"/>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8 - Services d'information/assistance"/>
  </r>
  <r>
    <x v="65"/>
    <x v="1"/>
    <s v="SUVAS/The Vidhik Anuvaad Software "/>
    <s v="AI"/>
    <n v="2019"/>
    <s v="Inde"/>
    <s v="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
    <s v="https://unesdoc.unesco.org/ark:/48223/pf0000387331"/>
    <s v="https://www.business-standard.com/article/pti-stories/software-developed-to-translate-sc-judgments-in-9-vernacular-languages-law-minister-rs-prasad-119121200851_1.html"/>
    <s v="Publique "/>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7 - Enregistrement, transcription et traduction; 8 - Services d'information/assistance"/>
  </r>
  <r>
    <x v="65"/>
    <x v="1"/>
    <s v="SUVAS/The Vidhik Anuvaad Software "/>
    <s v="AI"/>
    <n v="2019"/>
    <s v="Inde"/>
    <s v="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
    <s v="https://unesdoc.unesco.org/ark:/48223/pf0000387331"/>
    <s v="https://www.business-standard.com/article/pti-stories/software-developed-to-translate-sc-judgments-in-9-vernacular-languages-law-minister-rs-prasad-119121200851_1.html"/>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8 - Services d'information/assistance"/>
  </r>
  <r>
    <x v="65"/>
    <x v="1"/>
    <s v="SUVAS/The Vidhik Anuvaad Software "/>
    <s v="AI"/>
    <n v="2019"/>
    <s v="Inde"/>
    <s v="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
    <s v="https://unesdoc.unesco.org/ark:/48223/pf0000387331"/>
    <s v="https://www.business-standard.com/article/pti-stories/software-developed-to-translate-sc-judgments-in-9-vernacular-languages-law-minister-rs-prasad-119121200851_1.html"/>
    <s v="Publique "/>
    <s v="Fonctionnel"/>
    <s v="Check"/>
    <s v="Gestion"/>
    <s v="8 - Services d'information/assistance"/>
    <s v="Ces instruments fournissent aux individus des informations sur les services disponibles dans les systèmes de justice et les mettent en relation avec les services et les opportunités appropriés."/>
    <s v="7 - Enregistrement, transcription et traduction; 8 - Services d'information/assistance"/>
  </r>
  <r>
    <x v="66"/>
    <x v="1"/>
    <s v="PretorIA"/>
    <s v="AI"/>
    <n v="2020"/>
    <s v="Colombie"/>
    <s v="PretorIA a été conçu pour aider les juges de la Cour constitutionnelle colombienne à traiter les demandes de protection de manière efficace. Il utilise la technologie de la modélisation thématique et ses résultats peuvent être expliqués, interprétés et suivis. "/>
    <s v="https://unesdoc.unesco.org/ark:/48223/pf0000387331"/>
    <s v="https://giswatch.org/node/6166"/>
    <s v="Publique "/>
    <s v="Fonctionnel"/>
    <s v="Check"/>
    <s v="Gestion"/>
    <s v="4 - Aide à la décision"/>
    <s v="Ces instruments facilitent ou automatisent entièrement les processus de prise de décision dans les systèmes judiciaires."/>
    <s v="4 - Aide à la décision; "/>
  </r>
  <r>
    <x v="66"/>
    <x v="1"/>
    <s v="PretorIA"/>
    <s v="AI"/>
    <n v="2020"/>
    <s v="Colombie"/>
    <s v="PretorIA a été conçu pour aider les juges de la Cour constitutionnelle colombienne à traiter les demandes de protection de manière efficace. Il utilise la technologie de la modélisation thématique et ses résultats peuvent être expliqués, interprétés et suivis. "/>
    <s v="https://unesdoc.unesco.org/ark:/48223/pf0000387331"/>
    <s v="https://giswatch.org/node/6166"/>
    <s v="Publique "/>
    <s v="Fonctionnel"/>
    <s v="Check"/>
    <s v="Juges/greffiers"/>
    <s v="4 - Aide à la décision"/>
    <s v="Ces instruments facilitent ou automatisent entièrement les processus de prise de décision dans les systèmes judiciaires."/>
    <s v="4 - Aide à la décision; "/>
  </r>
  <r>
    <x v="66"/>
    <x v="1"/>
    <s v="PretorIA"/>
    <s v="AI"/>
    <n v="2020"/>
    <s v="Colombie"/>
    <s v="PretorIA a été conçu pour aider les juges de la Cour constitutionnelle colombienne à traiter les demandes de protection de manière efficace. Il utilise la technologie de la modélisation thématique et ses résultats peuvent être expliqués, interprétés et suivis. "/>
    <s v="https://unesdoc.unesco.org/ark:/48223/pf0000387331"/>
    <s v="https://giswatch.org/node/6166"/>
    <s v="Publique "/>
    <s v="Fonctionnel"/>
    <s v="Check"/>
    <s v="Usagers des tribunaux (Grand public)"/>
    <s v="4 - Aide à la décision"/>
    <s v="Ces instruments facilitent ou automatisent entièrement les processus de prise de décision dans les systèmes judiciaires."/>
    <s v="4 - Aide à la décision; "/>
  </r>
  <r>
    <x v="67"/>
    <x v="1"/>
    <s v="SUPACE (Supreme Court Portal for Assistance in Court’s Efficiency) "/>
    <s v="AI"/>
    <n v="2021"/>
    <s v="Inde"/>
    <s v="SUPACE/The Supreme Court Portal for Assistance in Courts Efficiency est un système d'intelligence artificielle mis en œuvre à la Cour suprême de l'Inde. Il est conçu comme une aide à l'administration et à la délivrance de la justice en cataloguant un grand nombre de décisions antérieures afin d'améliorer le traitement des dossiers. Il n'est pas utilisé pour la prise de décision, son rôle se limitant à la collecte et à l'analyse de données. "/>
    <s v="https://unesdoc.unesco.org/ark:/48223/pf0000387331"/>
    <s v="https://webcast.gov.in/events/MTI1MQ--/session/MzE1MA--"/>
    <s v="Publique "/>
    <s v="Version pilote/bêta"/>
    <s v="Régio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8 - Services d'information/assistance"/>
  </r>
  <r>
    <x v="67"/>
    <x v="1"/>
    <s v="SUPACE (Supreme Court Portal for Assistance in Court’s Efficiency) "/>
    <s v="AI"/>
    <n v="2021"/>
    <s v="Inde"/>
    <s v="SUPACE/The Supreme Court Portal for Assistance in Courts Efficiency est un système d'intelligence artificielle mis en œuvre à la Cour suprême de l'Inde. Il est conçu comme une aide à l'administration et à la délivrance de la justice en cataloguant un grand nombre de décisions antérieures afin d'améliorer le traitement des dossiers. Il n'est pas utilisé pour la prise de décision, son rôle se limitant à la collecte et à l'analyse de données. "/>
    <s v="https://unesdoc.unesco.org/ark:/48223/pf0000387331"/>
    <s v="https://webcast.gov.in/events/MTI1MQ--/session/MzE1MA--"/>
    <s v="Publique "/>
    <s v="Version pilote/bêta"/>
    <s v="Régional"/>
    <s v="Juges/greffiers"/>
    <s v="8 - Services d'information/assistance"/>
    <s v="Ces instruments fournissent aux individus des informations sur les services disponibles dans les systèmes de justice et les mettent en relation avec les services et les opportunités appropriés."/>
    <s v="1 - Recherche documentaire; 8 - Services d'information/assistance"/>
  </r>
  <r>
    <x v="68"/>
    <x v="1"/>
    <s v="Gall Anonymization/Gall Anonimizacja"/>
    <s v="non-AI"/>
    <n v="2004"/>
    <s v="Pologne"/>
    <s v="L'anonymisation Gall est un système qui assure l'anonymisation initiale des jugements des tribunaux et des décisions administratives. Depuis 2004, il a été introduit dans certaines juridictions administratives dans le cadre des systèmes OSO et IBO, dans certains organes administratifs (par exemple le Samorządowe Kolegium Odwołacze) et dans certaines juridictions de droit commun. Le système n'étant pas précis à 100 %, il est supervisé par les greffiers."/>
    <s v="https://www.nsa.gov.pl/sprawozdania-roczne.php (e.g. 2007, p. 355)"/>
    <s v="https://www.softprodukt.com.pl/system/gall"/>
    <s v="Publique "/>
    <s v="Fonctionnel"/>
    <s v="Check"/>
    <s v="Gestion"/>
    <s v="5 - Anonymisation et pseudonymisation"/>
    <s v="Ces instruments sont utilisées pour supprimer les informations permettant d'identifier un individu telles que les données personnelles des utilisateurs des tribunaux."/>
    <s v="5 - Anonymisation et pseudonymisation; "/>
  </r>
  <r>
    <x v="69"/>
    <x v="1"/>
    <s v="Dokumentenergleich / Document comparison"/>
    <s v="non-AI"/>
    <n v="2022"/>
    <s v="Allemagne"/>
    <s v="Le système analyse les dossiers de procédure électroniques et attribue les uns aux autres les dossiers présentant des faits similaires. Il est utilisé pour accroître l'efficacité des procédures de masse."/>
    <s v=""/>
    <s v="https://www.justiz-bw.de/,Lde/10619184/?LISTPAGE=6161506 "/>
    <s v="Publique "/>
    <s v="Fonctionnel"/>
    <s v="Régio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6 - Triage, attribution et automatisation des flux de travail"/>
  </r>
  <r>
    <x v="69"/>
    <x v="1"/>
    <s v="Dokumentenergleich / Document comparison"/>
    <s v="non-AI"/>
    <n v="2022"/>
    <s v="Allemagne"/>
    <s v="Le système analyse les dossiers de procédure électroniques et attribue les uns aux autres les dossiers présentant des faits similaires. Il est utilisé pour accroître l'efficacité des procédures de masse."/>
    <s v=""/>
    <s v="https://www.justiz-bw.de/,Lde/10619184/?LISTPAGE=6161506 "/>
    <s v="Publique "/>
    <s v="Fonctionnel"/>
    <s v="Régio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1 - Recherche documentaire; 6 - Triage, attribution et automatisation des flux de travail"/>
  </r>
  <r>
    <x v="70"/>
    <x v="1"/>
    <s v="BaZna / Knowledge Base System "/>
    <s v="AI"/>
    <n v="2023"/>
    <s v="Slovénie"/>
    <s v="Le système compare les nouvelles demandes avec la base de données de connaissances existante, qui contient la jurisprudence et des informations auxiliaires, à l'appui du processus de décision. _x000a_"/>
    <s v=""/>
    <s v="0"/>
    <s v="Publique "/>
    <s v="Version pilote/bêta"/>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4 - Aide à la décision"/>
  </r>
  <r>
    <x v="70"/>
    <x v="1"/>
    <s v="BaZna / Knowledge Base System "/>
    <s v="AI"/>
    <n v="2023"/>
    <s v="Slovénie"/>
    <s v="Le système compare les nouvelles demandes avec la base de données de connaissances existante, qui contient la jurisprudence et des informations auxiliaires, à l'appui du processus de décision. _x000a_"/>
    <s v=""/>
    <s v="0"/>
    <s v="Publique "/>
    <s v="Version pilote/bêta"/>
    <s v="Check"/>
    <s v="Gestion"/>
    <s v="4 - Aide à la décision"/>
    <s v="Ces instruments facilitent ou automatisent entièrement les processus de prise de décision dans les systèmes judiciaires."/>
    <s v="6 - Triage, attribution et automatisation des flux de travail; 4 - Aide à la décision"/>
  </r>
  <r>
    <x v="70"/>
    <x v="1"/>
    <s v="BaZna / Knowledge Base System "/>
    <s v="AI"/>
    <n v="2023"/>
    <s v="Slovénie"/>
    <s v="Le système compare les nouvelles demandes avec la base de données de connaissances existante, qui contient la jurisprudence et des informations auxiliaires, à l'appui du processus de décision. _x000a_"/>
    <s v=""/>
    <s v="0"/>
    <s v="Publique "/>
    <s v="Version pilote/bêta"/>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4 - Aide à la décision"/>
  </r>
  <r>
    <x v="70"/>
    <x v="1"/>
    <s v="BaZna / Knowledge Base System "/>
    <s v="AI"/>
    <n v="2023"/>
    <s v="Slovénie"/>
    <s v="Le système compare les nouvelles demandes avec la base de données de connaissances existante, qui contient la jurisprudence et des informations auxiliaires, à l'appui du processus de décision. _x000a_"/>
    <s v=""/>
    <s v="0"/>
    <s v="Publique "/>
    <s v="Version pilote/bêta"/>
    <s v="Check"/>
    <s v="Juges/greffiers"/>
    <s v="4 - Aide à la décision"/>
    <s v="Ces instruments facilitent ou automatisent entièrement les processus de prise de décision dans les systèmes judiciaires."/>
    <s v="6 - Triage, attribution et automatisation des flux de travail; 4 - Aide à la décision"/>
  </r>
  <r>
    <x v="71"/>
    <x v="1"/>
    <s v="FraUKE = FRankfurts Amtsgericht UrteilsKonfigurator Elektronisch"/>
    <s v="AI"/>
    <n v="2022"/>
    <s v="Allemagne"/>
    <s v="Le programme FRAUKE a été développé spécifiquement pour les procédures relatives aux droits des passagers aériens conformément au règlement de l'UE 261/2004 pour le tribunal local de Francfort-sur-le-Main. Afin de faire face à la vague de plaintes relatives aux droits des passagers aériens, le tribunal local de Francfort-sur-le-Main a développé ce « configurateur de jugements », qui simplifie et soutient la création de jugements à l'aide de modules de texte sélectionnés par une intelligence artificielle. Ce projet est le premier du genre en Allemagne et teste les limites de l'assistance judiciaire. Le document stratégique de base des présidents des tribunaux régionaux supérieurs de l'été 2022 montre clairement qu'un grand potentiel d'utilisation de l'IA dans les tribunaux est perçu dans toute l'Allemagne, mais que des limites sont également franchies lorsque la prise de décision judiciaire est effectuée par l'intelligence artificielle._x000a_frontières sont franchies lorsque la prise de décision judiciaire est effectuée par l'IA._x000a_"/>
    <s v=""/>
    <s v="https://hessen.de/presse/pressearchiv/hessen-und-brandenburg-kooperieren-beim-ki-projekt-frauke"/>
    <s v="Publique "/>
    <s v="Version pilote/bêta"/>
    <s v="Check"/>
    <s v="Juges/greffiers"/>
    <s v="4 - Aide à la décision"/>
    <s v="Ces instruments facilitent ou automatisent entièrement les processus de prise de décision dans les systèmes judiciaires."/>
    <s v="4 - Aide à la décision; "/>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Juges/greffiers"/>
    <s v="5 - Anonymisation et pseudonymisation"/>
    <s v="Ces instruments sont utilisées pour supprimer les informations permettant d'identifier un individu telles que les données personnelles des utilisateurs des tribunaux."/>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Procureurs/greffiers"/>
    <s v="5 - Anonymisation et pseudonymisation"/>
    <s v="Ces instruments sont utilisées pour supprimer les informations permettant d'identifier un individu telles que les données personnelles des utilisateurs des tribunaux."/>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Avocats"/>
    <s v="5 - Anonymisation et pseudonymisation"/>
    <s v="Ces instruments sont utilisées pour supprimer les informations permettant d'identifier un individu telles que les données personnelles des utilisateurs des tribunaux."/>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Avocat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1 - Recherche documentaire"/>
  </r>
  <r>
    <x v="72"/>
    <x v="1"/>
    <s v="Automated anonymization of court decisions"/>
    <s v="AI"/>
    <n v="2022"/>
    <s v="Portugal"/>
    <s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
    <s v=""/>
    <s v="https://govtech.justica.gov.pt/en/portfolio/automated-anonymization-of-court-decisions-ongoing/"/>
    <s v="Publique "/>
    <s v="Version pilote/bêta"/>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5 - Anonymisation et pseudonymisation; 1 - Recherche documentaire"/>
  </r>
  <r>
    <x v="73"/>
    <x v="1"/>
    <s v="Anonymiseringsapplikationen / Application for anonymization "/>
    <s v="AI"/>
    <n v="2023"/>
    <s v="Suède"/>
    <s v="Application permettant d'identifier et d'anonymiser les informations personnelles contenues dans les documents soumis aux tribunaux._x000a_"/>
    <s v=""/>
    <s v="Internal system, no direct public link available."/>
    <s v="Publique "/>
    <s v="Version pilote/bêta"/>
    <s v="Check"/>
    <s v="Usagers des tribunaux (Grand public)"/>
    <s v="5 - Anonymisation et pseudonymisation"/>
    <s v="Ces instruments sont utilisées pour supprimer les informations permettant d'identifier un individu telles que les données personnelles des utilisateurs des tribunaux."/>
    <s v="5 - Anonymisation et pseudonymisation; "/>
  </r>
  <r>
    <x v="73"/>
    <x v="1"/>
    <s v="Anonymiseringsapplikationen / Application for anonymization "/>
    <s v="AI"/>
    <n v="2023"/>
    <s v="Suède"/>
    <s v="Application permettant d'identifier et d'anonymiser les informations personnelles contenues dans les documents soumis aux tribunaux._x000a_"/>
    <s v=""/>
    <s v="Internal system, no direct public link available."/>
    <s v="Publique "/>
    <s v="Version pilote/bêta"/>
    <s v="Check"/>
    <s v="Avocats"/>
    <s v="5 - Anonymisation et pseudonymisation"/>
    <s v="Ces instruments sont utilisées pour supprimer les informations permettant d'identifier un individu telles que les données personnelles des utilisateurs des tribunaux."/>
    <s v="5 - Anonymisation et pseudonymisation; "/>
  </r>
  <r>
    <x v="73"/>
    <x v="1"/>
    <s v="Anonymiseringsapplikationen / Application for anonymization "/>
    <s v="AI"/>
    <n v="2023"/>
    <s v="Suède"/>
    <s v="Application permettant d'identifier et d'anonymiser les informations personnelles contenues dans les documents soumis aux tribunaux._x000a_"/>
    <s v=""/>
    <s v="Internal system, no direct public link available."/>
    <s v="Publique "/>
    <s v="Version pilote/bêta"/>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74"/>
    <x v="1"/>
    <s v="(m)INI - Intelligentes Notitia Iustitia"/>
    <s v="AI"/>
    <n v="2023"/>
    <s v="Suède"/>
    <s v="Application qui utilise l'intelligence artificielle pour rechercher des informations juridiques dans de vastes volumes de documents, d'affaires, de lois, de travaux préparatoires. Présente des statistiques pertinentes et dispose d'une compréhension sémantique. _x000a_"/>
    <s v=""/>
    <s v="Internal system, no direct public link available."/>
    <s v="Publique "/>
    <s v="Version pilote/bêta"/>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75"/>
    <x v="1"/>
    <s v="Textualisation of recordings"/>
    <s v="AI"/>
    <n v="2023"/>
    <s v="Espagne"/>
    <s v="Effectue le traitement automatisé de fichiers vidéo/audio pour extraire le texte pertinent des interventions orales enregistrées lors de procès, d'audiences et d'enquêtes."/>
    <s v=""/>
    <s v="Internal system, no direct public link available."/>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4 - Aide à la décision"/>
  </r>
  <r>
    <x v="75"/>
    <x v="1"/>
    <s v="Textualisation of recordings"/>
    <s v="AI"/>
    <n v="2023"/>
    <s v="Espagne"/>
    <s v="Effectue le traitement automatisé de fichiers vidéo/audio pour extraire le texte pertinent des interventions orales enregistrées lors de procès, d'audiences et d'enquêtes."/>
    <s v=""/>
    <s v="Internal system, no direct public link available."/>
    <s v="Publique "/>
    <s v="Fonctionnel"/>
    <s v="Check"/>
    <s v="Gestion"/>
    <s v="4 - Aide à la décision"/>
    <s v="Ces instruments facilitent ou automatisent entièrement les processus de prise de décision dans les systèmes judiciaires."/>
    <s v="7 - Enregistrement, transcription et traduction; 4 - Aide à la décision"/>
  </r>
  <r>
    <x v="75"/>
    <x v="1"/>
    <s v="Textualisation of recordings"/>
    <s v="AI"/>
    <n v="2023"/>
    <s v="Espagne"/>
    <s v="Effectue le traitement automatisé de fichiers vidéo/audio pour extraire le texte pertinent des interventions orales enregistrées lors de procès, d'audiences et d'enquêtes."/>
    <s v=""/>
    <s v="Internal system, no direct public link available."/>
    <s v="Publique "/>
    <s v="Fonctionnel"/>
    <s v="Check"/>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4 - Aide à la décision"/>
  </r>
  <r>
    <x v="75"/>
    <x v="1"/>
    <s v="Textualisation of recordings"/>
    <s v="AI"/>
    <n v="2023"/>
    <s v="Espagne"/>
    <s v="Effectue le traitement automatisé de fichiers vidéo/audio pour extraire le texte pertinent des interventions orales enregistrées lors de procès, d'audiences et d'enquêtes."/>
    <s v=""/>
    <s v="Internal system, no direct public link available."/>
    <s v="Publique "/>
    <s v="Fonctionnel"/>
    <s v="Check"/>
    <s v="Juges/greffiers"/>
    <s v="4 - Aide à la décision"/>
    <s v="Ces instruments facilitent ou automatisent entièrement les processus de prise de décision dans les systèmes judiciaires."/>
    <s v="7 - Enregistrement, transcription et traduction; 4 - Aide à la décision"/>
  </r>
  <r>
    <x v="76"/>
    <x v="1"/>
    <s v="Legal and Forensic Dictation Systems"/>
    <s v="AI"/>
    <n v="2023"/>
    <s v="Espagne"/>
    <s v="Permet la transcription spécialisée de textes juridiques et de rapports médicaux"/>
    <s v=""/>
    <s v="Internal system, no direct public link available."/>
    <s v="Publique "/>
    <s v="Fonctionnel"/>
    <s v="Check"/>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76"/>
    <x v="1"/>
    <s v="Legal and Forensic Dictation Systems"/>
    <s v="AI"/>
    <n v="2023"/>
    <s v="Espagne"/>
    <s v="Permet la transcription spécialisée de textes juridiques et de rapports médicaux"/>
    <s v=""/>
    <s v="Internal system, no direct public link available."/>
    <s v="Publique "/>
    <s v="Fonctionnel"/>
    <s v="Check"/>
    <s v="Procureur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76"/>
    <x v="1"/>
    <s v="Legal and Forensic Dictation Systems"/>
    <s v="AI"/>
    <n v="2023"/>
    <s v="Espagne"/>
    <s v="Permet la transcription spécialisée de textes juridiques et de rapports médicaux"/>
    <s v=""/>
    <s v="Internal system, no direct public link available."/>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77"/>
    <x v="1"/>
    <s v="Document anonymizer"/>
    <s v="AI"/>
    <n v="2023"/>
    <s v="Espagne"/>
    <s v="Permet de reconnaître les entités nominales qui identifient les informations relatives aux sujets spécialement protégés et de procéder à leur anonymisation. "/>
    <s v=""/>
    <s v="Internal system, no direct public link available."/>
    <s v="Publique "/>
    <s v="Fonctionnel"/>
    <s v="Check"/>
    <s v="Gestion"/>
    <s v="5 - Anonymisation et pseudonymisation"/>
    <s v="Ces instruments sont utilisées pour supprimer les informations permettant d'identifier un individu telles que les données personnelles des utilisateurs des tribunaux."/>
    <s v="5 - Anonymisation et pseudonymisation; "/>
  </r>
  <r>
    <x v="77"/>
    <x v="1"/>
    <s v="Document anonymizer"/>
    <s v="AI"/>
    <n v="2023"/>
    <s v="Espagne"/>
    <s v="Permet de reconnaître les entités nominales qui identifient les informations relatives aux sujets spécialement protégés et de procéder à leur anonymisation. "/>
    <s v=""/>
    <s v="Internal system, no direct public link available."/>
    <s v="Publique "/>
    <s v="Fonctionnel"/>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78"/>
    <x v="1"/>
    <s v="Document classifier"/>
    <s v="AI"/>
    <n v="2023"/>
    <s v="Espagne"/>
    <s v="Il permet l'auto-catalogage de la documentation reçue dans les bureaux judiciaires sur la base des normes documentaires établies par le CGPJ."/>
    <s v=""/>
    <s v="Internal system, no direct public link available."/>
    <s v="Publique "/>
    <s v="Fonctionnel"/>
    <s v="Check"/>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78"/>
    <x v="1"/>
    <s v="Document classifier"/>
    <s v="AI"/>
    <n v="2023"/>
    <s v="Espagne"/>
    <s v="Il permet l'auto-catalogage de la documentation reçue dans les bureaux judiciaires sur la base des normes documentaires établies par le CGPJ."/>
    <s v=""/>
    <s v="Internal system, no direct public link available."/>
    <s v="Publique "/>
    <s v="Fonctionnel"/>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79"/>
    <x v="1"/>
    <s v="Similarity Analysis"/>
    <s v="AI"/>
    <n v="2023"/>
    <s v="Espagne"/>
    <s v="L'outil permet d'introduire tout élément juridique dans un format facile à lire. Pour les personnes présentant une diversité fonctionnelle et ayant des difficultés de compréhension. Des règles standardisées sont appliquées pour rendre les documents accessibles à tous. "/>
    <s v=""/>
    <s v="Internal system, no direct public link available."/>
    <s v="Publique "/>
    <s v="Fonctionnel"/>
    <s v="Check"/>
    <s v="Juges/greffiers"/>
    <s v="4 - Aide à la décision"/>
    <s v="Ces instruments facilitent ou automatisent entièrement les processus de prise de décision dans les systèmes judiciaires."/>
    <s v="4 - Aide à la décision; "/>
  </r>
  <r>
    <x v="80"/>
    <x v="1"/>
    <s v="Easy Reading"/>
    <s v="AI"/>
    <n v="2023"/>
    <s v="Espagne"/>
    <s v="L'outil permet d'introduire tout élément juridique dans un format facile à lire. Pour les personnes présentant une diversité fonctionnelle et ayant des difficultés de compréhension. Des règles standardisées sont appliquées pour rendre les documents accessibles à tous. "/>
    <s v=""/>
    <s v="Internal system, no direct public link available."/>
    <s v="Publique "/>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81"/>
    <x v="1"/>
    <s v="Public Prosecutor management system"/>
    <s v="AI"/>
    <n v="2023"/>
    <s v="Espagne"/>
    <s v="Intégration du moteur de recherche intelligent « Delfos » à « Fortuny ». Delfos est un moteur de recherche piloté par l'IA qui effectue des requêtes en langage naturel à l'aide d'un moteur de texte prédictif. En outre, il filtre automatiquement les résultats obtenus et propose des requêtes suggérées. Il fournit des résumés de documents et permet aux professionnels du droit de consulter leurs propres documents, ce qui leur fait gagner du temps._x000a_"/>
    <s v=""/>
    <s v="Internal system, no direct public link available."/>
    <s v="Publique "/>
    <s v="Fonctionnel"/>
    <s v="Check"/>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81"/>
    <x v="1"/>
    <s v="Public Prosecutor management system"/>
    <s v="AI"/>
    <n v="2023"/>
    <s v="Espagne"/>
    <s v="Intégration du moteur de recherche intelligent « Delfos » à « Fortuny ». Delfos est un moteur de recherche piloté par l'IA qui effectue des requêtes en langage naturel à l'aide d'un moteur de texte prédictif. En outre, il filtre automatiquement les résultats obtenus et propose des requêtes suggérées. Il fournit des résumés de documents et permet aux professionnels du droit de consulter leurs propres documents, ce qui leur fait gagner du temps._x000a_"/>
    <s v=""/>
    <s v="Internal system, no direct public link available."/>
    <s v="Publique "/>
    <s v="Fonctionnel"/>
    <s v="Check"/>
    <s v="Procureurs/greffiers"/>
    <s v="4 - Aide à la décision"/>
    <s v="Ces instruments facilitent ou automatisent entièrement les processus de prise de décision dans les systèmes judiciaires."/>
    <s v="1 - Recherche documentaire; 4 - Aide à la décision"/>
  </r>
  <r>
    <x v="82"/>
    <x v="1"/>
    <s v="Justice Folder"/>
    <s v="AI"/>
    <n v="2023"/>
    <s v="Espagne"/>
    <s v="Permet aux parties intéressées de connaître les notifications judiciaires et toute autre information des dossiers judiciaires auxquels elles sont parties. La dernière version inclut des solutions d'intelligence artificielle telles que le service de résumé et l'anonymisation des documents."/>
    <s v=""/>
    <s v="Internal system, no direct public link available."/>
    <s v="Publique "/>
    <s v="Fonctionnel"/>
    <s v="Check"/>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6 - Triage, attribution et automatisation des flux de travail"/>
  </r>
  <r>
    <x v="82"/>
    <x v="1"/>
    <s v="Justice Folder"/>
    <s v="AI"/>
    <n v="2023"/>
    <s v="Espagne"/>
    <s v="Permet aux parties intéressées de connaître les notifications judiciaires et toute autre information des dossiers judiciaires auxquels elles sont parties. La dernière version inclut des solutions d'intelligence artificielle telles que le service de résumé et l'anonymisation des documents."/>
    <s v=""/>
    <s v="Internal system, no direct public link available."/>
    <s v="Publique "/>
    <s v="Fonctionnel"/>
    <s v="Check"/>
    <s v="Avocat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8 - Services d'information/assistance; 6 - Triage, attribution et automatisation des flux de travail"/>
  </r>
  <r>
    <x v="82"/>
    <x v="1"/>
    <s v="Justice Folder"/>
    <s v="AI"/>
    <n v="2023"/>
    <s v="Espagne"/>
    <s v="Permet aux parties intéressées de connaître les notifications judiciaires et toute autre information des dossiers judiciaires auxquels elles sont parties. La dernière version inclut des solutions d'intelligence artificielle telles que le service de résumé et l'anonymisation des documents."/>
    <s v=""/>
    <s v="Internal system, no direct public link available."/>
    <s v="Publique "/>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6 - Triage, attribution et automatisation des flux de travail"/>
  </r>
  <r>
    <x v="82"/>
    <x v="1"/>
    <s v="Justice Folder"/>
    <s v="AI"/>
    <n v="2023"/>
    <s v="Espagne"/>
    <s v="Permet aux parties intéressées de connaître les notifications judiciaires et toute autre information des dossiers judiciaires auxquels elles sont parties. La dernière version inclut des solutions d'intelligence artificielle telles que le service de résumé et l'anonymisation des documents."/>
    <s v=""/>
    <s v="Internal system, no direct public link available."/>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8 - Services d'information/assistance; 6 - Triage, attribution et automatisation des flux de travail"/>
  </r>
  <r>
    <x v="83"/>
    <x v="1"/>
    <s v="Legal Documents Classification "/>
    <s v="AI"/>
    <n v="2022"/>
    <s v="Türkiye"/>
    <s v="Ce projet a été mis en service au sein du système d'information de l'UYAP à partir de janvier 2022 afin de minimiser la charge humaine dans le travail à effectuer à la fois pour le transfert des documents physiques non numériques à l'UYAP, et pour déterminer le type de document pertinent selon plus de 300 catégories."/>
    <s v=""/>
    <s v="Internal system, no direct public link available."/>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84"/>
    <x v="1"/>
    <s v="Document Classification in Enforcement Processes"/>
    <s v="AI"/>
    <n v="2022"/>
    <s v="Türkiye"/>
    <s v="Le projet de classification des documents d'exécution assistée par IA a été développé pour faciliter le transfert des fichiers d'archives vers le système UYAP et pour minimiser la charge de travail humaine. Le projet détecte automatiquement le contenu du document, classifie le type de document et présente le type de document recommandé à l'utilisateur pour approbation. Il est ainsi possible de classer rapidement les données, ce qui permet aux utilisateurs d'économiser du temps et de l'énergie. "/>
    <s v=""/>
    <s v="Internal system, no direct public link available."/>
    <s v="Publique "/>
    <s v="Fonctionnel"/>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85"/>
    <x v="1"/>
    <s v="Legal Texts Summarising"/>
    <s v="AI"/>
    <n v="2023"/>
    <s v="Türkiye"/>
    <s v="Le système analyse et résume les documents juridiques en identifiant les phrases, expressions et concepts importants dans le contexte juridique."/>
    <s v=""/>
    <s v="Internal system, no direct public link available."/>
    <s v="Publique "/>
    <s v="Version pilote/bêta"/>
    <s v="Check"/>
    <s v="Usagers des tribunaux (Grand public)"/>
    <s v="4 - Aide à la décision"/>
    <s v="Ces instruments facilitent ou automatisent entièrement les processus de prise de décision dans les systèmes judiciaires."/>
    <s v="4 - Aide à la décision; "/>
  </r>
  <r>
    <x v="86"/>
    <x v="1"/>
    <s v="Object and Slang Detection in Images"/>
    <s v="AI"/>
    <n v="2022"/>
    <s v="Türkiye"/>
    <s v="Cet outil a été développé pour résoudre les problèmes rencontrés avec le &quot;portail d'enchères électroniques&quot;. Sur ce dernier, des images d'appels d'offres sont téléchargées et peuvent parfois contenir du texte. Bien que le portail d'enchères électroniques soit capable de détecter du texte, il n'est pas en mesure de déterminer si le texte contenu est offensant ou non. C'est pourquoi la détection d'objets et d'argot dans les photos a été créée pour filtrer et éviter de telles situations."/>
    <s v=""/>
    <s v="Internal system, no direct public link available."/>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86"/>
    <x v="1"/>
    <s v="Object and Slang Detection in Images"/>
    <s v="AI"/>
    <n v="2022"/>
    <s v="Türkiye"/>
    <s v="Cet outil a été développé pour résoudre les problèmes rencontrés avec le &quot;portail d'enchères électroniques&quot;. Sur ce dernier, des images d'appels d'offres sont téléchargées et peuvent parfois contenir du texte. Bien que le portail d'enchères électroniques soit capable de détecter du texte, il n'est pas en mesure de déterminer si le texte contenu est offensant ou non. C'est pourquoi la détection d'objets et d'argot dans les photos a été créée pour filtrer et éviter de telles situations."/>
    <s v=""/>
    <s v="Internal system, no direct public link available."/>
    <s v="Publique "/>
    <s v="Fonctionnel"/>
    <s v="Check"/>
    <s v="Usagers des tribunaux (Grand public)"/>
    <s v="4 - Aide à la décision"/>
    <s v="Ces instruments facilitent ou automatisent entièrement les processus de prise de décision dans les systèmes judiciaires."/>
    <s v="1 - Recherche documentaire; 4 - Aide à la décision"/>
  </r>
  <r>
    <x v="87"/>
    <x v="1"/>
    <s v="Estimation of Terrorist Organisation Information"/>
    <s v="AI"/>
    <n v="2022"/>
    <s v="Türkiye"/>
    <s v="Le système d'IA a été développé pour identifier les informations suspectes des organisations au cours des enquêtes et des poursuites judiciaires. Les tests ont révélé une précision de plus de 80 % et le service a été mis en service en décembre 2022._x000a__x000a_"/>
    <s v=""/>
    <s v="Internal system, no direct public link available."/>
    <s v="Publique "/>
    <s v="Fonctionnel"/>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88"/>
    <x v="1"/>
    <s v="Smart Chat-bot"/>
    <s v="AI"/>
    <n v="2021"/>
    <s v="Türkiye"/>
    <s v="Le projet a été développé pour réduire la charge du centre d'appel et fournir de meilleurs services aux utilisateurs. Il a été développé avec des logiciels libres et open source, et mis en service dans les systèmes d'information du portail d'enchères électroniques, du portail institutionnel et du portail citoyen."/>
    <s v=""/>
    <s v="No direct public link available. Embedded in mentioned Portals."/>
    <s v="Publique "/>
    <s v="Fonctionnel"/>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89"/>
    <x v="1"/>
    <s v="Estimation of the Correct Document Type in Miscellaneous Works"/>
    <s v="AI"/>
    <n v="2023"/>
    <s v="Türkiye"/>
    <s v="En déterminant le type de document correct classé comme &quot;travaux divers&quot; dans les tribunaux pénaux, on s'assurera que les types de documents entrés comme &quot;autres&quot; seront réduits et que le type de document correct sera déterminé, ce qui conduira à des résultats corrects dans les audits et les statistiques."/>
    <s v=""/>
    <s v="Internal system, no direct public link available."/>
    <s v="Publique "/>
    <s v="Version pilote/bêta"/>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90"/>
    <x v="1"/>
    <s v="Speech to Text"/>
    <s v="AI"/>
    <n v="2022"/>
    <s v="Türkiye"/>
    <s v="Le système de dictée, qui transcrit la parole en texte, facilite le travail des juges lorsqu'ils motivent leurs décisions et celui des procureurs lorsqu'ils rédigent des actes d'accusation. Le système contribue à des processus de rédaction plus rapides et plus efficaces. "/>
    <s v=""/>
    <s v="Internal system, no direct public link available."/>
    <s v="Publique "/>
    <s v="Version pilote/bêta"/>
    <s v="Check"/>
    <s v="Procureur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90"/>
    <x v="1"/>
    <s v="Speech to Text"/>
    <s v="AI"/>
    <n v="2022"/>
    <s v="Türkiye"/>
    <s v="Le système de dictée, qui transcrit la parole en texte, facilite le travail des juges lorsqu'ils motivent leurs décisions et celui des procureurs lorsqu'ils rédigent des actes d'accusation. Le système contribue à des processus de rédaction plus rapides et plus efficaces. "/>
    <s v=""/>
    <s v="Internal system, no direct public link available."/>
    <s v="Publique "/>
    <s v="Version pilote/bêta"/>
    <s v="Check"/>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90"/>
    <x v="1"/>
    <s v="Speech to Text"/>
    <s v="AI"/>
    <n v="2022"/>
    <s v="Türkiye"/>
    <s v="Le système de dictée, qui transcrit la parole en texte, facilite le travail des juges lorsqu'ils motivent leurs décisions et celui des procureurs lorsqu'ils rédigent des actes d'accusation. Le système contribue à des processus de rédaction plus rapides et plus efficaces. "/>
    <s v=""/>
    <s v="Internal system, no direct public link available."/>
    <s v="Publique "/>
    <s v="Version pilote/bêta"/>
    <s v="Check"/>
    <s v="Usagers des tribunaux (Grand public)"/>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91"/>
    <x v="1"/>
    <s v="Information Extraction from Legal Documents"/>
    <s v="AI"/>
    <n v="2022"/>
    <s v="Türkiye"/>
    <s v="Le modèle d'IA identifie les informations du dossier telles que : le numéro de référence, le numéro de dossier, le nom de la juridiction concernée, le numéro de l'affaire, le numéro de la décision. "/>
    <s v=""/>
    <s v="Internal system, no direct public link available."/>
    <s v="Publique "/>
    <s v="Version pilote/bêta"/>
    <s v="Check"/>
    <s v="Gestion"/>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91"/>
    <x v="1"/>
    <s v="Information Extraction from Legal Documents"/>
    <s v="AI"/>
    <n v="2022"/>
    <s v="Türkiye"/>
    <s v="Le modèle d'IA identifie les informations du dossier telles que : le numéro de référence, le numéro de dossier, le nom de la juridiction concernée, le numéro de l'affaire, le numéro de la décision. "/>
    <s v=""/>
    <s v="Internal system, no direct public link available."/>
    <s v="Publique "/>
    <s v="Version pilote/bêta"/>
    <s v="Check"/>
    <s v="Gestion"/>
    <s v="4 - Aide à la décision"/>
    <s v="Ces instruments facilitent ou automatisent entièrement les processus de prise de décision dans les systèmes judiciaires."/>
    <s v="1 - Recherche documentaire; 4 - Aide à la décision"/>
  </r>
  <r>
    <x v="91"/>
    <x v="1"/>
    <s v="Information Extraction from Legal Documents"/>
    <s v="AI"/>
    <n v="2022"/>
    <s v="Türkiye"/>
    <s v="Le modèle d'IA identifie les informations du dossier telles que : le numéro de référence, le numéro de dossier, le nom de la juridiction concernée, le numéro de l'affaire, le numéro de la décision. "/>
    <s v=""/>
    <s v="Internal system, no direct public link available."/>
    <s v="Publique "/>
    <s v="Version pilote/bêta"/>
    <s v="Check"/>
    <s v="Avocat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91"/>
    <x v="1"/>
    <s v="Information Extraction from Legal Documents"/>
    <s v="AI"/>
    <n v="2022"/>
    <s v="Türkiye"/>
    <s v="Le modèle d'IA identifie les informations du dossier telles que : le numéro de référence, le numéro de dossier, le nom de la juridiction concernée, le numéro de l'affaire, le numéro de la décision. "/>
    <s v=""/>
    <s v="Internal system, no direct public link available."/>
    <s v="Publique "/>
    <s v="Version pilote/bêta"/>
    <s v="Check"/>
    <s v="Avocats"/>
    <s v="4 - Aide à la décision"/>
    <s v="Ces instruments facilitent ou automatisent entièrement les processus de prise de décision dans les systèmes judiciaires."/>
    <s v="1 - Recherche documentaire; 4 - Aide à la décision"/>
  </r>
  <r>
    <x v="91"/>
    <x v="1"/>
    <s v="Information Extraction from Legal Documents"/>
    <s v="AI"/>
    <n v="2022"/>
    <s v="Türkiye"/>
    <s v="Le modèle d'IA identifie les informations du dossier telles que : le numéro de référence, le numéro de dossier, le nom de la juridiction concernée, le numéro de l'affaire, le numéro de la décision. "/>
    <s v=""/>
    <s v="Internal system, no direct public link available."/>
    <s v="Publique "/>
    <s v="Version pilote/bêta"/>
    <s v="Check"/>
    <s v="Usagers des tribunaux (Grand public)"/>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91"/>
    <x v="1"/>
    <s v="Information Extraction from Legal Documents"/>
    <s v="AI"/>
    <n v="2022"/>
    <s v="Türkiye"/>
    <s v="Le modèle d'IA identifie les informations du dossier telles que : le numéro de référence, le numéro de dossier, le nom de la juridiction concernée, le numéro de l'affaire, le numéro de la décision. "/>
    <s v=""/>
    <s v="Internal system, no direct public link available."/>
    <s v="Publique "/>
    <s v="Version pilote/bêta"/>
    <s v="Check"/>
    <s v="Usagers des tribunaux (Grand public)"/>
    <s v="4 - Aide à la décision"/>
    <s v="Ces instruments facilitent ou automatisent entièrement les processus de prise de décision dans les systèmes judiciaires."/>
    <s v="1 - Recherche documentaire; 4 - Aide à la décision"/>
  </r>
  <r>
    <x v="92"/>
    <x v="1"/>
    <s v="Inconsistency Detection in Bill of Indictment"/>
    <s v="AI"/>
    <n v="2022"/>
    <s v="Türkiye"/>
    <s v="Le système vise à faire gagner du temps aux procureurs dans le contrôle des actes d'accusation en identifiant les incohérences entre les informations sur l'identité des parties, le statut des parties, les éléments de référence, le nom de l'infraction, le lieu et l'heure de l'infraction et les enregistrements dans la base de données de l'UYAP.  Le système doit garantir que les actes d'accusation qui deviennent une procédure publique sont créés avec les données correctes._x000a__x000a__x000a__x000a__x000a__x000a__x000a_"/>
    <s v=""/>
    <s v="Internal system, no direct public link available."/>
    <s v="Publique "/>
    <s v="Version pilote/bêta"/>
    <s v="Check"/>
    <s v="Procureurs/greffiers"/>
    <s v="4 - Aide à la décision"/>
    <s v="Ces instruments facilitent ou automatisent entièrement les processus de prise de décision dans les systèmes judiciaires."/>
    <s v="4 - Aide à la décision; 1 - Recherche documentaire"/>
  </r>
  <r>
    <x v="92"/>
    <x v="1"/>
    <s v="Inconsistency Detection in Bill of Indictment"/>
    <s v="AI"/>
    <n v="2022"/>
    <s v="Türkiye"/>
    <s v="Le système vise à faire gagner du temps aux procureurs dans le contrôle des actes d'accusation en identifiant les incohérences entre les informations sur l'identité des parties, le statut des parties, les éléments de référence, le nom de l'infraction, le lieu et l'heure de l'infraction et les enregistrements dans la base de données de l'UYAP.  Le système doit garantir que les actes d'accusation qui deviennent une procédure publique sont créés avec les données correctes._x000a__x000a__x000a__x000a__x000a__x000a__x000a_"/>
    <s v=""/>
    <s v="Internal system, no direct public link available."/>
    <s v="Publique "/>
    <s v="Version pilote/bêta"/>
    <s v="Check"/>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93"/>
    <x v="1"/>
    <s v="Belonging Decision Estimation "/>
    <s v="AI"/>
    <n v="2022"/>
    <s v="Türkiye"/>
    <s v="Le projet &quot;Belonging Decision Estimation&quot; (estimation de la décision d'appartenance) contribue à l'attribution rapide et correcte des décisions à la cour d'appel. "/>
    <s v=""/>
    <s v="Internal system, no direct public link available."/>
    <s v="Publique "/>
    <s v="Version pilote/bêta"/>
    <s v="Check"/>
    <s v="Juges/greffiers"/>
    <s v="4 - Aide à la décision"/>
    <s v="Ces instruments facilitent ou automatisent entièrement les processus de prise de décision dans les systèmes judiciaires."/>
    <s v="4 - Aide à la décision; 1 - Recherche documentaire"/>
  </r>
  <r>
    <x v="93"/>
    <x v="1"/>
    <s v="Belonging Decision Estimation "/>
    <s v="AI"/>
    <n v="2022"/>
    <s v="Türkiye"/>
    <s v="Le projet &quot;Belonging Decision Estimation&quot; (estimation de la décision d'appartenance) contribue à l'attribution rapide et correcte des décisions à la cour d'appel. "/>
    <s v=""/>
    <s v="Internal system, no direct public link available."/>
    <s v="Publique "/>
    <s v="Version pilote/bêta"/>
    <s v="Check"/>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4 - Aide à la décision; 1 - Recherche documentaire"/>
  </r>
  <r>
    <x v="94"/>
    <x v="1"/>
    <s v="Small Claims Tribunal"/>
    <s v="AI"/>
    <n v="2023"/>
    <s v="Singapour"/>
    <s v="Le système d'IA générative, qui répond aux questions sur la base de données préchargées, vise à aider les parties à un litige à présenter leurs demandes ou leur défense. Le système devrait être en mesure d'informer le justiciable sur la manière de procéder avec sa demande et de lui indiquer les sites web et les formulaires appropriés. Idéalement, le système devrait également être en mesure d'indiquer au justiciable les documents qu'il devrait avoir, tels que les reçus, et éventuellement d'indiquer un règlement._x000a_"/>
    <s v=""/>
    <s v="https://www.channelnewsasia.com/singapore/artificial-intelligence-court-small-claims-singapore-chatgpt-3801756"/>
    <s v="Publique "/>
    <s v="Version pilote/bêta"/>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8 - Services d'information/assistance"/>
  </r>
  <r>
    <x v="94"/>
    <x v="1"/>
    <s v="Small Claims Tribunal"/>
    <s v="AI"/>
    <n v="2023"/>
    <s v="Singapour"/>
    <s v="Le système d'IA générative, qui répond aux questions sur la base de données préchargées, vise à aider les parties à un litige à présenter leurs demandes ou leur défense. Le système devrait être en mesure d'informer le justiciable sur la manière de procéder avec sa demande et de lui indiquer les sites web et les formulaires appropriés. Idéalement, le système devrait également être en mesure d'indiquer au justiciable les documents qu'il devrait avoir, tels que les reçus, et éventuellement d'indiquer un règlement._x000a_"/>
    <s v=""/>
    <s v="https://www.channelnewsasia.com/singapore/artificial-intelligence-court-small-claims-singapore-chatgpt-3801756"/>
    <s v="Publique "/>
    <s v="Version pilote/bêta"/>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2 - Résolution automatisée des litiges; 8 - Services d'information/assistance"/>
  </r>
  <r>
    <x v="95"/>
    <x v="1"/>
    <s v="Chatbot on neighbour disputes"/>
    <s v="AI "/>
    <n v="2023"/>
    <s v="Singapour"/>
    <s v="Le système aide les citoyens à décider des mesures à prendre en cas de conflit de voisinage. Des questions prédéfinies et individuelles sont possibles. "/>
    <s v=""/>
    <s v="https://go.gov.sg/chat-neighbour"/>
    <s v="Publique "/>
    <s v="Version pilote/bêta"/>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2 - Résolution automatisée des litiges"/>
  </r>
  <r>
    <x v="95"/>
    <x v="1"/>
    <s v="Chatbot on neighbour disputes"/>
    <s v="AI "/>
    <n v="2023"/>
    <s v="Singapour"/>
    <s v="Le système aide les citoyens à décider des mesures à prendre en cas de conflit de voisinage. Des questions prédéfinies et individuelles sont possibles. "/>
    <s v=""/>
    <s v="https://go.gov.sg/chat-neighbour"/>
    <s v="Publique "/>
    <s v="Version pilote/bêta"/>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8 - Services d'information/assistance; 2 - Résolution automatisée des litiges"/>
  </r>
  <r>
    <x v="96"/>
    <x v="1"/>
    <s v="Chatbot on crime cases"/>
    <s v="AI "/>
    <n v="2023"/>
    <s v="Singapour"/>
    <s v="Le système aide les citoyens à décider des actions à entreprendre dans les affaires criminelles. Des questions prédéfinies et individuelles sont possibles. "/>
    <s v=""/>
    <s v="https://go.gov.sg/chat-crime"/>
    <s v="Publique "/>
    <s v="Version pilote/bêta"/>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2 - Résolution automatisée des litiges"/>
  </r>
  <r>
    <x v="96"/>
    <x v="1"/>
    <s v="Chatbot on crime cases"/>
    <s v="AI "/>
    <n v="2023"/>
    <s v="Singapour"/>
    <s v="Le système aide les citoyens à décider des actions à entreprendre dans les affaires criminelles. Des questions prédéfinies et individuelles sont possibles. "/>
    <s v=""/>
    <s v="https://go.gov.sg/chat-crime"/>
    <s v="Publique "/>
    <s v="Version pilote/bêta"/>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8 - Services d'information/assistance; 2 - Résolution automatisée des litiges"/>
  </r>
  <r>
    <x v="97"/>
    <x v="1"/>
    <s v="Chatbot on wills"/>
    <s v="AI"/>
    <n v="2023"/>
    <s v="Singapour"/>
    <s v="Le système aide les citoyens à décider des actions concernant les testaments. Des questions prédéfinies et individuelles sont possibles. "/>
    <s v=""/>
    <s v="https://go.gov.sg/chat-probate"/>
    <s v="Publique "/>
    <s v="Version pilote/bêta"/>
    <s v="Check"/>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2 - Résolution automatisée des litiges"/>
  </r>
  <r>
    <x v="97"/>
    <x v="1"/>
    <s v="Chatbot on wills"/>
    <s v="AI"/>
    <n v="2023"/>
    <s v="Singapour"/>
    <s v="Le système aide les citoyens à décider des actions concernant les testaments. Des questions prédéfinies et individuelles sont possibles. "/>
    <s v=""/>
    <s v="https://go.gov.sg/chat-probate"/>
    <s v="Publique "/>
    <s v="Version pilote/bêta"/>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8 - Services d'information/assistance; 2 - Résolution automatisée des litiges"/>
  </r>
  <r>
    <x v="98"/>
    <x v="1"/>
    <s v="Generative language model of justice (GSJ)/ Generatives Sprachmodell der Justiz (GSJ)"/>
    <s v="AI"/>
    <n v="2024"/>
    <s v="Allemagne"/>
    <s v="Adaptation techniquement informée des grands modèles linguistiques modernes (LML, comparables par exemple à la famille GPT ou BERT) dans le contexte judiciaire, adaptation aux exigences de sécurité, évaluation basée sur deux à trois cas d’utilisation dans le cadre de tests en fonctionnement réel basés sur des tâches d’analyse. Client : _x000a_Ministère bavarois de la Justice / Ministère de la Justice de Rhénanie du Nord-Ouest.  "/>
    <s v=""/>
    <s v="0"/>
    <s v="Publique "/>
    <s v="Concept/prévu"/>
    <s v="Spécifique au tribunal"/>
    <s v="Juges/greffiers"/>
    <s v="4 - Aide à la décision"/>
    <s v="Ces instruments facilitent ou automatisent entièrement les processus de prise de décision dans les systèmes judiciaires."/>
    <s v="4 - Aide à la décision; "/>
  </r>
  <r>
    <x v="99"/>
    <x v="1"/>
    <s v="Automated anonymisation and pseudonymisation of court decisions/ Automatische Anonymisierung und Pseudonymisierung von Gerichtsentscheidungen "/>
    <s v="AI"/>
    <n v="2024"/>
    <s v="Allemagne"/>
    <s v="Les décisions des tribunaux sont automatiquement anonymisées en vue de leur publication; scénarios de déploiement actuels : litiges de trafic civil et questions de location résidentielle; perspective : décisions des tribunaux de toutes les instances, également dans d’autres domaines spécialisés; exigence/objectif : un tel degré d’exactitude que la dépersonnalisation n’est plus possible (par ex. anonymisation non seulement du nom, mais aussi de la « maison rouge » ou de l’entreprise dans les petites villes) Client :  Ministère bavarois de la justice."/>
    <s v=""/>
    <s v="0"/>
    <s v="Publique "/>
    <s v="Version pilote/bêta"/>
    <s v="Check"/>
    <s v="Juges/greffiers"/>
    <s v="5 - Anonymisation et pseudonymisation"/>
    <s v="Ces instruments sont utilisées pour supprimer les informations permettant d'identifier un individu telles que les données personnelles des utilisateurs des tribunaux."/>
    <s v="5 - Anonymisation et pseudonymisation; "/>
  </r>
  <r>
    <x v="99"/>
    <x v="1"/>
    <s v="Automated anonymisation and pseudonymisation of court decisions/ Automatische Anonymisierung und Pseudonymisierung von Gerichtsentscheidungen "/>
    <s v="AI"/>
    <n v="2024"/>
    <s v="Allemagne"/>
    <s v="Les décisions des tribunaux sont automatiquement anonymisées en vue de leur publication; scénarios de déploiement actuels : litiges de trafic civil et questions de location résidentielle; perspective : décisions des tribunaux de toutes les instances, également dans d’autres domaines spécialisés; exigence/objectif : un tel degré d’exactitude que la dépersonnalisation n’est plus possible (par ex. anonymisation non seulement du nom, mais aussi de la « maison rouge » ou de l’entreprise dans les petites villes) Client :  Ministère bavarois de la justice."/>
    <s v=""/>
    <s v="0"/>
    <s v="Publique "/>
    <s v="Version pilote/bêta"/>
    <s v="Check"/>
    <s v="Gestion"/>
    <s v="5 - Anonymisation et pseudonymisation"/>
    <s v="Ces instruments sont utilisées pour supprimer les informations permettant d'identifier un individu telles que les données personnelles des utilisateurs des tribunaux."/>
    <s v="5 - Anonymisation et pseudonymisation; "/>
  </r>
  <r>
    <x v="100"/>
    <x v="1"/>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Allemagne"/>
    <s v="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_x000a_"/>
    <s v=""/>
    <s v="0"/>
    <s v="Recherche/Universitaire"/>
    <s v="Concept/prévu"/>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6 - Triage, attribution et automatisation des flux de travail"/>
  </r>
  <r>
    <x v="100"/>
    <x v="1"/>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Allemagne"/>
    <s v="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_x000a_"/>
    <s v=""/>
    <s v="0"/>
    <s v="Recherche/Universitaire"/>
    <s v="Concept/prévu"/>
    <s v="Check"/>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2 - Résolution automatisée des litiges; 6 - Triage, attribution et automatisation des flux de travail"/>
  </r>
  <r>
    <x v="100"/>
    <x v="1"/>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Allemagne"/>
    <s v="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_x000a_"/>
    <s v=""/>
    <s v="0"/>
    <s v="Recherche/Universitaire"/>
    <s v="Concept/prévu"/>
    <s v="Check"/>
    <s v="Juges/greffiers"/>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6 - Triage, attribution et automatisation des flux de travail"/>
  </r>
  <r>
    <x v="100"/>
    <x v="1"/>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Allemagne"/>
    <s v="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_x000a_"/>
    <s v=""/>
    <s v="0"/>
    <s v="Recherche/Universitaire"/>
    <s v="Concept/prévu"/>
    <s v="Check"/>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2 - Résolution automatisée des litiges; 6 - Triage, attribution et automatisation des flux de travail"/>
  </r>
  <r>
    <x v="100"/>
    <x v="1"/>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Allemagne"/>
    <s v="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_x000a_"/>
    <s v=""/>
    <s v="0"/>
    <s v="Recherche/Universitaire"/>
    <s v="Concept/prévu"/>
    <s v="Check"/>
    <s v="Avocats"/>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6 - Triage, attribution et automatisation des flux de travail"/>
  </r>
  <r>
    <x v="100"/>
    <x v="1"/>
    <s v="Real-world laboratory &quot;Structural projects for party submissions in civil proceedings&quot;: Development and testing of an electronic basic document / Reallabor &quot;Strukturvorhaben für den parteivortrag im Zivilprozess&quot;: Entwicklung und Erprobung eines elektronischen Basisdokuments"/>
    <s v="AI"/>
    <n v="2024"/>
    <s v="Allemagne"/>
    <s v="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_x000a_"/>
    <s v=""/>
    <s v="0"/>
    <s v="Recherche/Universitaire"/>
    <s v="Concept/prévu"/>
    <s v="Check"/>
    <s v="Avocat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2 - Résolution automatisée des litiges; 6 - Triage, attribution et automatisation des flux de travail"/>
  </r>
  <r>
    <x v="101"/>
    <x v="1"/>
    <s v="Ocos: Hybrid AI for the processing of air passenger complaints / Ocos: Hybride KI für die Bearbeitung von Fluggastklagen"/>
    <s v="AI"/>
    <n v="2024"/>
    <s v="Allemagne"/>
    <s v="Mise en œuvre d’une preuve de concept pour soutenir la pratique judiciaire dans le traitement des réclamations de passagers aériens : Création d’un projet de décision basé sur un module dans le cas d’utilisation : Jugement final dans une procédure simplifiée sans défense_x000a_Client : Ministère bavarois de la justice_x000a__x000a_"/>
    <s v=""/>
    <s v="0"/>
    <s v="Publique "/>
    <s v="Version pilote/bêta"/>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01"/>
    <x v="1"/>
    <s v="Ocos: Hybrid AI for the processing of air passenger complaints / Ocos: Hybride KI für die Bearbeitung von Fluggastklagen"/>
    <s v="AI"/>
    <n v="2024"/>
    <s v="Allemagne"/>
    <s v="Mise en œuvre d’une preuve de concept pour soutenir la pratique judiciaire dans le traitement des réclamations de passagers aériens : Création d’un projet de décision basé sur un module dans le cas d’utilisation : Jugement final dans une procédure simplifiée sans défense_x000a_Client : Ministère bavarois de la justice_x000a_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02"/>
    <x v="1"/>
    <s v="Hybrid AI inparticular for the processing of diesel claims (target group: decision-makers of the 1st instance) / Hybride KI insbesondere für die Bearbeitung von Dieselklagen (Zielgruppe: Entscheider der 1. Instanz)"/>
    <s v="AI"/>
    <n v="2024"/>
    <s v="Allemagne"/>
    <s v="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_x000a_Client : Ministère bavarois de la justice_x000a_"/>
    <s v=""/>
    <s v="0"/>
    <s v="Publique "/>
    <s v="Version pilote/bêta"/>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02"/>
    <x v="1"/>
    <s v="Hybrid AI inparticular for the processing of diesel claims (target group: decision-makers of the 1st instance) / Hybride KI insbesondere für die Bearbeitung von Dieselklagen (Zielgruppe: Entscheider der 1. Instanz)"/>
    <s v="AI"/>
    <n v="2024"/>
    <s v="Allemagne"/>
    <s v="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_x000a_Client : Ministère bavarois de la justice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03"/>
    <x v="1"/>
    <s v="Expert system for the categorisation of first instance decisions on diesel claims (target group: 2nd instance decision-makers) / Expertensystem zur Kategorisierung von erstinstanzlichen Entscheidungen über Dieselkalgen (Zielgruppe: Entscheider der 2. Instanz)"/>
    <s v="AI"/>
    <n v="2024"/>
    <s v="Allemagne"/>
    <s v="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 Client :Ministère bavarois de la justice"/>
    <s v=""/>
    <s v="0"/>
    <s v="Publique "/>
    <s v="Concept/prévu"/>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03"/>
    <x v="1"/>
    <s v="Expert system for the categorisation of first instance decisions on diesel claims (target group: 2nd instance decision-makers) / Expertensystem zur Kategorisierung von erstinstanzlichen Entscheidungen über Dieselkalgen (Zielgruppe: Entscheider der 2. Instanz)"/>
    <s v="AI"/>
    <n v="2024"/>
    <s v="Allemagne"/>
    <s v="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 Client :Ministère bavarois de la justice"/>
    <s v=""/>
    <s v="0"/>
    <s v="Publique "/>
    <s v="Concept/prévu"/>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04"/>
    <x v="1"/>
    <s v="Dark Web Monitor for cataloguing and indexing the darknet and blockchain analysis tool GraphSense for tracking payment flows with cryptocurrencies / Dark Web Monitor zur Katalogisierung und Indizierung des Darknets und Blockchain-Analysetool GraphSense zur Nachverfolgung von Zahlungsströhmungen und Kryptowährungen"/>
    <s v="AI"/>
    <n v="2024"/>
    <s v="Allemagne"/>
    <s v="Une action encore plus efficace contre le commerce de données volées, de drogues, d’armes ou de pornographie juvénile sur le marché noir numérique en développant un « moteur de recherche pour le darknet » basé sur les besoins des autorités policières; en plus : utiliser un outil d’analyse blockchain pour mieux suivre les flux de crypto-monnaie et ainsi pouvoir suivre la « piste de l’argent ». Client : Ministère bavarois de la Justice / Centre bavarois de lutte contre la cybercriminalité_x000a_"/>
    <s v=""/>
    <s v="0"/>
    <s v="Publique "/>
    <s v="Version pilote/bêta"/>
    <s v="Spécifique au tribunal"/>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05"/>
    <x v="1"/>
    <s v="Fake Shop Detector"/>
    <s v="AI"/>
    <n v="2024"/>
    <s v="Allemagne"/>
    <s v="Une action encore plus efficace contre les faux magasins. Fake Shop Detector utilise l’IA pour vérifier les boutiques en ligne inconnues pour plus de 21 000 fonctionnalités en temps réel; le détecteur émet une alerte lorsqu’un magasin suspect est détecté. Fake Shop Detector offre donc un potentiel considérable aux enquêteurs pour identifier les faux magasins à un stade précoce. L’outil pourrait également aider à mieux reconnaître les structures derrière les infractions et à rendre les enquêtes encore plus efficaces._x000a_Client : Ministère bavarois de la Justice / Centre bavarois de lutte contre la cybercriminalité"/>
    <s v=""/>
    <s v="0"/>
    <s v="Publique "/>
    <s v="Version pilote/bêta"/>
    <s v="Spécifique au tribunal"/>
    <s v="Procureur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06"/>
    <x v="1"/>
    <s v="Juris Collect"/>
    <s v="AI"/>
    <n v="2024"/>
    <s v="Allemagne"/>
    <s v="Intégration, structuration et catégorisation de ses propres contenus/de la jurisprudence _x000a_Client : Cour d’appel Berlin_x000a__x000a_"/>
    <s v=""/>
    <s v="0"/>
    <s v="Publique "/>
    <s v="Version pilote/bêta"/>
    <s v="Spécifique au tribu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6 - Triage, attribution et automatisation des flux de travail"/>
  </r>
  <r>
    <x v="106"/>
    <x v="1"/>
    <s v="Juris Collect"/>
    <s v="AI"/>
    <n v="2024"/>
    <s v="Allemagne"/>
    <s v="Intégration, structuration et catégorisation de ses propres contenus/de la jurisprudence _x000a_Client : Cour d’appel Berlin_x000a_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1 - Recherche documentaire; 6 - Triage, attribution et automatisation des flux de travail"/>
  </r>
  <r>
    <x v="107"/>
    <x v="1"/>
    <s v="Speech Recognition / Spracherkennung"/>
    <s v="AI"/>
    <n v="2024"/>
    <s v="Allemagne"/>
    <s v="Disponibilité de la reconnaissance vocale aussi largement que possible, en particulier pour les juges_x000a_Client : Cour d’appel Berlin_x000a_"/>
    <s v=""/>
    <s v="0"/>
    <s v="Publique "/>
    <s v="Fonctionnel"/>
    <s v="Spécifique au tribunal"/>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107"/>
    <x v="1"/>
    <s v="Speech Recognition / Spracherkennung"/>
    <s v="AI"/>
    <n v="2024"/>
    <s v="Allemagne"/>
    <s v="Disponibilité de la reconnaissance vocale aussi largement que possible, en particulier pour les juges_x000a_Client : Cour d’appel Berlin_x000a_"/>
    <s v=""/>
    <s v="0"/>
    <s v="Publique "/>
    <s v="Fonctionnel"/>
    <s v="Spécifique au tribunal"/>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108"/>
    <x v="1"/>
    <s v="Structuring and text recognition tool / Strukturierungs und Texterkennungswerkzeug "/>
    <s v="AI"/>
    <n v="2024"/>
    <s v="Allemagne"/>
    <s v="Création d’une infrastructure d’analyse IA, notamment pour le traitement des réclamations de masse et des procédures complexes_x000a_Client : Cour d’appel/Administration du Sénat pour la justice et la protection des consommateurs_x000a_"/>
    <s v=""/>
    <s v="0"/>
    <s v="Publique "/>
    <s v="Version pilote/bêta"/>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08"/>
    <x v="1"/>
    <s v="Structuring and text recognition tool / Strukturierungs und Texterkennungswerkzeug "/>
    <s v="AI"/>
    <n v="2024"/>
    <s v="Allemagne"/>
    <s v="Création d’une infrastructure d’analyse IA, notamment pour le traitement des réclamations de masse et des procédures complexes_x000a_Client : Cour d’appel/Administration du Sénat pour la justice et la protection des consommateurs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08"/>
    <x v="1"/>
    <s v="Structuring and text recognition tool / Strukturierungs und Texterkennungswerkzeug "/>
    <s v="AI"/>
    <n v="2024"/>
    <s v="Allemagne"/>
    <s v="Création d’une infrastructure d’analyse IA, notamment pour le traitement des réclamations de masse et des procédures complexes_x000a_Client : Cour d’appel/Administration du Sénat pour la justice et la protection des consommateurs_x000a_"/>
    <s v=""/>
    <s v="0"/>
    <s v="Publique "/>
    <s v="Version pilote/bêta"/>
    <s v="Spécifique au tribunal"/>
    <s v="Gestion"/>
    <s v="4 - Aide à la décision"/>
    <s v="Ces instruments facilitent ou automatisent entièrement les processus de prise de décision dans les systèmes judiciaires."/>
    <s v="4 - Aide à la décision; 6 - Triage, attribution et automatisation des flux de travail"/>
  </r>
  <r>
    <x v="108"/>
    <x v="1"/>
    <s v="Structuring and text recognition tool / Strukturierungs und Texterkennungswerkzeug "/>
    <s v="AI"/>
    <n v="2024"/>
    <s v="Allemagne"/>
    <s v="Création d’une infrastructure d’analyse IA, notamment pour le traitement des réclamations de masse et des procédures complexes_x000a_Client : Cour d’appel/Administration du Sénat pour la justice et la protection des consommateurs_x000a_"/>
    <s v=""/>
    <s v="0"/>
    <s v="Publique "/>
    <s v="Version pilote/bêta"/>
    <s v="Spécifique au tribunal"/>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09"/>
    <x v="1"/>
    <s v="MAKI - &quot;Mass procedure assistance with the help of AI&quot; / Massenverfahrensassistenz mithilfe von KI"/>
    <s v="AI"/>
    <n v="2024"/>
    <s v="Allemagne"/>
    <s v="Un logiciel est en cours de développement et de test qui regroupe les procédures de masse, reconnaît les similitudes, offre des schémas de décision appropriés et les individualise avec les métadonnées respectives du cas à trancher. Le logiciel est configurable et donc adapté à toute procédure de masse. La fonction « Demander mon document » a également été mise en oeuvre. Divers LML sont utilisés pour élaborer des invites du système et normaliser différents scénarios de demande (i.e. le résumé de l’audience dans les affaires d’asile ou l’élaboration de contradictions dans les déclarations, etc.). Le projet est soutenu scientifiquement par l’Université Georg-August avec une équipe de projet de 7 personnes qui développent actuellement des recommandations juridiques et techniques pour l’utilisation de l’IA pour soutenir le travail judiciaire._x000a_Client : Ministère de la Justice de Basse-Saxe_x000a_"/>
    <s v=""/>
    <s v="0"/>
    <s v="Publique "/>
    <s v="Version pilote/bêta"/>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09"/>
    <x v="1"/>
    <s v="MAKI - &quot;Mass procedure assistance with the help of AI&quot; / Massenverfahrensassistenz mithilfe von KI"/>
    <s v="AI"/>
    <n v="2024"/>
    <s v="Allemagne"/>
    <s v="Un logiciel est en cours de développement et de test qui regroupe les procédures de masse, reconnaît les similitudes, offre des schémas de décision appropriés et les individualise avec les métadonnées respectives du cas à trancher. Le logiciel est configurable et donc adapté à toute procédure de masse. La fonction « Demander mon document » a également été mise en oeuvre. Divers LML sont utilisés pour élaborer des invites du système et normaliser différents scénarios de demande (i.e. le résumé de l’audience dans les affaires d’asile ou l’élaboration de contradictions dans les déclarations, etc.). Le projet est soutenu scientifiquement par l’Université Georg-August avec une équipe de projet de 7 personnes qui développent actuellement des recommandations juridiques et techniques pour l’utilisation de l’IA pour soutenir le travail judiciaire._x000a_Client : Ministère de la Justice de Basse-Saxe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09"/>
    <x v="1"/>
    <s v="MAKI - &quot;Mass procedure assistance with the help of AI&quot; / Massenverfahrensassistenz mithilfe von KI"/>
    <s v="AI"/>
    <n v="2024"/>
    <s v="Allemagne"/>
    <s v="Un logiciel est en cours de développement et de test qui regroupe les procédures de masse, reconnaît les similitudes, offre des schémas de décision appropriés et les individualise avec les métadonnées respectives du cas à trancher. Le logiciel est configurable et donc adapté à toute procédure de masse. La fonction « Demander mon document » a également été mise en oeuvre. Divers LML sont utilisés pour élaborer des invites du système et normaliser différents scénarios de demande (i.e. le résumé de l’audience dans les affaires d’asile ou l’élaboration de contradictions dans les déclarations, etc.). Le projet est soutenu scientifiquement par l’Université Georg-August avec une équipe de projet de 7 personnes qui développent actuellement des recommandations juridiques et techniques pour l’utilisation de l’IA pour soutenir le travail judiciaire._x000a_Client : Ministère de la Justice de Basse-Saxe_x000a_"/>
    <s v=""/>
    <s v="0"/>
    <s v="Publique "/>
    <s v="Version pilote/bêta"/>
    <s v="Spécifique au tribunal"/>
    <s v="Gestion"/>
    <s v="4 - Aide à la décision"/>
    <s v="Ces instruments facilitent ou automatisent entièrement les processus de prise de décision dans les systèmes judiciaires."/>
    <s v="4 - Aide à la décision; 6 - Triage, attribution et automatisation des flux de travail"/>
  </r>
  <r>
    <x v="109"/>
    <x v="1"/>
    <s v="MAKI - &quot;Mass procedure assistance with the help of AI&quot; / Massenverfahrensassistenz mithilfe von KI"/>
    <s v="AI"/>
    <n v="2024"/>
    <s v="Allemagne"/>
    <s v="Un logiciel est en cours de développement et de test qui regroupe les procédures de masse, reconnaît les similitudes, offre des schémas de décision appropriés et les individualise avec les métadonnées respectives du cas à trancher. Le logiciel est configurable et donc adapté à toute procédure de masse. La fonction « Demander mon document » a également été mise en oeuvre. Divers LML sont utilisés pour élaborer des invites du système et normaliser différents scénarios de demande (i.e. le résumé de l’audience dans les affaires d’asile ou l’élaboration de contradictions dans les déclarations, etc.). Le projet est soutenu scientifiquement par l’Université Georg-August avec une équipe de projet de 7 personnes qui développent actuellement des recommandations juridiques et techniques pour l’utilisation de l’IA pour soutenir le travail judiciaire._x000a_Client : Ministère de la Justice de Basse-Saxe_x000a_"/>
    <s v=""/>
    <s v="0"/>
    <s v="Publique "/>
    <s v="Version pilote/bêta"/>
    <s v="Spécifique au tribunal"/>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10"/>
    <x v="1"/>
    <s v="Post Processing/ LeA"/>
    <s v="AI"/>
    <n v="2024"/>
    <s v="Allemagne"/>
    <s v="Développement d’un outil d’anonymisation sans licence pour le système judiciaire avec la possibilité d’une licence individuelle / post-traitement, de la formulation de clés, de la synthèse et du soutien à la création de lignes directrices en utilisant un modèle linguistique étendu. L’ensemble du processus de publication doit être automatisé, y compris l’enregistrement des métadonnées dans l’outil de métadonnées._x000a_Client : Ministère de la Justice de Basse-Saxe_x000a_"/>
    <s v=""/>
    <s v="0"/>
    <s v="Publique "/>
    <s v="Version pilote/bêta"/>
    <s v="Spécifique au tribunal"/>
    <s v="Juges/greffiers"/>
    <s v="5 - Anonymisation et pseudonymisation"/>
    <s v="Ces instruments sont utilisées pour supprimer les informations permettant d'identifier un individu telles que les données personnelles des utilisateurs des tribunaux."/>
    <s v="5 - Anonymisation et pseudonymisation; "/>
  </r>
  <r>
    <x v="110"/>
    <x v="1"/>
    <s v="Post Processing/ LeA"/>
    <s v="AI"/>
    <n v="2024"/>
    <s v="Allemagne"/>
    <s v="Développement d’un outil d’anonymisation sans licence pour le système judiciaire avec la possibilité d’une licence individuelle / post-traitement, de la formulation de clés, de la synthèse et du soutien à la création de lignes directrices en utilisant un modèle linguistique étendu. L’ensemble du processus de publication doit être automatisé, y compris l’enregistrement des métadonnées dans l’outil de métadonnées._x000a_Client : Ministère de la Justice de Basse-Saxe_x000a_"/>
    <s v=""/>
    <s v="0"/>
    <s v="Publique "/>
    <s v="Version pilote/bêta"/>
    <s v="Spécifique au tribunal"/>
    <s v="Gestion"/>
    <s v="5 - Anonymisation et pseudonymisation"/>
    <s v="Ces instruments sont utilisées pour supprimer les informations permettant d'identifier un individu telles que les données personnelles des utilisateurs des tribunaux."/>
    <s v="5 - Anonymisation et pseudonymisation; "/>
  </r>
  <r>
    <x v="111"/>
    <x v="1"/>
    <s v="INFOService Justice "/>
    <s v="AI"/>
    <n v="2024"/>
    <s v="Allemagne"/>
    <s v="Un « INFOService » a été mis en place au tribunal  de Osterholz-Scharmbeck en tant que bureau central à l’échelle de l’État pour répondre aux demandes des citoyens dans le domaine de la juridiction ordinaire, qui peut être contacté par courrier électronique ou par téléphone. Les employés qui y travaillent ont accès à une base de données de connaissances qui permet un accès rapide aux sources de données sous-jacentes (i.e., au moyen de dialogues guidés [semblables aux robots conversationnels])._x000a_Client : Ministère de la Justice de Basse-Saxe_x000a_"/>
    <s v=""/>
    <s v="0"/>
    <s v="Publique "/>
    <s v="Fonctionnel"/>
    <s v="Spécifique au tribu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111"/>
    <x v="1"/>
    <s v="INFOService Justice "/>
    <s v="AI"/>
    <n v="2024"/>
    <s v="Allemagne"/>
    <s v="Un « INFOService » a été mis en place au tribunal  de Osterholz-Scharmbeck en tant que bureau central à l’échelle de l’État pour répondre aux demandes des citoyens dans le domaine de la juridiction ordinaire, qui peut être contacté par courrier électronique ou par téléphone. Les employés qui y travaillent ont accès à une base de données de connaissances qui permet un accès rapide aux sources de données sous-jacentes (i.e., au moyen de dialogues guidés [semblables aux robots conversationnels])._x000a_Client : Ministère de la Justice de Basse-Saxe_x000a_"/>
    <s v=""/>
    <s v="0"/>
    <s v="Publique "/>
    <s v="Fonctionnel"/>
    <s v="Spécifique au tribunal"/>
    <s v="Gestion"/>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112"/>
    <x v="1"/>
    <s v="Automated dispatch to bailiffs (RPA) / Automatisierter Versabd and die Gerichtsvollzieher (RPA)"/>
    <s v="AI"/>
    <n v="2024"/>
    <s v="Allemagne"/>
    <s v="Envoi automatisé des messages électroniques reçus par le tribunal (au centre de distribution des huissiers - GVST) aux huissiers (GV) en raison du nombre sans cesse croissant d’entrées au GVST._x000a_Il est prévu de mettre au point un système algorithmique (logiciel) pour transmettre automatiquement les soumissions électroniques du GVST au GV, qui remplacera la transmission manuelle précédente par les employés. Entre autres choses, cela devrait assurer une réception plus rapide au GV, un gain de temps notable au GVST et une réduction des erreurs d’acheminement manuelles. Le prototype devrait être achevé d’ici la mi-2024._x000a_Client : Ministère de la Justice et de la Démocratie, de l’Europe et de l’Égalité_x000a_"/>
    <s v=""/>
    <s v="0"/>
    <s v="Publique "/>
    <s v="Concept/prévu"/>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12"/>
    <x v="1"/>
    <s v="Automated dispatch to bailiffs (RPA) / Automatisierter Versabd and die Gerichtsvollzieher (RPA)"/>
    <s v="AI"/>
    <n v="2024"/>
    <s v="Allemagne"/>
    <s v="Envoi automatisé des messages électroniques reçus par le tribunal (au centre de distribution des huissiers - GVST) aux huissiers (GV) en raison du nombre sans cesse croissant d’entrées au GVST._x000a_Il est prévu de mettre au point un système algorithmique (logiciel) pour transmettre automatiquement les soumissions électroniques du GVST au GV, qui remplacera la transmission manuelle précédente par les employés. Entre autres choses, cela devrait assurer une réception plus rapide au GV, un gain de temps notable au GVST et une réduction des erreurs d’acheminement manuelles. Le prototype devrait être achevé d’ici la mi-2024._x000a_Client : Ministère de la Justice et de la Démocratie, de l’Europe et de l’Égalité_x000a_"/>
    <s v=""/>
    <s v="0"/>
    <s v="Publique "/>
    <s v="Concept/prévu"/>
    <s v="Spécifique au tribunal"/>
    <s v="Huissiers de justice"/>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6 - Triage, attribution et automatisation des flux de travail; "/>
  </r>
  <r>
    <x v="113"/>
    <x v="1"/>
    <s v="Codefy"/>
    <s v="AI "/>
    <n v="2024"/>
    <s v="Allemagne"/>
    <s v="Meilleure préparation de la masse_x000a_/procédures; approche intuitive à bas seuil._x000a_ Phases du projet : _x000a_Structuration des dossiers. Développement d’un assistant pour l’analyse du contenu des fichiers (actuellement_x000a_assistant d’inspection « Bau»); développement prospectif d’un assistant d’inspection « léger»; éventuellement connexion ultérieure au fichier électronique_x000a_Client : État de Hesse, HMdJ / Centre informatique de la justice de Hesse_x000a_"/>
    <s v=""/>
    <s v="0"/>
    <s v="Publique "/>
    <s v="Version pilote/bêta"/>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13"/>
    <x v="1"/>
    <s v="Codefy"/>
    <s v="AI "/>
    <n v="2024"/>
    <s v="Allemagne"/>
    <s v="Meilleure préparation de la masse_x000a_/procédures; approche intuitive à bas seuil._x000a_ Phases du projet : _x000a_Structuration des dossiers. Développement d’un assistant pour l’analyse du contenu des fichiers (actuellement_x000a_assistant d’inspection « Bau»); développement prospectif d’un assistant d’inspection « léger»; éventuellement connexion ultérieure au fichier électronique_x000a_Client : État de Hesse, HMdJ / Centre informatique de la justice de Hesse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13"/>
    <x v="1"/>
    <s v="Codefy"/>
    <s v="AI "/>
    <n v="2024"/>
    <s v="Allemagne"/>
    <s v="Meilleure préparation de la masse_x000a_/procédures; approche intuitive à bas seuil._x000a_ Phases du projet : _x000a_Structuration des dossiers. Développement d’un assistant pour l’analyse du contenu des fichiers (actuellement_x000a_assistant d’inspection « Bau»); développement prospectif d’un assistant d’inspection « léger»; éventuellement connexion ultérieure au fichier électronique_x000a_Client : État de Hesse, HMdJ / Centre informatique de la justice de Hesse_x000a_"/>
    <s v=""/>
    <s v="0"/>
    <s v="Publique "/>
    <s v="Version pilote/bêta"/>
    <s v="Spécifique au tribunal"/>
    <s v="Gestion"/>
    <s v="4 - Aide à la décision"/>
    <s v="Ces instruments facilitent ou automatisent entièrement les processus de prise de décision dans les systèmes judiciaires."/>
    <s v="4 - Aide à la décision; 6 - Triage, attribution et automatisation des flux de travail"/>
  </r>
  <r>
    <x v="113"/>
    <x v="1"/>
    <s v="Codefy"/>
    <s v="AI "/>
    <n v="2024"/>
    <s v="Allemagne"/>
    <s v="Meilleure préparation de la masse_x000a_/procédures; approche intuitive à bas seuil._x000a_ Phases du projet : _x000a_Structuration des dossiers. Développement d’un assistant pour l’analyse du contenu des fichiers (actuellement_x000a_assistant d’inspection « Bau»); développement prospectif d’un assistant d’inspection « léger»; éventuellement connexion ultérieure au fichier électronique_x000a_Client : État de Hesse, HMdJ / Centre informatique de la justice de Hesse_x000a_"/>
    <s v=""/>
    <s v="0"/>
    <s v="Publique "/>
    <s v="Version pilote/bêta"/>
    <s v="Spécifique au tribunal"/>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14"/>
    <x v="1"/>
    <s v="Use of AI technologies for metadata extraction in the justice system / Einsatz von KI-Technologien zur Metadatenextraktion in der Justiz"/>
    <s v="AI"/>
    <n v="2024"/>
    <s v="Allemagne"/>
    <s v="Transfert de métadonnées pertinentes sur le plan procédural dans les procédures de masse, réduction des activités manuelles dans le traitement des documents externes entrants_x000a_Client : Autorité pour la justice et la protection des consommateurs (BJV), Hambourg_x000a_"/>
    <s v=""/>
    <s v="0"/>
    <s v="Publique "/>
    <s v="Concept/prévu"/>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14"/>
    <x v="1"/>
    <s v="Use of AI technologies for metadata extraction in the justice system / Einsatz von KI-Technologien zur Metadatenextraktion in der Justiz"/>
    <s v="AI"/>
    <n v="2024"/>
    <s v="Allemagne"/>
    <s v="Transfert de métadonnées pertinentes sur le plan procédural dans les procédures de masse, réduction des activités manuelles dans le traitement des documents externes entrants_x000a_Client : Autorité pour la justice et la protection des consommateurs (BJV), Hambourg_x000a_"/>
    <s v=""/>
    <s v="0"/>
    <s v="Publique "/>
    <s v="Concept/prévu"/>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14"/>
    <x v="1"/>
    <s v="Use of AI technologies for metadata extraction in the justice system / Einsatz von KI-Technologien zur Metadatenextraktion in der Justiz"/>
    <s v="AI"/>
    <n v="2024"/>
    <s v="Allemagne"/>
    <s v="Transfert de métadonnées pertinentes sur le plan procédural dans les procédures de masse, réduction des activités manuelles dans le traitement des documents externes entrants_x000a_Client : Autorité pour la justice et la protection des consommateurs (BJV), Hambourg_x000a_"/>
    <s v=""/>
    <s v="0"/>
    <s v="Publique "/>
    <s v="Concept/prévu"/>
    <s v="Spécifique au tribunal"/>
    <s v="Gestion"/>
    <s v="4 - Aide à la décision"/>
    <s v="Ces instruments facilitent ou automatisent entièrement les processus de prise de décision dans les systèmes judiciaires."/>
    <s v="4 - Aide à la décision; 6 - Triage, attribution et automatisation des flux de travail"/>
  </r>
  <r>
    <x v="114"/>
    <x v="1"/>
    <s v="Use of AI technologies for metadata extraction in the justice system / Einsatz von KI-Technologien zur Metadatenextraktion in der Justiz"/>
    <s v="AI"/>
    <n v="2024"/>
    <s v="Allemagne"/>
    <s v="Transfert de métadonnées pertinentes sur le plan procédural dans les procédures de masse, réduction des activités manuelles dans le traitement des documents externes entrants_x000a_Client : Autorité pour la justice et la protection des consommateurs (BJV), Hambourg_x000a_"/>
    <s v=""/>
    <s v="0"/>
    <s v="Publique "/>
    <s v="Concept/prévu"/>
    <s v="Spécifique au tribunal"/>
    <s v="Gestion"/>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15"/>
    <x v="1"/>
    <s v="Chatbot for the legal application service / Chatbot für den Rechtsantragsdienst"/>
    <s v="AI "/>
    <n v="2024"/>
    <s v="Allemagne"/>
    <s v="Développement et test d’un chatbot pour des cas d’utilisation définis dans le service d’enregistrement juridique_x000a_Client : BMJV / Joint IT du Tribunal régional supérieur hanséatique et des tribunaux de proximité de Hambourg_x000a_"/>
    <s v=""/>
    <s v="0"/>
    <s v="Publique "/>
    <s v="Concept/prévu"/>
    <s v="Spécifique au tribu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
  </r>
  <r>
    <x v="116"/>
    <x v="1"/>
    <s v="Anonymization of judgments / Einsatz von KI-Technologien zur anonymisierung von Urteilen"/>
    <s v="AI "/>
    <n v="2024"/>
    <s v="Allemagne"/>
    <s v="Utilisation de technologies d’IA pour anonymiser les jugements_x000a_Client:  Autorité de justice et de protection des consommateurs, Hambourg_x000a_"/>
    <s v=""/>
    <s v="0"/>
    <s v="Publique "/>
    <s v="Concept/prévu"/>
    <s v="Spécifique au tribunal"/>
    <s v="Juges/greffiers"/>
    <s v="5 - Anonymisation et pseudonymisation"/>
    <s v="Ces instruments sont utilisées pour supprimer les informations permettant d'identifier un individu telles que les données personnelles des utilisateurs des tribunaux."/>
    <s v="5 - Anonymisation et pseudonymisation; "/>
  </r>
  <r>
    <x v="116"/>
    <x v="1"/>
    <s v="Anonymization of judgments / Einsatz von KI-Technologien zur anonymisierung von Urteilen"/>
    <s v="AI "/>
    <n v="2024"/>
    <s v="Allemagne"/>
    <s v="Utilisation de technologies d’IA pour anonymiser les jugements_x000a_Client:  Autorité de justice et de protection des consommateurs, Hambourg_x000a_"/>
    <s v=""/>
    <s v="0"/>
    <s v="Publique "/>
    <s v="Concept/prévu"/>
    <s v="Spécifique au tribunal"/>
    <s v="Gestion"/>
    <s v="5 - Anonymisation et pseudonymisation"/>
    <s v="Ces instruments sont utilisées pour supprimer les informations permettant d'identifier un individu telles que les données personnelles des utilisateurs des tribunaux."/>
    <s v="5 - Anonymisation et pseudonymisation; "/>
  </r>
  <r>
    <x v="117"/>
    <x v="1"/>
    <s v="Assistant judge for Social Courts / Richterassistenz and Sonzialgerichten"/>
    <s v="AI "/>
    <n v="2024"/>
    <s v="Allemagne"/>
    <s v="Utilisation des technologies de l’IA pour une gestion plus efficace des procédures de masse au tribunal social (notamment pour faciliter l’organisation des documents, mais aussi pour l’examen des cas et les projets de jugement)_x000a_Client :  Autorité de justice et de protection des consommateurs_x000a_"/>
    <s v=""/>
    <s v="0"/>
    <s v="Publique "/>
    <s v="Version pilote/bêta"/>
    <s v="Spécifique au tribunal"/>
    <s v="Juges/greffiers"/>
    <s v="4 - Aide à la décision"/>
    <s v="Ces instruments facilitent ou automatisent entièrement les processus de prise de décision dans les systèmes judiciaires."/>
    <s v="4 - Aide à la décision; 6 - Triage, attribution et automatisation des flux de travail"/>
  </r>
  <r>
    <x v="117"/>
    <x v="1"/>
    <s v="Assistant judge for Social Courts / Richterassistenz and Sonzialgerichten"/>
    <s v="AI "/>
    <n v="2024"/>
    <s v="Allemagne"/>
    <s v="Utilisation des technologies de l’IA pour une gestion plus efficace des procédures de masse au tribunal social (notamment pour faciliter l’organisation des documents, mais aussi pour l’examen des cas et les projets de jugement)_x000a_Client :  Autorité de justice et de protection des consommateurs_x000a_"/>
    <s v=""/>
    <s v="0"/>
    <s v="Publique "/>
    <s v="Version pilote/bêta"/>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4 - Aide à la décision; 6 - Triage, attribution et automatisation des flux de travail"/>
  </r>
  <r>
    <x v="118"/>
    <x v="1"/>
    <s v="ASTRA (analysis and structuring of extensive work) / Analyse und Strukturierung umfangreicher Akten"/>
    <s v="AI "/>
    <n v="2024"/>
    <s v="Allemagne"/>
    <s v="Aider les juges à gérer des dossiers civils volumineux à l’aide d’outils de structuration manuels et semi-automatiques_x000a__x000a_Client :  Ministère de la Justice et de la Migration BW_x000a_"/>
    <s v=""/>
    <s v="0"/>
    <s v="Publique "/>
    <s v="Version pilote/bêta"/>
    <s v="Spécifique au tribu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
  </r>
  <r>
    <x v="119"/>
    <x v="1"/>
    <s v="JANO (Judicial anonymisation) / Justiz-Anonymisierung"/>
    <s v="AI "/>
    <n v="2024"/>
    <s v="Allemagne"/>
    <s v="Aider les membres de la justice à anonymiser les jugements et les décisions par la reconnaissance semi-automatique et le remplacement des données à caractère personnel_x000a_Client :  Ministère de la Justice et de la Migration BW_x000a_"/>
    <s v=""/>
    <s v="0"/>
    <s v="Publique "/>
    <s v="Concept/prévu"/>
    <s v="Spécifique au tribunal"/>
    <s v="Juges/greffiers"/>
    <s v="5 - Anonymisation et pseudonymisation"/>
    <s v="Ces instruments sont utilisées pour supprimer les informations permettant d'identifier un individu telles que les données personnelles des utilisateurs des tribunaux."/>
    <s v="5 - Anonymisation et pseudonymisation; "/>
  </r>
  <r>
    <x v="120"/>
    <x v="1"/>
    <s v="Machine Translation / Maschinelle Übersetzung"/>
    <s v="AI "/>
    <n v="2024"/>
    <s v="Allemagne"/>
    <s v="Outil de traduction pour les professionnels de la justice répondant aux exigences de confidentialité et de sécurité de l’information_x000a_Client : Ministère de la Justice et de la Migration BW_x000a_"/>
    <s v=""/>
    <s v="0"/>
    <s v="Publique "/>
    <s v="Fonctionnel"/>
    <s v="Spécifique au tribunal"/>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121"/>
    <x v="1"/>
    <s v="Codefy - Apeal decisions with focus Construction and Insurance/ Berufungsakten mit Fokus auf Bau und Versicherungen"/>
    <s v="AI"/>
    <n v="2024"/>
    <s v="Allemagne"/>
    <s v="Assistance aux juges pour la pénétration d’actes d’appel volumineux par des outils de structuration simples et semi-automatiques ainsi qu’une base de données de décisions_x000a_Client :  Ministère de la Justice, de Mayence et de l’Oberlandesgericht de Coblence_x000a_"/>
    <s v=""/>
    <s v="0"/>
    <s v="Publique "/>
    <s v="Version pilote/bêta"/>
    <s v="Spécifique au tribunal"/>
    <s v="Juges/greffiers"/>
    <s v="1 - Recherche documentaire"/>
    <s v="Ces instruments créent un ensemble consultable regroupant des descriptions de cas, des textes juridiques et d’autres informations à partager avec des experts juridiques pour une analyse plus approfondie et une découverte à grande échelle basée sur une grande quantité de documents électroniques."/>
    <s v="1 - Recherche documentaire; 4 - Aide à la décision"/>
  </r>
  <r>
    <x v="121"/>
    <x v="1"/>
    <s v="Codefy - Apeal decisions with focus Construction and Insurance/ Berufungsakten mit Fokus auf Bau und Versicherungen"/>
    <s v="AI"/>
    <n v="2024"/>
    <s v="Allemagne"/>
    <s v="Assistance aux juges pour la pénétration d’actes d’appel volumineux par des outils de structuration simples et semi-automatiques ainsi qu’une base de données de décisions_x000a_Client :  Ministère de la Justice, de Mayence et de l’Oberlandesgericht de Coblence_x000a_"/>
    <s v=""/>
    <s v="0"/>
    <s v="Publique "/>
    <s v="Version pilote/bêta"/>
    <s v="Spécifique au tribunal"/>
    <s v="Juges/greffiers"/>
    <s v="4 - Aide à la décision"/>
    <s v="Ces instruments facilitent ou automatisent entièrement les processus de prise de décision dans les systèmes judiciaires."/>
    <s v="1 - Recherche documentaire; 4 - Aide à la décision"/>
  </r>
  <r>
    <x v="122"/>
    <x v="1"/>
    <s v="E-Manual"/>
    <s v="AI "/>
    <n v="2024"/>
    <s v="Allemagne"/>
    <s v="Assistance de tous les utilisateurs d’eAkte grâce à un bot de chat qui génère des réponses à des questions spécifiques des utilisateurs (manuel d’utilisation interactif basé sur l’IA)._x000a_Client:  Ministère de la Justice, Mayence"/>
    <s v=""/>
    <s v="0"/>
    <s v="Publique "/>
    <s v="Concept/prévu"/>
    <s v="Spécifique au tribu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6 - Triage, attribution et automatisation des flux de travail"/>
  </r>
  <r>
    <x v="122"/>
    <x v="1"/>
    <s v="E-Manual"/>
    <s v="AI "/>
    <n v="2024"/>
    <s v="Allemagne"/>
    <s v="Assistance de tous les utilisateurs d’eAkte grâce à un bot de chat qui génère des réponses à des questions spécifiques des utilisateurs (manuel d’utilisation interactif basé sur l’IA)._x000a_Client:  Ministère de la Justice, Mayence"/>
    <s v=""/>
    <s v="0"/>
    <s v="Publique "/>
    <s v="Concept/prévu"/>
    <s v="Spécifique au tribunal"/>
    <s v="Juges/greffier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8 - Services d'information/assistance; 6 - Triage, attribution et automatisation des flux de travail"/>
  </r>
  <r>
    <x v="122"/>
    <x v="1"/>
    <s v="E-Manual"/>
    <s v="AI "/>
    <n v="2024"/>
    <s v="Allemagne"/>
    <s v="Assistance de tous les utilisateurs d’eAkte grâce à un bot de chat qui génère des réponses à des questions spécifiques des utilisateurs (manuel d’utilisation interactif basé sur l’IA)._x000a_Client:  Ministère de la Justice, Mayence"/>
    <s v=""/>
    <s v="0"/>
    <s v="Publique "/>
    <s v="Concept/prévu"/>
    <s v="Spécifique au tribu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6 - Triage, attribution et automatisation des flux de travail"/>
  </r>
  <r>
    <x v="122"/>
    <x v="1"/>
    <s v="E-Manual"/>
    <s v="AI "/>
    <n v="2024"/>
    <s v="Allemagne"/>
    <s v="Assistance de tous les utilisateurs d’eAkte grâce à un bot de chat qui génère des réponses à des questions spécifiques des utilisateurs (manuel d’utilisation interactif basé sur l’IA)._x000a_Client:  Ministère de la Justice, Mayence"/>
    <s v=""/>
    <s v="0"/>
    <s v="Publique "/>
    <s v="Concept/prévu"/>
    <s v="Spécifique au tribunal"/>
    <s v="Usagers des tribunaux (Grand public)"/>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8 - Services d'information/assistance; 6 - Triage, attribution et automatisation des flux de travail"/>
  </r>
  <r>
    <x v="122"/>
    <x v="1"/>
    <s v="E-Manual"/>
    <s v="AI "/>
    <n v="2024"/>
    <s v="Allemagne"/>
    <s v="Assistance de tous les utilisateurs d’eAkte grâce à un bot de chat qui génère des réponses à des questions spécifiques des utilisateurs (manuel d’utilisation interactif basé sur l’IA)._x000a_Client:  Ministère de la Justice, Mayence"/>
    <s v=""/>
    <s v="0"/>
    <s v="Publique "/>
    <s v="Concept/prévu"/>
    <s v="Spécifique au tribu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6 - Triage, attribution et automatisation des flux de travail"/>
  </r>
  <r>
    <x v="122"/>
    <x v="1"/>
    <s v="E-Manual"/>
    <s v="AI "/>
    <n v="2024"/>
    <s v="Allemagne"/>
    <s v="Assistance de tous les utilisateurs d’eAkte grâce à un bot de chat qui génère des réponses à des questions spécifiques des utilisateurs (manuel d’utilisation interactif basé sur l’IA)._x000a_Client:  Ministère de la Justice, Mayence"/>
    <s v=""/>
    <s v="0"/>
    <s v="Publique "/>
    <s v="Concept/prévu"/>
    <s v="Spécifique au tribunal"/>
    <s v="Avocats"/>
    <s v="6 - Triage, attribution et automatisation des flux de travail"/>
    <s v="Ces instruments sont utilisés pour mener à bien certaines tâches et activités dans le système de gestion des dossiers, tout au long des procédures, afin de réduire la nécessité d’une intervention humaine. Par exemple : l’enregistrement et l’attribution des affaires judiciaires ou la priorisation de certaines tâches, ou de certaines personnes dans la réalisation de tâches déterminées, afin de déterminer l'ordre le plus efficace pour les traiter."/>
    <s v="8 - Services d'information/assistance; 6 - Triage, attribution et automatisation des flux de travail"/>
  </r>
  <r>
    <x v="123"/>
    <x v="1"/>
    <s v="AI decision maker assistant with a focus on civil law /KI-Entscheider/innen-Assitenz mit Fokus auf den Zivilbereich"/>
    <s v="AI"/>
    <n v="2024"/>
    <s v="Allemagne"/>
    <s v="Objectif du projet:_x000a_Soutien du secteur judiciaire par un assistant électronique pour les décideurs/élues, qui peut être interrogé sur le dossier électronique et doit résumer le contenu du dossier. Le projet se concentre sur le domaine des affaires civiles._x000a_Les objectifs sont, entre autres, la conception automatisée d’un tableau de relations ou similaire (séparation des faits litigieux et incontestés) ainsi qu’un test de recherche._x000a_Client :  Ministère de la Justice, Mayence_x000a_"/>
    <s v=""/>
    <s v="0"/>
    <s v="Publique "/>
    <s v="Concept/prévu"/>
    <s v="Spécifique au tribunal"/>
    <s v="Juges/greffiers"/>
    <s v="4 - Aide à la décision"/>
    <s v="Ces instruments facilitent ou automatisent entièrement les processus de prise de décision dans les systèmes judiciaires."/>
    <s v="4 - Aide à la décision; "/>
  </r>
  <r>
    <x v="124"/>
    <x v="1"/>
    <s v="Predictive Jurisprudence (Genoca, Pisa)"/>
    <s v="non-AI"/>
    <n v="2019"/>
    <s v="Italie"/>
    <s v="L'initiative du tribunal de deuxième instance de Gênes fait partie du projet Predictive Justice de l'école supérieure Sant'Anna de Pise. Son objectif est la reconnaissance des orientations jurisprudentielles, qui peuvent fournir aux juges des données synthétiques et analytiques pour évaluer le bien-fondé de leurs décisions. Il a été appliqué aux procédures de divorce, à l'indemnisation des dommages non pécuniaires et à l'indemnisation des dommages causés par le stress et le harcèlement moral au travail."/>
    <s v=""/>
    <s v="https://www.santannapisa.it/it/news/locchio-della-tecnologia-sulla-giustizia-di-genova-unintelligenza-artificiale-potra-prevedere "/>
    <s v="Recherche/Universitaire"/>
    <s v="Fonctionnel"/>
    <s v="Check"/>
    <s v="Juges/greffiers"/>
    <s v="3 - Prévision des résultats des litiges"/>
    <s v="Ces instruments apprennent à partir de grands ensembles de données pour créer des modèles qui sont ensuite utilisés pour visualiser, simuler ou prédire de nouveaux résultats de litiges."/>
    <s v="3 - Prévision des résultats des litiges; 4 - Aide à la décision"/>
  </r>
  <r>
    <x v="124"/>
    <x v="1"/>
    <s v="Predictive Jurisprudence (Genoca, Pisa)"/>
    <s v="non-AI"/>
    <n v="2019"/>
    <s v="Italie"/>
    <s v="L'initiative du tribunal de deuxième instance de Gênes fait partie du projet Predictive Justice de l'école supérieure Sant'Anna de Pise. Son objectif est la reconnaissance des orientations jurisprudentielles, qui peuvent fournir aux juges des données synthétiques et analytiques pour évaluer le bien-fondé de leurs décisions. Il a été appliqué aux procédures de divorce, à l'indemnisation des dommages non pécuniaires et à l'indemnisation des dommages causés par le stress et le harcèlement moral au travail."/>
    <s v=""/>
    <s v="https://www.santannapisa.it/it/news/locchio-della-tecnologia-sulla-giustizia-di-genova-unintelligenza-artificiale-potra-prevedere "/>
    <s v="Recherche/Universitaire"/>
    <s v="Fonctionnel"/>
    <s v="Check"/>
    <s v="Juges/greffiers"/>
    <s v="4 - Aide à la décision"/>
    <s v="Ces instruments facilitent ou automatisent entièrement les processus de prise de décision dans les systèmes judiciaires."/>
    <s v="3 - Prévision des résultats des litiges; 4 - Aide à la décision"/>
  </r>
  <r>
    <x v="124"/>
    <x v="1"/>
    <s v="Predictive Jurisprudence (Genoca, Pisa)"/>
    <s v="non-AI"/>
    <n v="2019"/>
    <s v="Italie"/>
    <s v="L'initiative du tribunal de deuxième instance de Gênes fait partie du projet Predictive Justice de l'école supérieure Sant'Anna de Pise. Son objectif est la reconnaissance des orientations jurisprudentielles, qui peuvent fournir aux juges des données synthétiques et analytiques pour évaluer le bien-fondé de leurs décisions. Il a été appliqué aux procédures de divorce, à l'indemnisation des dommages non pécuniaires et à l'indemnisation des dommages causés par le stress et le harcèlement moral au travail."/>
    <s v=""/>
    <s v="https://www.santannapisa.it/it/news/locchio-della-tecnologia-sulla-giustizia-di-genova-unintelligenza-artificiale-potra-prevedere "/>
    <s v="Recherche/Universitaire"/>
    <s v="Fonctionnel"/>
    <s v="Check"/>
    <s v="Usagers des tribunaux (Grand public)"/>
    <s v="3 - Prévision des résultats des litiges"/>
    <s v="Ces instruments apprennent à partir de grands ensembles de données pour créer des modèles qui sont ensuite utilisés pour visualiser, simuler ou prédire de nouveaux résultats de litiges."/>
    <s v="3 - Prévision des résultats des litiges; 4 - Aide à la décision"/>
  </r>
  <r>
    <x v="124"/>
    <x v="1"/>
    <s v="Predictive Jurisprudence (Genoca, Pisa)"/>
    <s v="non-AI"/>
    <n v="2019"/>
    <s v="Italie"/>
    <s v="L'initiative du tribunal de deuxième instance de Gênes fait partie du projet Predictive Justice de l'école supérieure Sant'Anna de Pise. Son objectif est la reconnaissance des orientations jurisprudentielles, qui peuvent fournir aux juges des données synthétiques et analytiques pour évaluer le bien-fondé de leurs décisions. Il a été appliqué aux procédures de divorce, à l'indemnisation des dommages non pécuniaires et à l'indemnisation des dommages causés par le stress et le harcèlement moral au travail."/>
    <s v=""/>
    <s v="https://www.santannapisa.it/it/news/locchio-della-tecnologia-sulla-giustizia-di-genova-unintelligenza-artificiale-potra-prevedere "/>
    <s v="Recherche/Universitaire"/>
    <s v="Fonctionnel"/>
    <s v="Check"/>
    <s v="Usagers des tribunaux (Grand public)"/>
    <s v="4 - Aide à la décision"/>
    <s v="Ces instruments facilitent ou automatisent entièrement les processus de prise de décision dans les systèmes judiciaires."/>
    <s v="3 - Prévision des résultats des litiges; 4 - Aide à la décision"/>
  </r>
  <r>
    <x v="125"/>
    <x v="1"/>
    <s v="TIPKO / Speech to text "/>
    <s v="AI"/>
    <n v="2023"/>
    <s v="Slovénie"/>
    <s v="Le système transforme directement les enregistrements audio en texte, sur la base de l'apprentissage automatique et de l'ontologie de la langue slovène."/>
    <s v=""/>
    <s v="0"/>
    <s v="Publique "/>
    <s v="Fonctionnel"/>
    <s v="Check"/>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125"/>
    <x v="1"/>
    <s v="TIPKO / Speech to text "/>
    <s v="AI"/>
    <n v="2023"/>
    <s v="Slovénie"/>
    <s v="Le système transforme directement les enregistrements audio en texte, sur la base de l'apprentissage automatique et de l'ontologie de la langue slovène."/>
    <s v=""/>
    <s v="0"/>
    <s v="Publique "/>
    <s v="Fonctionnel"/>
    <s v="Check"/>
    <s v="Usagers des tribunaux (Grand public)"/>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
  </r>
  <r>
    <x v="126"/>
    <x v="1"/>
    <s v="The 206 system"/>
    <s v="AI"/>
    <n v="2018"/>
    <s v="Chine"/>
    <s v="Le système peut accepter des commandes verbales pour afficher des informations pertinentes sur des écrans numériques. Il est également capable de transcrire la parole tout au long des audiences et d'identifier les intervenants en fonction de leur rôle : juges, procureurs, accusés et autres. Il peut aider le juge à établir les faits et à identifier les preuves."/>
    <s v=""/>
    <s v="https://www.sixthtone.com/news/1003496/shanghai-court-adopts-new-ai-assistant "/>
    <s v="Publique "/>
    <s v="Fonctionnel"/>
    <s v="Spécifique au tribunal"/>
    <s v="Juges/greffiers"/>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4 - Aide à la décision"/>
  </r>
  <r>
    <x v="126"/>
    <x v="1"/>
    <s v="The 206 system"/>
    <s v="AI"/>
    <n v="2018"/>
    <s v="Chine"/>
    <s v="Le système peut accepter des commandes verbales pour afficher des informations pertinentes sur des écrans numériques. Il est également capable de transcrire la parole tout au long des audiences et d'identifier les intervenants en fonction de leur rôle : juges, procureurs, accusés et autres. Il peut aider le juge à établir les faits et à identifier les preuves."/>
    <s v=""/>
    <s v="https://www.sixthtone.com/news/1003496/shanghai-court-adopts-new-ai-assistant "/>
    <s v="Publique "/>
    <s v="Fonctionnel"/>
    <s v="Spécifique au tribunal"/>
    <s v="Juges/greffiers"/>
    <s v="4 - Aide à la décision"/>
    <s v="Ces instruments facilitent ou automatisent entièrement les processus de prise de décision dans les systèmes judiciaires."/>
    <s v="7 - Enregistrement, transcription et traduction; 4 - Aide à la décision"/>
  </r>
  <r>
    <x v="126"/>
    <x v="1"/>
    <s v="The 206 system"/>
    <s v="AI"/>
    <n v="2018"/>
    <s v="Chine"/>
    <s v="Le système peut accepter des commandes verbales pour afficher des informations pertinentes sur des écrans numériques. Il est également capable de transcrire la parole tout au long des audiences et d'identifier les intervenants en fonction de leur rôle : juges, procureurs, accusés et autres. Il peut aider le juge à établir les faits et à identifier les preuves."/>
    <s v=""/>
    <s v="https://www.sixthtone.com/news/1003496/shanghai-court-adopts-new-ai-assistant "/>
    <s v="Publique "/>
    <s v="Fonctionnel"/>
    <s v="Spécifique au tribunal"/>
    <s v="Gestion"/>
    <s v="7 - Enregistrement, transcription et traduction"/>
    <s v="Ces instruments sont capables de reconnaître et d'analyser la parole, le texte écrit et de communiquer en retour. Leur principale utilisation pour les tribunaux est la reconnaissance de la parole et la transcription des procédures judiciaires."/>
    <s v="7 - Enregistrement, transcription et traduction; 4 - Aide à la décision"/>
  </r>
  <r>
    <x v="126"/>
    <x v="1"/>
    <s v="The 206 system"/>
    <s v="AI"/>
    <n v="2018"/>
    <s v="Chine"/>
    <s v="Le système peut accepter des commandes verbales pour afficher des informations pertinentes sur des écrans numériques. Il est également capable de transcrire la parole tout au long des audiences et d'identifier les intervenants en fonction de leur rôle : juges, procureurs, accusés et autres. Il peut aider le juge à établir les faits et à identifier les preuves."/>
    <s v=""/>
    <s v="https://www.sixthtone.com/news/1003496/shanghai-court-adopts-new-ai-assistant "/>
    <s v="Publique "/>
    <s v="Fonctionnel"/>
    <s v="Spécifique au tribunal"/>
    <s v="Gestion"/>
    <s v="4 - Aide à la décision"/>
    <s v="Ces instruments facilitent ou automatisent entièrement les processus de prise de décision dans les systèmes judiciaires."/>
    <s v="7 - Enregistrement, transcription et traduction; 4 - Aide à la décision"/>
  </r>
  <r>
    <x v="127"/>
    <x v="1"/>
    <s v="AI-assisted sentencing"/>
    <s v="AI"/>
    <n v="2019"/>
    <s v="Chine"/>
    <s v="La Haute cour de Hainan a mis en place un système de standardiser des peines. Elle utilise des technologies de big data et d'IA, telles que le traitement du langage naturel, les graphes de connaissances et l'apprentissage profond, pour sélectionner automatiquement les faits clés d'une affaire et formuler un jugement écrit, après une analyse des données basée sur les décisions d'affaires précédentes."/>
    <s v=""/>
    <s v="https://www.chinadaily.com.cn/cndy/2019-04/18/content_37459601.htm"/>
    <s v="Publique "/>
    <s v="Fonctionnel"/>
    <s v="Spécifique au tribunal"/>
    <s v="Juges/greffiers"/>
    <s v="4 - Aide à la décision"/>
    <s v="Ces instruments facilitent ou automatisent entièrement les processus de prise de décision dans les systèmes judiciaires."/>
    <s v="4 - Aide à la décision; 3 - Prévision des résultats des litiges"/>
  </r>
  <r>
    <x v="127"/>
    <x v="1"/>
    <s v="AI-assisted sentencing"/>
    <s v="AI"/>
    <n v="2019"/>
    <s v="Chine"/>
    <s v="La Haute cour de Hainan a mis en place un système de standardiser des peines. Elle utilise des technologies de big data et d'IA, telles que le traitement du langage naturel, les graphes de connaissances et l'apprentissage profond, pour sélectionner automatiquement les faits clés d'une affaire et formuler un jugement écrit, après une analyse des données basée sur les décisions d'affaires précédentes."/>
    <s v=""/>
    <s v="https://www.chinadaily.com.cn/cndy/2019-04/18/content_37459601.htm"/>
    <s v="Publique "/>
    <s v="Fonctionnel"/>
    <s v="Spécifique au tribunal"/>
    <s v="Juges/greffiers"/>
    <s v="3 - Prévision des résultats des litiges"/>
    <s v="Ces instruments apprennent à partir de grands ensembles de données pour créer des modèles qui sont ensuite utilisés pour visualiser, simuler ou prédire de nouveaux résultats de litiges."/>
    <s v="4 - Aide à la décision; 3 - Prévision des résultats des litiges"/>
  </r>
  <r>
    <x v="128"/>
    <x v="1"/>
    <s v="Mobile MiniCourt "/>
    <s v="non-AI"/>
    <n v="2021"/>
    <s v="Chine"/>
    <s v="La MiniCour mobile est une applet WeChat (le plus grand média social chinois) permettant aux parties résidant à l'étranger d'intenter une action en justice devant un tribunal chinois sur Internet, en effectuant les opérations pertinentes sur la plateforme mobile en ligne avec un appareil mobile. La plateforme a une conception modulaire, comprenant actuellement : le dépôt d'une affaire, la signification, l'échange de preuves, la médiation, l'audience et l'exécution. Elle introduit des technologies telles que la reconnaissance faciale, les signatures électroniques et l'interaction audio et vidéo en temps réel à accès multiple."/>
    <s v=""/>
    <s v="https://www.chinajusticeobserver.com/a/chinese-courts-on-smart-phones"/>
    <s v="Publique "/>
    <s v="Fonctionnel"/>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
  </r>
  <r>
    <x v="128"/>
    <x v="1"/>
    <s v="Mobile MiniCourt "/>
    <s v="non-AI"/>
    <n v="2021"/>
    <s v="Chine"/>
    <s v="La MiniCour mobile est une applet WeChat (le plus grand média social chinois) permettant aux parties résidant à l'étranger d'intenter une action en justice devant un tribunal chinois sur Internet, en effectuant les opérations pertinentes sur la plateforme mobile en ligne avec un appareil mobile. La plateforme a une conception modulaire, comprenant actuellement : le dépôt d'une affaire, la signification, l'échange de preuves, la médiation, l'audience et l'exécution. Elle introduit des technologies telles que la reconnaissance faciale, les signatures électroniques et l'interaction audio et vidéo en temps réel à accès multiple."/>
    <s v=""/>
    <s v="https://www.chinajusticeobserver.com/a/chinese-courts-on-smart-phones"/>
    <s v="Publique "/>
    <s v="Fonctionnel"/>
    <s v="Check"/>
    <s v="Gestion"/>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
  </r>
  <r>
    <x v="129"/>
    <x v="1"/>
    <s v="The Hangzhou Internet Court "/>
    <s v="AI"/>
    <n v="2017"/>
    <s v="Chine"/>
    <s v="Le tribunal utilise les nouvelles technologies telles que la blockchain dans le règlement en ligne des litiges civils et administratifs. À la mi-2022, il avait apparemment conclu plus de 80 000 affaires."/>
    <s v=""/>
    <s v="http://www.ezhejiang.gov.cn/2022-08/23/c_804705.htm "/>
    <s v="Publique "/>
    <s v="Fonctionnel"/>
    <s v="Check"/>
    <s v="Usagers des tribunaux (Grand public)"/>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
  </r>
  <r>
    <x v="129"/>
    <x v="1"/>
    <s v="The Hangzhou Internet Court "/>
    <s v="AI"/>
    <n v="2017"/>
    <s v="Chine"/>
    <s v="Le tribunal utilise les nouvelles technologies telles que la blockchain dans le règlement en ligne des litiges civils et administratifs. À la mi-2022, il avait apparemment conclu plus de 80 000 affaires."/>
    <s v=""/>
    <s v="http://www.ezhejiang.gov.cn/2022-08/23/c_804705.htm "/>
    <s v="Publique "/>
    <s v="Fonctionnel"/>
    <s v="Check"/>
    <s v="Gestion"/>
    <s v="2 - Résolution automatisée des litiges"/>
    <s v="Ces instruments couvrent les technologies utilisées pour la résolution des litiges entre les parties, avec une intervention humaine limitée, ce qui peut être réalisé par l’intermédiaire de matériel informatique et/ou de logiciel."/>
    <s v="2 - Résolution automatisée des litiges; "/>
  </r>
  <r>
    <x v="130"/>
    <x v="1"/>
    <s v="ClaudeAI: Claude (by Anthropic) – Conversational AI tools, chatbots, etc."/>
    <s v="AI"/>
    <n v="2023"/>
    <s v="Etats-Unis"/>
    <s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laude.ai/"/>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0"/>
    <x v="1"/>
    <s v="ClaudeAI: Claude (by Anthropic) – Conversational AI tools, chatbots, etc."/>
    <s v="AI"/>
    <n v="2023"/>
    <s v="Etats-Unis"/>
    <s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laude.ai/"/>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0"/>
    <x v="1"/>
    <s v="ClaudeAI: Claude (by Anthropic) – Conversational AI tools, chatbots, etc."/>
    <s v="AI"/>
    <n v="2023"/>
    <s v="Etats-Unis"/>
    <s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laude.ai/"/>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0"/>
    <x v="1"/>
    <s v="ClaudeAI: Claude (by Anthropic) – Conversational AI tools, chatbots, etc."/>
    <s v="AI"/>
    <n v="2023"/>
    <s v="Etats-Unis"/>
    <s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laude.ai/"/>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0"/>
    <x v="1"/>
    <s v="ClaudeAI: Claude (by Anthropic) – Conversational AI tools, chatbots, etc."/>
    <s v="AI"/>
    <n v="2023"/>
    <s v="Etats-Unis"/>
    <s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laude.ai/"/>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0"/>
    <x v="1"/>
    <s v="ClaudeAI: Claude (by Anthropic) – Conversational AI tools, chatbots, etc."/>
    <s v="AI"/>
    <n v="2023"/>
    <s v="Etats-Unis"/>
    <s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laude.ai/"/>
    <s v="Check"/>
    <s v="Fonctionnel"/>
    <s v="International"/>
    <s v="Avocats"/>
    <s v="4 - Aide à la décision"/>
    <s v="Ces instruments facilitent ou automatisent entièrement les processus de prise de décision dans les systèmes judiciaires."/>
    <s v="8 - Services d'information/assistance; 4 - Aide à la décision"/>
  </r>
  <r>
    <x v="131"/>
    <x v="1"/>
    <s v="Google Gemini: Google Gemini (by DeepMind) – previously Google Bard (now renamed to Gemini), search-related AI tools"/>
    <s v="AI"/>
    <n v="2023"/>
    <s v="Etats-Unis"/>
    <s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gemini.google.com/"/>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1"/>
    <x v="1"/>
    <s v="Google Gemini: Google Gemini (by DeepMind) – previously Google Bard (now renamed to Gemini), search-related AI tools"/>
    <s v="AI"/>
    <n v="2023"/>
    <s v="Etats-Unis"/>
    <s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gemini.google.com/"/>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1"/>
    <x v="1"/>
    <s v="Google Gemini: Google Gemini (by DeepMind) – previously Google Bard (now renamed to Gemini), search-related AI tools"/>
    <s v="AI"/>
    <n v="2023"/>
    <s v="Etats-Unis"/>
    <s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gemini.google.com/"/>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1"/>
    <x v="1"/>
    <s v="Google Gemini: Google Gemini (by DeepMind) – previously Google Bard (now renamed to Gemini), search-related AI tools"/>
    <s v="AI"/>
    <n v="2023"/>
    <s v="Etats-Unis"/>
    <s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gemini.google.com/"/>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1"/>
    <x v="1"/>
    <s v="Google Gemini: Google Gemini (by DeepMind) – previously Google Bard (now renamed to Gemini), search-related AI tools"/>
    <s v="AI"/>
    <n v="2023"/>
    <s v="Etats-Unis"/>
    <s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gemini.google.com/"/>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1"/>
    <x v="1"/>
    <s v="Google Gemini: Google Gemini (by DeepMind) – previously Google Bard (now renamed to Gemini), search-related AI tools"/>
    <s v="AI"/>
    <n v="2023"/>
    <s v="Etats-Unis"/>
    <s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gemini.google.com/"/>
    <s v="Check"/>
    <s v="Fonctionnel"/>
    <s v="International"/>
    <s v="Avocats"/>
    <s v="4 - Aide à la décision"/>
    <s v="Ces instruments facilitent ou automatisent entièrement les processus de prise de décision dans les systèmes judiciaires."/>
    <s v="8 - Services d'information/assistance; 4 - Aide à la décision"/>
  </r>
  <r>
    <x v="132"/>
    <x v="1"/>
    <s v="Microsoft Copilot: GPT (or other LLMs) – Copilot in Office apps (Word, Excel, etc.)"/>
    <s v="AI"/>
    <n v="2023"/>
    <s v="Etats-Unis"/>
    <s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opilot.cloud.microsoft/"/>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2"/>
    <x v="1"/>
    <s v="Microsoft Copilot: GPT (or other LLMs) – Copilot in Office apps (Word, Excel, etc.)"/>
    <s v="AI"/>
    <n v="2023"/>
    <s v="Etats-Unis"/>
    <s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opilot.cloud.microsoft/"/>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2"/>
    <x v="1"/>
    <s v="Microsoft Copilot: GPT (or other LLMs) – Copilot in Office apps (Word, Excel, etc.)"/>
    <s v="AI"/>
    <n v="2023"/>
    <s v="Etats-Unis"/>
    <s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opilot.cloud.microsoft/"/>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2"/>
    <x v="1"/>
    <s v="Microsoft Copilot: GPT (or other LLMs) – Copilot in Office apps (Word, Excel, etc.)"/>
    <s v="AI"/>
    <n v="2023"/>
    <s v="Etats-Unis"/>
    <s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opilot.cloud.microsoft/"/>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2"/>
    <x v="1"/>
    <s v="Microsoft Copilot: GPT (or other LLMs) – Copilot in Office apps (Word, Excel, etc.)"/>
    <s v="AI"/>
    <n v="2023"/>
    <s v="Etats-Unis"/>
    <s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opilot.cloud.microsoft/"/>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2"/>
    <x v="1"/>
    <s v="Microsoft Copilot: GPT (or other LLMs) – Copilot in Office apps (Word, Excel, etc.)"/>
    <s v="AI"/>
    <n v="2023"/>
    <s v="Etats-Unis"/>
    <s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opilot.cloud.microsoft/"/>
    <s v="Check"/>
    <s v="Fonctionnel"/>
    <s v="International"/>
    <s v="Avocats"/>
    <s v="4 - Aide à la décision"/>
    <s v="Ces instruments facilitent ou automatisent entièrement les processus de prise de décision dans les systèmes judiciaires."/>
    <s v="8 - Services d'information/assistance; 4 - Aide à la décision"/>
  </r>
  <r>
    <x v="133"/>
    <x v="1"/>
    <s v="Meta AI: LLaMA, other Meta LLMs – AI for social media, content moderation, chatbots"/>
    <s v="AI"/>
    <n v="2023"/>
    <s v="Etats-Unis"/>
    <s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ai.meta.com/"/>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3"/>
    <x v="1"/>
    <s v="Meta AI: LLaMA, other Meta LLMs – AI for social media, content moderation, chatbots"/>
    <s v="AI"/>
    <n v="2023"/>
    <s v="Etats-Unis"/>
    <s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ai.meta.com/"/>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3"/>
    <x v="1"/>
    <s v="Meta AI: LLaMA, other Meta LLMs – AI for social media, content moderation, chatbots"/>
    <s v="AI"/>
    <n v="2023"/>
    <s v="Etats-Unis"/>
    <s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ai.meta.com/"/>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3"/>
    <x v="1"/>
    <s v="Meta AI: LLaMA, other Meta LLMs – AI for social media, content moderation, chatbots"/>
    <s v="AI"/>
    <n v="2023"/>
    <s v="Etats-Unis"/>
    <s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ai.meta.com/"/>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3"/>
    <x v="1"/>
    <s v="Meta AI: LLaMA, other Meta LLMs – AI for social media, content moderation, chatbots"/>
    <s v="AI"/>
    <n v="2023"/>
    <s v="Etats-Unis"/>
    <s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ai.meta.com/"/>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3"/>
    <x v="1"/>
    <s v="Meta AI: LLaMA, other Meta LLMs – AI for social media, content moderation, chatbots"/>
    <s v="AI"/>
    <n v="2023"/>
    <s v="Etats-Unis"/>
    <s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ai.meta.com/"/>
    <s v="Check"/>
    <s v="Fonctionnel"/>
    <s v="International"/>
    <s v="Avocats"/>
    <s v="4 - Aide à la décision"/>
    <s v="Ces instruments facilitent ou automatisent entièrement les processus de prise de décision dans les systèmes judiciaires."/>
    <s v="8 - Services d'information/assistance; 4 - Aide à la décision"/>
  </r>
  <r>
    <x v="134"/>
    <x v="1"/>
    <s v="Perplexity AI: GPT, but also other LLMs – Conversational search engine, query-based tools"/>
    <s v="AI"/>
    <n v="2022"/>
    <s v="Etats-Unis"/>
    <s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perplexity.ai"/>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4"/>
    <x v="1"/>
    <s v="Perplexity AI: GPT, but also other LLMs – Conversational search engine, query-based tools"/>
    <s v="AI"/>
    <n v="2022"/>
    <s v="Etats-Unis"/>
    <s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perplexity.ai"/>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4"/>
    <x v="1"/>
    <s v="Perplexity AI: GPT, but also other LLMs – Conversational search engine, query-based tools"/>
    <s v="AI"/>
    <n v="2022"/>
    <s v="Etats-Unis"/>
    <s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perplexity.ai"/>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4"/>
    <x v="1"/>
    <s v="Perplexity AI: GPT, but also other LLMs – Conversational search engine, query-based tools"/>
    <s v="AI"/>
    <n v="2022"/>
    <s v="Etats-Unis"/>
    <s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perplexity.ai"/>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4"/>
    <x v="1"/>
    <s v="Perplexity AI: GPT, but also other LLMs – Conversational search engine, query-based tools"/>
    <s v="AI"/>
    <n v="2022"/>
    <s v="Etats-Unis"/>
    <s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perplexity.ai"/>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4"/>
    <x v="1"/>
    <s v="Perplexity AI: GPT, but also other LLMs – Conversational search engine, query-based tools"/>
    <s v="AI"/>
    <n v="2022"/>
    <s v="Etats-Unis"/>
    <s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perplexity.ai"/>
    <s v="Check"/>
    <s v="Fonctionnel"/>
    <s v="International"/>
    <s v="Avocats"/>
    <s v="4 - Aide à la décision"/>
    <s v="Ces instruments facilitent ou automatisent entièrement les processus de prise de décision dans les systèmes judiciaires."/>
    <s v="8 - Services d'information/assistance; 4 - Aide à la décision"/>
  </r>
  <r>
    <x v="135"/>
    <x v="1"/>
    <s v="Mistral Le Chat: Mistral LLM (open-weight) – Chatbots and conversational tools"/>
    <s v="AI"/>
    <n v="2024"/>
    <s v="France"/>
    <s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hat.mistral.ai/chat"/>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5"/>
    <x v="1"/>
    <s v="Mistral Le Chat: Mistral LLM (open-weight) – Chatbots and conversational tools"/>
    <s v="AI"/>
    <n v="2024"/>
    <s v="France"/>
    <s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hat.mistral.ai/chat"/>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5"/>
    <x v="1"/>
    <s v="Mistral Le Chat: Mistral LLM (open-weight) – Chatbots and conversational tools"/>
    <s v="AI"/>
    <n v="2024"/>
    <s v="France"/>
    <s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hat.mistral.ai/chat"/>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5"/>
    <x v="1"/>
    <s v="Mistral Le Chat: Mistral LLM (open-weight) – Chatbots and conversational tools"/>
    <s v="AI"/>
    <n v="2024"/>
    <s v="France"/>
    <s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hat.mistral.ai/chat"/>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5"/>
    <x v="1"/>
    <s v="Mistral Le Chat: Mistral LLM (open-weight) – Chatbots and conversational tools"/>
    <s v="AI"/>
    <n v="2024"/>
    <s v="France"/>
    <s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hat.mistral.ai/chat"/>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5"/>
    <x v="1"/>
    <s v="Mistral Le Chat: Mistral LLM (open-weight) – Chatbots and conversational tools"/>
    <s v="AI"/>
    <n v="2024"/>
    <s v="France"/>
    <s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chat.mistral.ai/chat"/>
    <s v="Check"/>
    <s v="Fonctionnel"/>
    <s v="International"/>
    <s v="Avocats"/>
    <s v="4 - Aide à la décision"/>
    <s v="Ces instruments facilitent ou automatisent entièrement les processus de prise de décision dans les systèmes judiciaires."/>
    <s v="8 - Services d'information/assistance; 4 - Aide à la décision"/>
  </r>
  <r>
    <x v="136"/>
    <x v="1"/>
    <s v="DeepSeek: LLM + Search Models – Knowledge exploration, information retrieval tools"/>
    <s v="AI"/>
    <n v="2024"/>
    <s v="Chine"/>
    <s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deepseek.com"/>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6"/>
    <x v="1"/>
    <s v="DeepSeek: LLM + Search Models – Knowledge exploration, information retrieval tools"/>
    <s v="AI"/>
    <n v="2024"/>
    <s v="Chine"/>
    <s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deepseek.com"/>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6"/>
    <x v="1"/>
    <s v="DeepSeek: LLM + Search Models – Knowledge exploration, information retrieval tools"/>
    <s v="AI"/>
    <n v="2024"/>
    <s v="Chine"/>
    <s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deepseek.com"/>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6"/>
    <x v="1"/>
    <s v="DeepSeek: LLM + Search Models – Knowledge exploration, information retrieval tools"/>
    <s v="AI"/>
    <n v="2024"/>
    <s v="Chine"/>
    <s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deepseek.com"/>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6"/>
    <x v="1"/>
    <s v="DeepSeek: LLM + Search Models – Knowledge exploration, information retrieval tools"/>
    <s v="AI"/>
    <n v="2024"/>
    <s v="Chine"/>
    <s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deepseek.com"/>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6"/>
    <x v="1"/>
    <s v="DeepSeek: LLM + Search Models – Knowledge exploration, information retrieval tools"/>
    <s v="AI"/>
    <n v="2024"/>
    <s v="Chine"/>
    <s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www.deepseek.com"/>
    <s v="Check"/>
    <s v="Fonctionnel"/>
    <s v="International"/>
    <s v="Avocats"/>
    <s v="4 - Aide à la décision"/>
    <s v="Ces instruments facilitent ou automatisent entièrement les processus de prise de décision dans les systèmes judiciaires."/>
    <s v="8 - Services d'information/assistance; 4 - Aide à la décision"/>
  </r>
  <r>
    <x v="137"/>
    <x v="1"/>
    <s v="Grok: Grok LLM (by xAI) – Chatbots, AI for social media, customer service"/>
    <s v="AI"/>
    <n v="2025"/>
    <s v="Etats-Unis"/>
    <s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x.ai/grok"/>
    <s v="Check"/>
    <s v="Fonctionnel"/>
    <s v="International"/>
    <s v="Usagers des tribunaux (Grand public)"/>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7"/>
    <x v="1"/>
    <s v="Grok: Grok LLM (by xAI) – Chatbots, AI for social media, customer service"/>
    <s v="AI"/>
    <n v="2025"/>
    <s v="Etats-Unis"/>
    <s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x.ai/grok"/>
    <s v="Check"/>
    <s v="Fonctionnel"/>
    <s v="International"/>
    <s v="Usagers des tribunaux (Grand public)"/>
    <s v="4 - Aide à la décision"/>
    <s v="Ces instruments facilitent ou automatisent entièrement les processus de prise de décision dans les systèmes judiciaires."/>
    <s v="8 - Services d'information/assistance; 4 - Aide à la décision"/>
  </r>
  <r>
    <x v="137"/>
    <x v="1"/>
    <s v="Grok: Grok LLM (by xAI) – Chatbots, AI for social media, customer service"/>
    <s v="AI"/>
    <n v="2025"/>
    <s v="Etats-Unis"/>
    <s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x.ai/grok"/>
    <s v="Check"/>
    <s v="Fonctionnel"/>
    <s v="International"/>
    <s v="Juges/greffier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7"/>
    <x v="1"/>
    <s v="Grok: Grok LLM (by xAI) – Chatbots, AI for social media, customer service"/>
    <s v="AI"/>
    <n v="2025"/>
    <s v="Etats-Unis"/>
    <s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x.ai/grok"/>
    <s v="Check"/>
    <s v="Fonctionnel"/>
    <s v="International"/>
    <s v="Juges/greffiers"/>
    <s v="4 - Aide à la décision"/>
    <s v="Ces instruments facilitent ou automatisent entièrement les processus de prise de décision dans les systèmes judiciaires."/>
    <s v="8 - Services d'information/assistance; 4 - Aide à la décision"/>
  </r>
  <r>
    <x v="137"/>
    <x v="1"/>
    <s v="Grok: Grok LLM (by xAI) – Chatbots, AI for social media, customer service"/>
    <s v="AI"/>
    <n v="2025"/>
    <s v="Etats-Unis"/>
    <s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x.ai/grok"/>
    <s v="Check"/>
    <s v="Fonctionnel"/>
    <s v="International"/>
    <s v="Avocats"/>
    <s v="8 - Services d'information/assistance"/>
    <s v="Ces instruments fournissent aux individus des informations sur les services disponibles dans les systèmes de justice et les mettent en relation avec les services et les opportunités appropriés."/>
    <s v="8 - Services d'information/assistance; 4 - Aide à la décision"/>
  </r>
  <r>
    <x v="137"/>
    <x v="1"/>
    <s v="Grok: Grok LLM (by xAI) – Chatbots, AI for social media, customer service"/>
    <s v="AI"/>
    <n v="2025"/>
    <s v="Etats-Unis"/>
    <s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
    <s v="https://rm.coe.int/cepej-gt-cyberjust-2023-5final-en-note-on-generative-ai/1680ae8e01"/>
    <s v="https://x.ai/grok"/>
    <s v="Check"/>
    <s v="Fonctionnel"/>
    <s v="International"/>
    <s v="Avocats"/>
    <s v="4 - Aide à la décision"/>
    <s v="Ces instruments facilitent ou automatisent entièrement les processus de prise de décision dans les systèmes judiciaires."/>
    <s v="8 - Services d'information/assistance; 4 - Aide à la décision"/>
  </r>
  <r>
    <x v="138"/>
    <x v="1"/>
    <s v="StruKI (Strukturierung mit Künstlicher Intelligenz)"/>
    <s v="AI"/>
    <n v="2025"/>
    <s v="Allemagne"/>
    <s v="Le projet «StruKI» (Structuration avec IA) vise à développer un outil de structuration universel pour les dossiers de procédure judiciaire sur la base d'une application d'IA. L'outil de structuration doit permettre le traitement complet de toutes les données d'une procédure judiciaire. L'introduction du dossier électronique, qui contient toutes les données d'une procédure judiciaire ou d'un procès sous forme numérique, permet de développer des systèmes d'assistance par l'IA pour diverses activités dans le domaine de la justice. Leur rôle dans la structuration des informations relatives aux procédures est particulièrement important. Les informations relatives aux procédures, telles que les documents judiciaires, les preuves ou les dépositions de témoins, peuvent être structurées à l'aide de l'IA et ainsi soutenir efficacement le processus juridique._x000a_L'objectif du projet «StruKI» est de fournir un outil de structuration basé sur l'IA afin de faciliter le travail dans le système judiciaire et de soutenir les processus de travail qui, autrement, entraîneraient une charge de travail supplémentaire considérable. Cela inclut également le traitement assisté par IA des demandes d'aide financière dans le cadre de procédures judiciaires (aide juridictionnelle), la préparation de décisions de coûts dans les procédures de masse, l'anonymisation de documents, etc."/>
    <s v=""/>
    <s v="https://www.bmj.de/DE/themen/digitales/digitalisierung_justiz/digitalisierungsinitiative/laendervorhaben/_doc/artikel_vorhaben_07_struki.html"/>
    <s v="Publique "/>
    <s v="Concept/prévu"/>
    <s v="Check"/>
    <s v="Juges/greffiers"/>
    <s v="Check"/>
    <m/>
    <s v="Check; "/>
  </r>
  <r>
    <x v="139"/>
    <x v="1"/>
    <s v="ChatJT - Labour Justice Tool - Chatbot of the Brazilian Labour Court"/>
    <s v="AI"/>
    <n v="2025"/>
    <s v="Brésil"/>
    <s v="ChatJT est un outil d'IA générative qui aide les juges à prendre des décisions. Il est formé à partir de toutes les affaires de la Cour du travail brésilienne, de la Cour supérieure du travail aux tribunaux de première instance, et est accessible à tous les juges et membres du personnel de la Cour du travail brésilienne. Il est basé sur une plateforme open source appelée « Hugging Face » et les données fournies par les services ne sont pas utilisées pour former le modèle sous-jacent."/>
    <s v=""/>
    <s v="(Internal system, no public reference)."/>
    <s v="Publique "/>
    <s v="Fonctionnel"/>
    <s v="Check"/>
    <s v="Juges/greffiers"/>
    <s v="4 - Aide à la décision"/>
    <s v="Ces instruments facilitent ou automatisent entièrement les processus de prise de décision dans les systèmes judiciaires."/>
    <s v="4 - Aide à la décision;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6E2C4-A12E-405C-A707-74307BD191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4" firstHeaderRow="1" firstDataRow="1" firstDataCol="1" rowPageCount="1" colPageCount="1"/>
  <pivotFields count="16">
    <pivotField axis="axisRow" showAll="0">
      <items count="141">
        <item x="0"/>
        <item x="69"/>
        <item x="70"/>
        <item x="71"/>
        <item x="72"/>
        <item x="73"/>
        <item x="6"/>
        <item x="74"/>
        <item x="75"/>
        <item x="76"/>
        <item x="77"/>
        <item x="78"/>
        <item x="79"/>
        <item x="80"/>
        <item x="81"/>
        <item x="82"/>
        <item x="7"/>
        <item x="83"/>
        <item x="84"/>
        <item x="85"/>
        <item x="86"/>
        <item x="87"/>
        <item x="88"/>
        <item x="89"/>
        <item x="90"/>
        <item x="91"/>
        <item x="92"/>
        <item x="8"/>
        <item x="93"/>
        <item x="94"/>
        <item x="95"/>
        <item x="96"/>
        <item x="97"/>
        <item x="98"/>
        <item x="99"/>
        <item x="100"/>
        <item x="101"/>
        <item x="102"/>
        <item x="9"/>
        <item x="103"/>
        <item x="104"/>
        <item x="105"/>
        <item x="106"/>
        <item x="107"/>
        <item x="108"/>
        <item x="109"/>
        <item x="110"/>
        <item x="111"/>
        <item x="112"/>
        <item x="10"/>
        <item x="113"/>
        <item x="114"/>
        <item x="115"/>
        <item x="116"/>
        <item x="117"/>
        <item x="118"/>
        <item x="119"/>
        <item x="120"/>
        <item x="121"/>
        <item x="122"/>
        <item x="11"/>
        <item x="123"/>
        <item x="124"/>
        <item x="125"/>
        <item x="126"/>
        <item x="127"/>
        <item x="128"/>
        <item x="129"/>
        <item x="130"/>
        <item x="12"/>
        <item x="131"/>
        <item x="132"/>
        <item x="133"/>
        <item x="134"/>
        <item x="135"/>
        <item x="136"/>
        <item x="137"/>
        <item x="138"/>
        <item x="139"/>
        <item x="1"/>
        <item x="13"/>
        <item x="14"/>
        <item x="15"/>
        <item x="3"/>
        <item x="16"/>
        <item x="17"/>
        <item x="18"/>
        <item x="19"/>
        <item x="20"/>
        <item x="21"/>
        <item x="22"/>
        <item x="23"/>
        <item x="24"/>
        <item x="25"/>
        <item x="26"/>
        <item x="27"/>
        <item x="28"/>
        <item x="29"/>
        <item x="30"/>
        <item x="31"/>
        <item x="32"/>
        <item x="4"/>
        <item x="33"/>
        <item x="34"/>
        <item x="35"/>
        <item x="36"/>
        <item x="37"/>
        <item x="38"/>
        <item x="39"/>
        <item x="40"/>
        <item x="41"/>
        <item x="42"/>
        <item x="43"/>
        <item x="44"/>
        <item x="45"/>
        <item x="46"/>
        <item x="47"/>
        <item x="48"/>
        <item x="49"/>
        <item x="50"/>
        <item x="2"/>
        <item x="51"/>
        <item x="52"/>
        <item x="53"/>
        <item x="54"/>
        <item x="55"/>
        <item x="56"/>
        <item x="57"/>
        <item x="58"/>
        <item x="59"/>
        <item x="60"/>
        <item x="5"/>
        <item x="61"/>
        <item x="62"/>
        <item x="63"/>
        <item x="64"/>
        <item x="65"/>
        <item x="66"/>
        <item x="67"/>
        <item x="68"/>
        <item t="default"/>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pageFields count="1">
    <pageField fld="1"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C9073C6E-EE7C-43AE-80FB-5C21E0E5E37C}" autoFormatId="16" applyNumberFormats="0" applyBorderFormats="0" applyFontFormats="0" applyPatternFormats="0" applyAlignmentFormats="0" applyWidthHeightFormats="0">
  <queryTableRefresh nextId="29">
    <queryTableFields count="16">
      <queryTableField id="1" name="NR" tableColumnId="1"/>
      <queryTableField id="2" name="Language" tableColumnId="2"/>
      <queryTableField id="3" name="Title" tableColumnId="3"/>
      <queryTableField id="18" name="AI Relevance" tableColumnId="4"/>
      <queryTableField id="5" name="Year" tableColumnId="5"/>
      <queryTableField id="6" name="Country" tableColumnId="6"/>
      <queryTableField id="7" name="Description" tableColumnId="7"/>
      <queryTableField id="20" name="Link1" tableColumnId="18"/>
      <queryTableField id="8" name="Link" tableColumnId="8"/>
      <queryTableField id="9" name="Implemented by" tableColumnId="9"/>
      <queryTableField id="10" name="Status" tableColumnId="10"/>
      <queryTableField id="11" name="Coverage" tableColumnId="11"/>
      <queryTableField id="14" name="Target" tableColumnId="14"/>
      <queryTableField id="15" name="Area" tableColumnId="15"/>
      <queryTableField id="16" name="AreaDescription" tableColumnId="16"/>
      <queryTableField id="22" name="Aarea" tableColumnId="17"/>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7176182-FD1C-4C61-87BB-81B85565409B}" name="Projects" displayName="Projects" ref="A1:X192">
  <autoFilter ref="A1:X192" xr:uid="{47176182-FD1C-4C61-87BB-81B85565409B}"/>
  <tableColumns count="24">
    <tableColumn id="1" xr3:uid="{B7FC4746-7EEF-41AA-AE80-0041F5167BAC}" name="NR" dataDxfId="64"/>
    <tableColumn id="2" xr3:uid="{A87A6140-9629-4ADA-B551-D296223652B7}" name="Title" dataDxfId="63"/>
    <tableColumn id="3" xr3:uid="{4F7F958E-B063-4BE7-AFB4-884E43A6709C}" name="AI Relevance" dataDxfId="62"/>
    <tableColumn id="4" xr3:uid="{30F5319C-2411-43F9-9C92-69C78FDABA60}" name="Area1" dataDxfId="61"/>
    <tableColumn id="5" xr3:uid="{8B2B95CF-C94C-43FA-82EF-685614FF618F}" name="Area2" dataDxfId="60"/>
    <tableColumn id="6" xr3:uid="{DECB0CF8-8CCB-4E7F-B9A5-9D0820D965FD}" name="Year" dataDxfId="59"/>
    <tableColumn id="7" xr3:uid="{B08B98C6-4833-46DC-938E-F87ACD522F6A}" name="Country" dataDxfId="58"/>
    <tableColumn id="8" xr3:uid="{5444E74D-F2D3-468E-81A2-D8D5188F9B2F}" name="Description" dataDxfId="57"/>
    <tableColumn id="9" xr3:uid="{2767CCF3-3470-41DC-9B60-780FF4393B34}" name="DescriptionFR" dataDxfId="56"/>
    <tableColumn id="10" xr3:uid="{E133CB0D-A012-41FF-82AA-22055F43D8D3}" name="Link" dataDxfId="55"/>
    <tableColumn id="32" xr3:uid="{036736B8-9875-40BD-A8DF-848F558B9B6A}" name="Link1" dataDxfId="54"/>
    <tableColumn id="11" xr3:uid="{B12A7201-2BD0-4928-A760-E92CF9A9BE72}" name="Implemented by" dataDxfId="53"/>
    <tableColumn id="12" xr3:uid="{E8D3A505-E22C-4AA9-9D2C-5FCACF198E90}" name="Target audience" dataDxfId="52"/>
    <tableColumn id="13" xr3:uid="{2EEF89C7-3CCB-4CD9-BB6A-5A4F2873DECB}" name="Target audience2" dataDxfId="51"/>
    <tableColumn id="14" xr3:uid="{5C506BAB-AE86-4F60-82AE-DB415EA62FAC}" name="Target audience3" dataDxfId="50"/>
    <tableColumn id="15" xr3:uid="{CB59BC7F-556F-4B95-AC51-30BF4795CFCE}" name="Target audience4" dataDxfId="49"/>
    <tableColumn id="16" xr3:uid="{100A2880-FF0E-4D8B-B5E9-0510DE915963}" name="Target audience5" dataDxfId="48"/>
    <tableColumn id="17" xr3:uid="{1EC134FC-26F9-46E2-B19B-B6C8CDE1D5A9}" name="Status" dataDxfId="47"/>
    <tableColumn id="18" xr3:uid="{9B1D7F1F-90FB-4D4C-BF0E-144E76E3AD6F}" name="Coverage" dataDxfId="46"/>
    <tableColumn id="19" xr3:uid="{941F1247-9A1A-4F7C-950C-4E825E550BE1}" name="Entry last update on " dataDxfId="45"/>
    <tableColumn id="20" xr3:uid="{2394B038-BC4E-4813-8E9E-702E4B2739B8}" name="Entered by" dataDxfId="44"/>
    <tableColumn id="29" xr3:uid="{66B2ACC3-8817-4FF4-864B-F8192A72CA0B}" name="Infromation provided by" dataDxfId="43"/>
    <tableColumn id="30" xr3:uid="{BFC4076C-23D1-4FDC-9588-B6D19FF5D110}" name="To publish" dataDxfId="42"/>
    <tableColumn id="21" xr3:uid="{A8E3B086-6A96-45C3-9D4E-3D9924A1E686}" name="Column1"/>
  </tableColumns>
  <tableStyleInfo name="Projec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BFAF30-C1D9-44D3-87A4-BD0BFD87085A}" name="ProjectsFR" displayName="ProjectsFR" ref="A1:T186" dataDxfId="41">
  <autoFilter ref="A1:T186" xr:uid="{47176182-FD1C-4C61-87BB-81B85565409B}"/>
  <tableColumns count="20">
    <tableColumn id="1" xr3:uid="{35550985-CABF-41CE-BFAA-A40D30CD89AD}" name="NR" dataDxfId="40">
      <calculatedColumnFormula>Projects[[#This Row],[NR]]</calculatedColumnFormula>
    </tableColumn>
    <tableColumn id="2" xr3:uid="{77BF40B5-3FEE-4555-846B-2E5557F009E8}" name="Title" dataDxfId="39">
      <calculatedColumnFormula>IF(Projects[[#This Row],[Title]]="","",Projects[[#This Row],[Title]])</calculatedColumnFormula>
    </tableColumn>
    <tableColumn id="3" xr3:uid="{7BE8C893-C70F-4507-B0F3-600B851A7871}" name="AI Relevance" dataDxfId="38">
      <calculatedColumnFormula>IF(Projects[[#This Row],[AI Relevance]]="","",Projects[[#This Row],[AI Relevance]])</calculatedColumnFormula>
    </tableColumn>
    <tableColumn id="4" xr3:uid="{14893EED-8DA5-4D03-80FE-5C4E13030403}" name="Area1" dataDxfId="37">
      <calculatedColumnFormula>_xlfn.XLOOKUP(Projects[[#This Row],[Area1]],Table1[Area],Table1[FRArea],"Check",FALSE)</calculatedColumnFormula>
    </tableColumn>
    <tableColumn id="5" xr3:uid="{614BA8C9-471F-4A09-9CC4-D971F8A43FE9}" name="Area2" dataDxfId="36">
      <calculatedColumnFormula>IF(Projects[[#This Row],[Area2]]="","",_xlfn.XLOOKUP(Projects[[#This Row],[Area2]],Table1[Area],Table1[FRArea],"Check",FALSE))</calculatedColumnFormula>
    </tableColumn>
    <tableColumn id="6" xr3:uid="{B6E853FA-AEB1-4D74-8CC4-1A32ADB05F86}" name="Year" dataDxfId="35">
      <calculatedColumnFormula>IF(Projects[[#This Row],[Year]]="","",Projects[[#This Row],[Year]])</calculatedColumnFormula>
    </tableColumn>
    <tableColumn id="7" xr3:uid="{8DAE37A2-0B93-4DD6-81FC-69433B58082F}" name="Country" dataDxfId="34">
      <calculatedColumnFormula>_xlfn.XLOOKUP(Projects[[#This Row],[Country]],Table2[Country],Table2[Pays],"Check",FALSE)</calculatedColumnFormula>
    </tableColumn>
    <tableColumn id="8" xr3:uid="{B008B0D4-F4E8-4A9C-B7A3-CE92749A5894}" name="Description" dataDxfId="33">
      <calculatedColumnFormula>IF(Projects[[#This Row],[Description]]="","",Projects[[#This Row],[Description]])</calculatedColumnFormula>
    </tableColumn>
    <tableColumn id="9" xr3:uid="{B05C64C0-12C2-4B53-8AA6-ED302F044A34}" name="DescriptionFR" dataDxfId="32">
      <calculatedColumnFormula>IF(Projects[[#This Row],[DescriptionFR]]="","",Projects[[#This Row],[DescriptionFR]])</calculatedColumnFormula>
    </tableColumn>
    <tableColumn id="10" xr3:uid="{E2D66949-722A-4F82-AE56-0CECCD577C72}" name="Link" dataDxfId="31">
      <calculatedColumnFormula>IF(Projects[[#This Row],[Link]]="","",Projects[[#This Row],[Link]])</calculatedColumnFormula>
    </tableColumn>
    <tableColumn id="32" xr3:uid="{043674E6-E455-47C3-A23D-055B06285153}" name="Link1" dataDxfId="30">
      <calculatedColumnFormula>IF(Projects[[#This Row],[Link1]]="","",Projects[[#This Row],[Link1]])</calculatedColumnFormula>
    </tableColumn>
    <tableColumn id="11" xr3:uid="{A0E3549C-EABF-4CF1-BFFD-5E0F36121168}" name="Implemented by" dataDxfId="29">
      <calculatedColumnFormula>_xlfn.XLOOKUP(Projects[[#This Row],[Implemented by]],Table3[Implemented by],Table3[ImplementedFR],"",FALSE)</calculatedColumnFormula>
    </tableColumn>
    <tableColumn id="12" xr3:uid="{9169FB8F-540B-4B46-AA8C-ABE327166DEA}" name="Target audience" dataDxfId="28">
      <calculatedColumnFormula>_xlfn.XLOOKUP(Projects[[#This Row],[Target audience]],Table4[Target audience],Table4[Target audienceFR],"",FALSE)</calculatedColumnFormula>
    </tableColumn>
    <tableColumn id="13" xr3:uid="{C3CDC39B-1D6C-4335-9FD7-483C13C9D172}" name="Target audience2" dataDxfId="27">
      <calculatedColumnFormula>IF(Projects[[#This Row],[Target audience2]]="","",_xlfn.XLOOKUP(Projects[[#This Row],[Target audience2]],Table4[Target audience],Table4[Target audienceFR],"Check",FALSE))</calculatedColumnFormula>
    </tableColumn>
    <tableColumn id="14" xr3:uid="{55E5B4AB-BE4B-497F-8818-098C00E37B80}" name="Target audience3" dataDxfId="26">
      <calculatedColumnFormula>IF(Projects[[#This Row],[Target audience3]]="","",_xlfn.XLOOKUP(Projects[[#This Row],[Target audience3]],Table4[Target audience],Table4[Target audienceFR],"Check",FALSE))</calculatedColumnFormula>
    </tableColumn>
    <tableColumn id="15" xr3:uid="{7E6C6365-8F0D-4EEA-84A9-2FA22B7CB8FA}" name="Target audience4" dataDxfId="25">
      <calculatedColumnFormula>IF(Projects[[#This Row],[Target audience4]]="","",_xlfn.XLOOKUP(Projects[[#This Row],[Target audience4]],Table4[Target audience],Table4[Target audienceFR],"Check",FALSE))</calculatedColumnFormula>
    </tableColumn>
    <tableColumn id="16" xr3:uid="{A7440364-8351-4716-87F7-FAE276820434}" name="Target audience5" dataDxfId="24">
      <calculatedColumnFormula>IF(Projects[[#This Row],[Target audience5]]="","",_xlfn.XLOOKUP(Projects[[#This Row],[Target audience5]],Table4[Target audience],Table4[Target audienceFR],"Check",FALSE))</calculatedColumnFormula>
    </tableColumn>
    <tableColumn id="17" xr3:uid="{FF665D9F-D0B8-4E7D-A973-8FB8CDE0EB51}" name="Status" dataDxfId="23">
      <calculatedColumnFormula>_xlfn.XLOOKUP(Projects[[#This Row],[Status]],Table8[Status],Table8[StatusFR],"",FALSE)</calculatedColumnFormula>
    </tableColumn>
    <tableColumn id="18" xr3:uid="{A5D2D287-09DC-4446-B8FB-7D49073177A8}" name="Coverage" dataDxfId="22">
      <calculatedColumnFormula>_xlfn.XLOOKUP(Projects[[#This Row],[Coverage]],Table7[Coverage],Table7[CoverageFR],"",FALSE)</calculatedColumnFormula>
    </tableColumn>
    <tableColumn id="31" xr3:uid="{ED2AF468-CD5D-4BF8-96A8-586AFD52E687}" name="To publish" dataDxfId="21">
      <calculatedColumnFormula>IF(Projects[[#This Row],[To publish]]="","",Projects[[#This Row],[To publish]])</calculatedColumnFormula>
    </tableColumn>
  </tableColumns>
  <tableStyleInfo name="Projec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B1670C-94B7-4A27-A5AE-AC9B5DCA601C}" name="Data" displayName="Data" ref="A1:P929" tableType="queryTable" totalsRowShown="0">
  <autoFilter ref="A1:P929" xr:uid="{D2B1670C-94B7-4A27-A5AE-AC9B5DCA601C}"/>
  <tableColumns count="16">
    <tableColumn id="1" xr3:uid="{46C0531E-63C5-44DB-9DD5-D64F9A58B27E}" uniqueName="1" name="NR" queryTableFieldId="1" dataDxfId="20"/>
    <tableColumn id="2" xr3:uid="{658B50EC-71CB-43DE-9745-F96218ACB63F}" uniqueName="2" name="Language" queryTableFieldId="2"/>
    <tableColumn id="3" xr3:uid="{2F4E778F-B5B3-483B-97F2-42C2759678B6}" uniqueName="3" name="Title" queryTableFieldId="3" dataDxfId="19"/>
    <tableColumn id="4" xr3:uid="{D21D0D0B-6A3F-4D1A-9F2F-E1ADF882194B}" uniqueName="4" name="AI Relevance" queryTableFieldId="18" dataDxfId="18"/>
    <tableColumn id="5" xr3:uid="{97A21A66-F528-4E4C-812B-FB392D24A2A0}" uniqueName="5" name="Year" queryTableFieldId="5" dataDxfId="17"/>
    <tableColumn id="6" xr3:uid="{811F7950-7B6D-4E55-9B28-88B1336B1BD5}" uniqueName="6" name="Country" queryTableFieldId="6" dataDxfId="16"/>
    <tableColumn id="7" xr3:uid="{A474C578-3F5A-470B-AE3A-A19A7267E386}" uniqueName="7" name="Description" queryTableFieldId="7" dataDxfId="15"/>
    <tableColumn id="18" xr3:uid="{C21936B1-CD28-4361-B22F-A221E7E7D098}" uniqueName="18" name="Link1" queryTableFieldId="20"/>
    <tableColumn id="8" xr3:uid="{E42CE75C-98F0-4627-ADB7-BB4C7BD09A26}" uniqueName="8" name="Link" queryTableFieldId="8" dataDxfId="14"/>
    <tableColumn id="9" xr3:uid="{78E02343-A96A-4399-B727-1D1A8DEFD405}" uniqueName="9" name="Implemented by" queryTableFieldId="9" dataDxfId="13"/>
    <tableColumn id="10" xr3:uid="{E4E4FC75-085A-40FD-8309-C0B464E84C49}" uniqueName="10" name="Status" queryTableFieldId="10" dataDxfId="12"/>
    <tableColumn id="11" xr3:uid="{F6E1F4FB-80E4-473C-B3CB-724993EB360B}" uniqueName="11" name="Coverage" queryTableFieldId="11" dataDxfId="11"/>
    <tableColumn id="14" xr3:uid="{3284F482-7DCF-4A2D-9C21-A67E301CA40B}" uniqueName="14" name="Target" queryTableFieldId="14" dataDxfId="10"/>
    <tableColumn id="15" xr3:uid="{34E3EE96-A610-48F3-BED0-41D22F11D31B}" uniqueName="15" name="Area" queryTableFieldId="15" dataDxfId="9"/>
    <tableColumn id="16" xr3:uid="{4F9AA7EC-7A76-4994-84C7-6B5B18DD6323}" uniqueName="16" name="AreaDescription" queryTableFieldId="16"/>
    <tableColumn id="17" xr3:uid="{DC6BDD6B-0AB1-4031-9D07-9D9452BECFCB}" uniqueName="17" name="Aarea"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6908A-C408-46D7-B0FD-9CCE0513E8F8}" name="Table1" displayName="Table1" ref="C1:F10" totalsRowShown="0" headerRowDxfId="8">
  <autoFilter ref="C1:F10" xr:uid="{A0F6908A-C408-46D7-B0FD-9CCE0513E8F8}"/>
  <tableColumns count="4">
    <tableColumn id="1" xr3:uid="{12EABAE3-8239-4EBF-9816-003C26C848E4}" name="Area" dataDxfId="7"/>
    <tableColumn id="2" xr3:uid="{E7887E3B-BCC2-4B49-BECD-A68E4CBBF1CB}" name="AreaDescription"/>
    <tableColumn id="3" xr3:uid="{E982AD77-21C2-4080-9611-F4370FAD54CD}" name="FRArea" dataDxfId="6"/>
    <tableColumn id="4" xr3:uid="{C10C04F4-92FA-4968-8740-A5ABF62C17DE}" name="FRArea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7B419-4A6D-4373-B57D-D03C2C3DEED3}" name="Table2" displayName="Table2" ref="J1:M59" totalsRowShown="0">
  <autoFilter ref="J1:M59" xr:uid="{B537B419-4A6D-4373-B57D-D03C2C3DEED3}"/>
  <tableColumns count="4">
    <tableColumn id="1" xr3:uid="{92477DF8-8380-4191-BA07-4B1C93A8EBF8}" name="Location" dataDxfId="5"/>
    <tableColumn id="2" xr3:uid="{EA30330C-1858-4B00-A168-A7C35C96E759}" name="Country"/>
    <tableColumn id="3" xr3:uid="{BF0A0160-39A6-4D4B-AF20-340F81E24808}" name="LocationFR"/>
    <tableColumn id="4" xr3:uid="{EF901807-186F-4D5C-AA27-88BD2B2EBDD8}" name="Pay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A00B6C-8DB5-4F42-9BDB-2388F87F9CF4}" name="Table4" displayName="Table4" ref="R1:S7" totalsRowShown="0" dataDxfId="4">
  <autoFilter ref="R1:S7" xr:uid="{AEA00B6C-8DB5-4F42-9BDB-2388F87F9CF4}"/>
  <tableColumns count="2">
    <tableColumn id="1" xr3:uid="{73316548-F168-4BAD-ADF1-DDF35ED8F3A9}" name="Target audience" dataDxfId="3"/>
    <tableColumn id="2" xr3:uid="{F099E03A-55F7-4038-931A-6C1875195D3C}" name="Target audienceFR" dataDxf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8AA8F2-2B55-4690-9E11-26BD7BE34757}" name="Table7" displayName="Table7" ref="X1:Y5" totalsRowShown="0">
  <autoFilter ref="X1:Y5" xr:uid="{0D8AA8F2-2B55-4690-9E11-26BD7BE34757}"/>
  <tableColumns count="2">
    <tableColumn id="1" xr3:uid="{A978742B-34B1-4126-B0BF-552729E5AA2D}" name="Coverage"/>
    <tableColumn id="2" xr3:uid="{22F0BC7E-1CC3-4232-9CF8-596B174D303F}" name="CoverageF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C721823-B0B0-4BAD-84B9-875F3D7FC870}" name="Table8" displayName="Table8" ref="U1:V4" totalsRowShown="0">
  <autoFilter ref="U1:V4" xr:uid="{DC721823-B0B0-4BAD-84B9-875F3D7FC870}"/>
  <tableColumns count="2">
    <tableColumn id="1" xr3:uid="{352EED16-8E88-4D7C-B31F-06928ED207CF}" name="Status" dataDxfId="1"/>
    <tableColumn id="2" xr3:uid="{8741D534-7574-4060-9815-C48A0D2014DD}" name="StatusF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1F6362-D3B6-498D-A6A9-331EBC619C4D}" name="Table3" displayName="Table3" ref="O1:P5" totalsRowShown="0">
  <autoFilter ref="O1:P5" xr:uid="{9A1F6362-D3B6-498D-A6A9-331EBC619C4D}"/>
  <tableColumns count="2">
    <tableColumn id="1" xr3:uid="{17C780E1-E3CF-4CC5-B8F1-A672D7A178CC}" name="Implemented by"/>
    <tableColumn id="2" xr3:uid="{4B995B8B-48A1-47FC-8B39-8C2FC64BE036}" name="ImplementedFR"/>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AE4160-2890-411A-BD7B-12F8A7C46BA3}" name="Table9" displayName="Table9" ref="A1:A3" totalsRowShown="0">
  <autoFilter ref="A1:A3" xr:uid="{19AE4160-2890-411A-BD7B-12F8A7C46BA3}"/>
  <tableColumns count="1">
    <tableColumn id="1" xr3:uid="{AD68818B-BD18-41A5-BC01-F20F56FE7FB6}" name="AI Relevanc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iapj.fgv.br/sites/ciapj.fgv.br/files/relatorio_ia_3a_edicao_0.pdf" TargetMode="External"/><Relationship Id="rId117" Type="http://schemas.openxmlformats.org/officeDocument/2006/relationships/hyperlink" Target="https://tesauro.supersociedades.gov.co/" TargetMode="External"/><Relationship Id="rId21" Type="http://schemas.openxmlformats.org/officeDocument/2006/relationships/hyperlink" Target="https://www.bundestag.de/resource/blob/832204/6813d064fab52e9b6d54cbbf5319cea3/WD-7-017-21-pdf-data.pdf" TargetMode="External"/><Relationship Id="rId42" Type="http://schemas.openxmlformats.org/officeDocument/2006/relationships/hyperlink" Target="https://oxrisk.com/home-2-2/" TargetMode="External"/><Relationship Id="rId47" Type="http://schemas.openxmlformats.org/officeDocument/2006/relationships/hyperlink" Target="https://giustiziapredittiva.unibs.it/" TargetMode="External"/><Relationship Id="rId63" Type="http://schemas.openxmlformats.org/officeDocument/2006/relationships/hyperlink" Target="https://www.chinadaily.com.cn/cndy/2019-04/18/content_37459601.htm" TargetMode="External"/><Relationship Id="rId68" Type="http://schemas.openxmlformats.org/officeDocument/2006/relationships/hyperlink" Target="https://chat.mistral.ai/chat" TargetMode="External"/><Relationship Id="rId84" Type="http://schemas.openxmlformats.org/officeDocument/2006/relationships/hyperlink" Target="https://radar.ircai.org/en/tools/amica/" TargetMode="External"/><Relationship Id="rId89" Type="http://schemas.openxmlformats.org/officeDocument/2006/relationships/hyperlink" Target="https://algoritmes.overheid.nl/en/algoritme/mnre1058/535137/537490/15996611/risk-assessment-instrument-juvenile-criminal-justice-ritax" TargetMode="External"/><Relationship Id="rId112" Type="http://schemas.openxmlformats.org/officeDocument/2006/relationships/hyperlink" Target="https://poline-tool.eu/" TargetMode="External"/><Relationship Id="rId133" Type="http://schemas.openxmlformats.org/officeDocument/2006/relationships/hyperlink" Target="http://kemt.fei.tuke.sk/automaticky-prepis-diktatu/" TargetMode="External"/><Relationship Id="rId138" Type="http://schemas.openxmlformats.org/officeDocument/2006/relationships/hyperlink" Target="https://rm.coe.int/2025-thematic-study-of-the-ccpe/488028fc1b" TargetMode="External"/><Relationship Id="rId154" Type="http://schemas.openxmlformats.org/officeDocument/2006/relationships/hyperlink" Target="https://algoritmes.overheid.nl/en/algoritme/inkomensverklaring-raad-voor-rechtsbijstand/25228393" TargetMode="External"/><Relationship Id="rId159" Type="http://schemas.openxmlformats.org/officeDocument/2006/relationships/hyperlink" Target="https://datalex.org/" TargetMode="External"/><Relationship Id="rId16" Type="http://schemas.openxmlformats.org/officeDocument/2006/relationships/hyperlink" Target="https://justica.gov.pt/Servicos/Guia-pratico-da-Justica-Versao-Beta" TargetMode="External"/><Relationship Id="rId107" Type="http://schemas.openxmlformats.org/officeDocument/2006/relationships/hyperlink" Target="https://rm.coe.int/internal-system/4880299b55" TargetMode="External"/><Relationship Id="rId11" Type="http://schemas.openxmlformats.org/officeDocument/2006/relationships/hyperlink" Target="https://unesdoc.unesco.org/ark:/48223/pf0000387331" TargetMode="External"/><Relationship Id="rId32" Type="http://schemas.openxmlformats.org/officeDocument/2006/relationships/hyperlink" Target="https://pst.giustizia.it/PST/it/homepage.page" TargetMode="External"/><Relationship Id="rId37" Type="http://schemas.openxmlformats.org/officeDocument/2006/relationships/hyperlink" Target="https://oxrisk.com/oxrec-9/" TargetMode="External"/><Relationship Id="rId53" Type="http://schemas.openxmlformats.org/officeDocument/2006/relationships/hyperlink" Target="https://interlex-portal.eu/en/index.html" TargetMode="External"/><Relationship Id="rId58" Type="http://schemas.openxmlformats.org/officeDocument/2006/relationships/hyperlink" Target="https://www.vk.sud.rs/sr-lat/baza-sudske-prakse-suda" TargetMode="External"/><Relationship Id="rId74" Type="http://schemas.openxmlformats.org/officeDocument/2006/relationships/hyperlink" Target="https://www.bmj.de/DE/themen/digitales/digitalisierung_justiz/digitalisierungsinitiative/laendervorhaben/_doc/artikel_vorhaben_07_struki.html" TargetMode="External"/><Relationship Id="rId79" Type="http://schemas.openxmlformats.org/officeDocument/2006/relationships/hyperlink" Target="https://rm.coe.int/cepej-gt-cyberjust-2023-5final-en-note-on-generative-ai/1680ae8e01" TargetMode="External"/><Relationship Id="rId102" Type="http://schemas.openxmlformats.org/officeDocument/2006/relationships/hyperlink" Target="https://rm.coe.int/internal-system/4880299b55" TargetMode="External"/><Relationship Id="rId123" Type="http://schemas.openxmlformats.org/officeDocument/2006/relationships/hyperlink" Target="https://ciapj.fgv.br/sites/ciapj.fgv.br/files/relatorio_ia_3a_edicao_0.pdf" TargetMode="External"/><Relationship Id="rId128" Type="http://schemas.openxmlformats.org/officeDocument/2006/relationships/hyperlink" Target="https://www.banque-france.fr/" TargetMode="External"/><Relationship Id="rId144" Type="http://schemas.openxmlformats.org/officeDocument/2006/relationships/hyperlink" Target="https://radar.ircai.org/en/tools/anuvaad/" TargetMode="External"/><Relationship Id="rId149" Type="http://schemas.openxmlformats.org/officeDocument/2006/relationships/hyperlink" Target="https://algoritmes.overheid.nl/en/algoritme/oorg10114/93743583/calculating-detention-periods" TargetMode="External"/><Relationship Id="rId5" Type="http://schemas.openxmlformats.org/officeDocument/2006/relationships/hyperlink" Target="https://govtech.justica.gov.pt/en/portfolio/automated-anonymization-of-court-decisions-ongoing/" TargetMode="External"/><Relationship Id="rId90" Type="http://schemas.openxmlformats.org/officeDocument/2006/relationships/hyperlink" Target="https://algoritmes.overheid.nl/en/algoritme/oorg10249/71975649/register-criminal-database" TargetMode="External"/><Relationship Id="rId95" Type="http://schemas.openxmlformats.org/officeDocument/2006/relationships/hyperlink" Target="https://rm.coe.int/internal-system/4880299b55" TargetMode="External"/><Relationship Id="rId160" Type="http://schemas.openxmlformats.org/officeDocument/2006/relationships/hyperlink" Target="https://radar.ircai.org/en/tools/datalex/" TargetMode="External"/><Relationship Id="rId165" Type="http://schemas.openxmlformats.org/officeDocument/2006/relationships/table" Target="../tables/table1.xml"/><Relationship Id="rId22" Type="http://schemas.openxmlformats.org/officeDocument/2006/relationships/hyperlink" Target="https://www.bundestag.de/resource/blob/832204/6813d064fab52e9b6d54cbbf5319cea3/WD-7-017-21-pdf-data.pdf" TargetMode="External"/><Relationship Id="rId27" Type="http://schemas.openxmlformats.org/officeDocument/2006/relationships/hyperlink" Target="https://ciapj.fgv.br/sites/ciapj.fgv.br/files/relatorio_ia_3a_edicao_0.pdf" TargetMode="External"/><Relationship Id="rId43" Type="http://schemas.openxmlformats.org/officeDocument/2006/relationships/hyperlink" Target="https://www.cep-probation.org/risk-assessment-the-dutch-way-a-scalable-easy-to-use-tool-for-probation-reports/" TargetMode="External"/><Relationship Id="rId48" Type="http://schemas.openxmlformats.org/officeDocument/2006/relationships/hyperlink" Target="http://domsdatabasen.dk/" TargetMode="External"/><Relationship Id="rId64" Type="http://schemas.openxmlformats.org/officeDocument/2006/relationships/hyperlink" Target="https://www.sixthtone.com/news/1003496/shanghai-court-adopts-new-ai-assistant" TargetMode="External"/><Relationship Id="rId69" Type="http://schemas.openxmlformats.org/officeDocument/2006/relationships/hyperlink" Target="https://www.perplexity.ai/" TargetMode="External"/><Relationship Id="rId113" Type="http://schemas.openxmlformats.org/officeDocument/2006/relationships/hyperlink" Target="https://algoritmes.overheid.nl/en/algoritme/geautomatiseerde-voorselectie-bij-controle-op-rechtspersonen-justis/88952925" TargetMode="External"/><Relationship Id="rId118" Type="http://schemas.openxmlformats.org/officeDocument/2006/relationships/hyperlink" Target="https://www.zitis.bund.de/DE/WerWirSind/werwirsind_node.html" TargetMode="External"/><Relationship Id="rId134" Type="http://schemas.openxmlformats.org/officeDocument/2006/relationships/hyperlink" Target="https://essential-data.sk/referencie/" TargetMode="External"/><Relationship Id="rId139" Type="http://schemas.openxmlformats.org/officeDocument/2006/relationships/hyperlink" Target="https://github.com/OpenNyAI/aalap_legal_llm" TargetMode="External"/><Relationship Id="rId80" Type="http://schemas.openxmlformats.org/officeDocument/2006/relationships/hyperlink" Target="https://rm.coe.int/cepej-gt-cyberjust-2023-5final-en-note-on-generative-ai/1680ae8e01" TargetMode="External"/><Relationship Id="rId85" Type="http://schemas.openxmlformats.org/officeDocument/2006/relationships/hyperlink" Target="https://justica.gov.cv/chat/" TargetMode="External"/><Relationship Id="rId150" Type="http://schemas.openxmlformats.org/officeDocument/2006/relationships/hyperlink" Target="https://algoritmes.overheid.nl/en/algoritme/mnre1058/535137/537490/15996611/risk-assessment-instrument-juvenile-criminal-justice-ritax" TargetMode="External"/><Relationship Id="rId155" Type="http://schemas.openxmlformats.org/officeDocument/2006/relationships/hyperlink" Target="https://sites.google.com/view/aymurai-en" TargetMode="External"/><Relationship Id="rId12" Type="http://schemas.openxmlformats.org/officeDocument/2006/relationships/hyperlink" Target="https://www.business-standard.com/article/pti-stories/software-developed-to-translate-sc-judgments-in-9-vernacular-languages-law-minister-rs-prasad-119121200851_1.html" TargetMode="External"/><Relationship Id="rId17" Type="http://schemas.openxmlformats.org/officeDocument/2006/relationships/hyperlink" Target="https://www.nsa.gov.pl/sprawozdania-roczne.php%20(e.g.%202007,%20p.%20355)" TargetMode="External"/><Relationship Id="rId33" Type="http://schemas.openxmlformats.org/officeDocument/2006/relationships/hyperlink" Target="https://pst.giustizia.it/PST/it/homepage.page" TargetMode="External"/><Relationship Id="rId38" Type="http://schemas.openxmlformats.org/officeDocument/2006/relationships/hyperlink" Target="https://medium.com/legal-design-and-innovation/ai-goes-to-court-the-growing-landscape-of-ai-for-access-to-justice-3f58aca4306f" TargetMode="External"/><Relationship Id="rId59" Type="http://schemas.openxmlformats.org/officeDocument/2006/relationships/hyperlink" Target="https://www.rik.ee/en/international/court-information-system" TargetMode="External"/><Relationship Id="rId103" Type="http://schemas.openxmlformats.org/officeDocument/2006/relationships/hyperlink" Target="https://rm.coe.int/internal-system/4880299b55" TargetMode="External"/><Relationship Id="rId108" Type="http://schemas.openxmlformats.org/officeDocument/2006/relationships/hyperlink" Target="https://rm.coe.int/internal-system/4880299b55" TargetMode="External"/><Relationship Id="rId124" Type="http://schemas.openxmlformats.org/officeDocument/2006/relationships/hyperlink" Target="https://site.unibo.it/compulaw/en/project" TargetMode="External"/><Relationship Id="rId129" Type="http://schemas.openxmlformats.org/officeDocument/2006/relationships/hyperlink" Target="https://cicc.court.gov.cn/html/1/219/199/201/2208.html" TargetMode="External"/><Relationship Id="rId54" Type="http://schemas.openxmlformats.org/officeDocument/2006/relationships/hyperlink" Target="https://ciapj.fgv.br/sites/ciapj.fgv.br/files/relatorio_ia_3a_edicao_0.pdf" TargetMode="External"/><Relationship Id="rId70" Type="http://schemas.openxmlformats.org/officeDocument/2006/relationships/hyperlink" Target="https://ai.meta.com/" TargetMode="External"/><Relationship Id="rId75" Type="http://schemas.openxmlformats.org/officeDocument/2006/relationships/hyperlink" Target="https://rm.coe.int/cepej-gt-cyberjust-2023-5final-en-note-on-generative-ai/1680ae8e01" TargetMode="External"/><Relationship Id="rId91" Type="http://schemas.openxmlformats.org/officeDocument/2006/relationships/hyperlink" Target="https://rm.coe.int/internal-system/4880299b55" TargetMode="External"/><Relationship Id="rId96" Type="http://schemas.openxmlformats.org/officeDocument/2006/relationships/hyperlink" Target="https://rm.coe.int/internal-system/4880299b55" TargetMode="External"/><Relationship Id="rId140" Type="http://schemas.openxmlformats.org/officeDocument/2006/relationships/hyperlink" Target="https://www.mediasupport.org/wp-content/uploads/2021/07/AI-ML-in-Emerging-Markets-vFinal4.pdf" TargetMode="External"/><Relationship Id="rId145" Type="http://schemas.openxmlformats.org/officeDocument/2006/relationships/hyperlink" Target="https://rm.coe.int/2025-thematic-study-of-the-ccpe/488028fc1b" TargetMode="External"/><Relationship Id="rId161" Type="http://schemas.openxmlformats.org/officeDocument/2006/relationships/hyperlink" Target="https://sistemaviogen.ses.mir.es/publico/viogen/en/" TargetMode="External"/><Relationship Id="rId166" Type="http://schemas.openxmlformats.org/officeDocument/2006/relationships/comments" Target="../comments1.xml"/><Relationship Id="rId1" Type="http://schemas.openxmlformats.org/officeDocument/2006/relationships/hyperlink" Target="https://go.gov.sg/chat-probate" TargetMode="External"/><Relationship Id="rId6" Type="http://schemas.openxmlformats.org/officeDocument/2006/relationships/hyperlink" Target="https://hessen.de/presse/pressearchiv/hessen-und-brandenburg-kooperieren-beim-ki-projekt-frauke" TargetMode="External"/><Relationship Id="rId15" Type="http://schemas.openxmlformats.org/officeDocument/2006/relationships/hyperlink" Target="https://govtech.justica.gov.pt/en/portfolio/practical-guide-to-justice-ongoing/" TargetMode="External"/><Relationship Id="rId23" Type="http://schemas.openxmlformats.org/officeDocument/2006/relationships/hyperlink" Target="https://www.courdecassation.fr/acces-rapide-judilibre/open-data-et-api" TargetMode="External"/><Relationship Id="rId28" Type="http://schemas.openxmlformats.org/officeDocument/2006/relationships/hyperlink" Target="https://www.cnj.jus.br/sistemas/plataforma-sinapses/" TargetMode="External"/><Relationship Id="rId36" Type="http://schemas.openxmlformats.org/officeDocument/2006/relationships/hyperlink" Target="https://www.justiz.gv.at/file/2c94848b6ff7074f017493349cf54406.de.0/it-anwendungen%20in%20der%20%C3%B6sterreichischen%20justiz%20stand%20august%202020.pdf?forcedownload=true" TargetMode="External"/><Relationship Id="rId49" Type="http://schemas.openxmlformats.org/officeDocument/2006/relationships/hyperlink" Target="https://www.equivant.com/wp-content/uploads/Practitioners-Guide-to-COMPAS-Core-040419.pdf" TargetMode="External"/><Relationship Id="rId57" Type="http://schemas.openxmlformats.org/officeDocument/2006/relationships/hyperlink" Target="https://www.santannapisa.it/it/news/locchio-della-tecnologia-sulla-giustizia-di-genova-unintelligenza-artificiale-potra-prevedere" TargetMode="External"/><Relationship Id="rId106" Type="http://schemas.openxmlformats.org/officeDocument/2006/relationships/hyperlink" Target="https://rm.coe.int/internal-system/4880299b55" TargetMode="External"/><Relationship Id="rId114" Type="http://schemas.openxmlformats.org/officeDocument/2006/relationships/hyperlink" Target="https://algoritmes.overheid.nl/en/algoritme/zb000150/38595787/addon-dispenser" TargetMode="External"/><Relationship Id="rId119" Type="http://schemas.openxmlformats.org/officeDocument/2006/relationships/hyperlink" Target="https://www.bundestag.de/resource/blob/832204/6813d064fab52e9b6d54cbbf5319cea3/WD-7-017-21-pdf-data.pdf" TargetMode="External"/><Relationship Id="rId127" Type="http://schemas.openxmlformats.org/officeDocument/2006/relationships/hyperlink" Target="http://www.legaldaily.com.cn/IT/content/2021-08/09/content_8575512.htm" TargetMode="External"/><Relationship Id="rId10" Type="http://schemas.openxmlformats.org/officeDocument/2006/relationships/hyperlink" Target="https://giswatch.org/node/6166" TargetMode="External"/><Relationship Id="rId31" Type="http://schemas.openxmlformats.org/officeDocument/2006/relationships/hyperlink" Target="https://seco.cs.aalto.fi/publications/2022/oksanen-et-al-anoppi-2022.pdf" TargetMode="External"/><Relationship Id="rId44" Type="http://schemas.openxmlformats.org/officeDocument/2006/relationships/hyperlink" Target="https://journals.sagepub.com/doi/10.1177/0093854819848793" TargetMode="External"/><Relationship Id="rId52" Type="http://schemas.openxmlformats.org/officeDocument/2006/relationships/hyperlink" Target="https://jurisays.com/" TargetMode="External"/><Relationship Id="rId60" Type="http://schemas.openxmlformats.org/officeDocument/2006/relationships/hyperlink" Target="https://sudovi.hr/en/citizens/e-case" TargetMode="External"/><Relationship Id="rId65" Type="http://schemas.openxmlformats.org/officeDocument/2006/relationships/hyperlink" Target="http://www.ezhejiang.gov.cn/2022-08/23/c_804705.htm" TargetMode="External"/><Relationship Id="rId73" Type="http://schemas.openxmlformats.org/officeDocument/2006/relationships/hyperlink" Target="https://claude.ai/" TargetMode="External"/><Relationship Id="rId78" Type="http://schemas.openxmlformats.org/officeDocument/2006/relationships/hyperlink" Target="https://rm.coe.int/cepej-gt-cyberjust-2023-5final-en-note-on-generative-ai/1680ae8e01" TargetMode="External"/><Relationship Id="rId81" Type="http://schemas.openxmlformats.org/officeDocument/2006/relationships/hyperlink" Target="https://rm.coe.int/cepej-gt-cyberjust-2023-5final-en-note-on-generative-ai/1680ae8e01" TargetMode="External"/><Relationship Id="rId86" Type="http://schemas.openxmlformats.org/officeDocument/2006/relationships/hyperlink" Target="https://justica.gov.cv/" TargetMode="External"/><Relationship Id="rId94" Type="http://schemas.openxmlformats.org/officeDocument/2006/relationships/hyperlink" Target="https://rm.coe.int/internal-system/4880299b55" TargetMode="External"/><Relationship Id="rId99" Type="http://schemas.openxmlformats.org/officeDocument/2006/relationships/hyperlink" Target="https://rm.coe.int/internal-system/4880299b55" TargetMode="External"/><Relationship Id="rId101" Type="http://schemas.openxmlformats.org/officeDocument/2006/relationships/hyperlink" Target="https://rm.coe.int/internal-system/4880299b55" TargetMode="External"/><Relationship Id="rId122" Type="http://schemas.openxmlformats.org/officeDocument/2006/relationships/hyperlink" Target="https://www.sciencedirect.com/science/article/abs/pii/S0306437921000788" TargetMode="External"/><Relationship Id="rId130" Type="http://schemas.openxmlformats.org/officeDocument/2006/relationships/hyperlink" Target="https://www.banque-france.fr/" TargetMode="External"/><Relationship Id="rId135" Type="http://schemas.openxmlformats.org/officeDocument/2006/relationships/hyperlink" Target="https://www.ungm.org/Public/Notice/190423" TargetMode="External"/><Relationship Id="rId143" Type="http://schemas.openxmlformats.org/officeDocument/2006/relationships/hyperlink" Target="https://www.anuvaad.org/" TargetMode="External"/><Relationship Id="rId148" Type="http://schemas.openxmlformats.org/officeDocument/2006/relationships/hyperlink" Target="https://algoritmes.overheid.nl/en/algoritme/oorg10114/85258929/matching-offender-to-forensic-care-location-ifzo-algorithm" TargetMode="External"/><Relationship Id="rId151" Type="http://schemas.openxmlformats.org/officeDocument/2006/relationships/hyperlink" Target="https://algoritmes.overheid.nl/en/algoritme/oorg10249/71975649/register-criminal-database" TargetMode="External"/><Relationship Id="rId156" Type="http://schemas.openxmlformats.org/officeDocument/2006/relationships/hyperlink" Target="https://radar.ircai.org/en/tools/aymurai/" TargetMode="External"/><Relationship Id="rId164" Type="http://schemas.openxmlformats.org/officeDocument/2006/relationships/vmlDrawing" Target="../drawings/vmlDrawing1.vml"/><Relationship Id="rId4" Type="http://schemas.openxmlformats.org/officeDocument/2006/relationships/hyperlink" Target="https://www.channelnewsasia.com/singapore/artificial-intelligence-court-small-claims-singapore-chatgpt-3801756" TargetMode="External"/><Relationship Id="rId9" Type="http://schemas.openxmlformats.org/officeDocument/2006/relationships/hyperlink" Target="https://unesdoc.unesco.org/ark:/48223/pf0000387331" TargetMode="External"/><Relationship Id="rId13" Type="http://schemas.openxmlformats.org/officeDocument/2006/relationships/hyperlink" Target="https://unesdoc.unesco.org/ark:/48223/pf0000387331" TargetMode="External"/><Relationship Id="rId18" Type="http://schemas.openxmlformats.org/officeDocument/2006/relationships/hyperlink" Target="https://www.softprodukt.com.pl/system/gall" TargetMode="External"/><Relationship Id="rId39" Type="http://schemas.openxmlformats.org/officeDocument/2006/relationships/hyperlink" Target="https://www.bundestag.de/resource/blob/832204/6813d064fab52e9b6d54cbbf5319cea3/WD-7-017-21-pdf-data.pdf" TargetMode="External"/><Relationship Id="rId109" Type="http://schemas.openxmlformats.org/officeDocument/2006/relationships/hyperlink" Target="https://rm.coe.int/internal-system/4880299b55" TargetMode="External"/><Relationship Id="rId34" Type="http://schemas.openxmlformats.org/officeDocument/2006/relationships/hyperlink" Target="https://pst.giustizia.it/PST/it/homepage.page" TargetMode="External"/><Relationship Id="rId50" Type="http://schemas.openxmlformats.org/officeDocument/2006/relationships/hyperlink" Target="https://e-estonia.com/introducing-salme-estonian-courts-speech-recognition-assistant/" TargetMode="External"/><Relationship Id="rId55" Type="http://schemas.openxmlformats.org/officeDocument/2006/relationships/hyperlink" Target="https://www.teismai.lt/data/public/uploads/2022/03/teismai2022-taisytas.pdf" TargetMode="External"/><Relationship Id="rId76" Type="http://schemas.openxmlformats.org/officeDocument/2006/relationships/hyperlink" Target="https://rm.coe.int/cepej-gt-cyberjust-2023-5final-en-note-on-generative-ai/1680ae8e01" TargetMode="External"/><Relationship Id="rId97" Type="http://schemas.openxmlformats.org/officeDocument/2006/relationships/hyperlink" Target="https://rm.coe.int/internal-system/4880299b55" TargetMode="External"/><Relationship Id="rId104" Type="http://schemas.openxmlformats.org/officeDocument/2006/relationships/hyperlink" Target="https://rm.coe.int/internal-system/4880299b55" TargetMode="External"/><Relationship Id="rId120" Type="http://schemas.openxmlformats.org/officeDocument/2006/relationships/hyperlink" Target="https://oberlandesgericht-celle.niedersachsen.de/download/184478/Grundlagenpapier_der_Arbeitsgruppe_zum_Einsatz_von_KI_und_algorithmischen_Systemen_in_der_Justiz.pdf" TargetMode="External"/><Relationship Id="rId125" Type="http://schemas.openxmlformats.org/officeDocument/2006/relationships/hyperlink" Target="https://dl.acm.org/doi/abs/10.1145/3462757.3466149" TargetMode="External"/><Relationship Id="rId141" Type="http://schemas.openxmlformats.org/officeDocument/2006/relationships/hyperlink" Target="https://amica.gov.au/" TargetMode="External"/><Relationship Id="rId146" Type="http://schemas.openxmlformats.org/officeDocument/2006/relationships/hyperlink" Target="https://rm.coe.int/2025-thematic-study-of-the-ccpe/488028fc1b" TargetMode="External"/><Relationship Id="rId7" Type="http://schemas.openxmlformats.org/officeDocument/2006/relationships/hyperlink" Target="https://www.justiz-bw.de/,Lde/10619184/?LISTPAGE=6161506" TargetMode="External"/><Relationship Id="rId71" Type="http://schemas.openxmlformats.org/officeDocument/2006/relationships/hyperlink" Target="https://copilot.cloud.microsoft/" TargetMode="External"/><Relationship Id="rId92" Type="http://schemas.openxmlformats.org/officeDocument/2006/relationships/hyperlink" Target="https://rm.coe.int/internal-system/4880299b55" TargetMode="External"/><Relationship Id="rId162" Type="http://schemas.openxmlformats.org/officeDocument/2006/relationships/hyperlink" Target="https://eucpn.org/sites/default/files/document/files/Buena%20practica%20VIOGEN_0.pdf" TargetMode="External"/><Relationship Id="rId2" Type="http://schemas.openxmlformats.org/officeDocument/2006/relationships/hyperlink" Target="https://go.gov.sg/chat-crime" TargetMode="External"/><Relationship Id="rId29" Type="http://schemas.openxmlformats.org/officeDocument/2006/relationships/hyperlink" Target="https://ciapj.fgv.br/sites/ciapj.fgv.br/files/relatorio_ia_3a_edicao_0.pdf" TargetMode="External"/><Relationship Id="rId24" Type="http://schemas.openxmlformats.org/officeDocument/2006/relationships/hyperlink" Target="https://www.swr.de/swraktuell/baden-wuerttemberg/stuttgart/olg-stuttgart-mit-ki-gegen-flut-von-dieselklagen-100.html" TargetMode="External"/><Relationship Id="rId40" Type="http://schemas.openxmlformats.org/officeDocument/2006/relationships/hyperlink" Target="https://www.bundestag.de/resource/blob/832204/6813d064fab52e9b6d54cbbf5319cea3/WD-7-017-21-pdf-data.pdf" TargetMode="External"/><Relationship Id="rId45" Type="http://schemas.openxmlformats.org/officeDocument/2006/relationships/hyperlink" Target="https://assets.publishing.service.gov.uk/government/uploads/system/uploads/attachment_data/file/491688/oasys-methodology.pdf" TargetMode="External"/><Relationship Id="rId66" Type="http://schemas.openxmlformats.org/officeDocument/2006/relationships/hyperlink" Target="https://x.ai/grok" TargetMode="External"/><Relationship Id="rId87" Type="http://schemas.openxmlformats.org/officeDocument/2006/relationships/hyperlink" Target="https://algoritmes.overheid.nl/en/algoritme/oorg10114/85258929/matching-offender-to-forensic-care-location-ifzo-algorithm" TargetMode="External"/><Relationship Id="rId110" Type="http://schemas.openxmlformats.org/officeDocument/2006/relationships/hyperlink" Target="https://rm.coe.int/internal-system/4880299b55" TargetMode="External"/><Relationship Id="rId115" Type="http://schemas.openxmlformats.org/officeDocument/2006/relationships/hyperlink" Target="https://algoritmes.overheid.nl/en/algoritme/zb000150/73772213/sampler" TargetMode="External"/><Relationship Id="rId131" Type="http://schemas.openxmlformats.org/officeDocument/2006/relationships/hyperlink" Target="https://www.cortedicassazione.it/corte-di-cassazione/it/dett_cst.page?contentId=CST26104" TargetMode="External"/><Relationship Id="rId136" Type="http://schemas.openxmlformats.org/officeDocument/2006/relationships/hyperlink" Target="https://justice.public.lu/fr/jurisprudence/jurisprudence-judoc.html" TargetMode="External"/><Relationship Id="rId157" Type="http://schemas.openxmlformats.org/officeDocument/2006/relationships/hyperlink" Target="https://www.checkbox.ai/" TargetMode="External"/><Relationship Id="rId61" Type="http://schemas.openxmlformats.org/officeDocument/2006/relationships/hyperlink" Target="https://openai.com/blog/chatgpt" TargetMode="External"/><Relationship Id="rId82" Type="http://schemas.openxmlformats.org/officeDocument/2006/relationships/hyperlink" Target="https://rm.coe.int/cepej-gt-cyberjust-2023-5final-en-note-on-generative-ai/1680ae8e01" TargetMode="External"/><Relationship Id="rId152" Type="http://schemas.openxmlformats.org/officeDocument/2006/relationships/hyperlink" Target="https://algoritmes.overheid.nl/en/algoritme/geautomatiseerde-voorselectie-bij-controle-op-rechtspersonen-justis/88952925" TargetMode="External"/><Relationship Id="rId19" Type="http://schemas.openxmlformats.org/officeDocument/2006/relationships/hyperlink" Target="https://www.baden-wuerttemberg.de/de/service/presse/pressemitteilung/pid/kuenstliche-intelligenz-in-der-justiz/" TargetMode="External"/><Relationship Id="rId14" Type="http://schemas.openxmlformats.org/officeDocument/2006/relationships/hyperlink" Target="https://ww2.lacourt.org/traffic/ui/trafficOS.aspx?s=1&amp;language=1" TargetMode="External"/><Relationship Id="rId30" Type="http://schemas.openxmlformats.org/officeDocument/2006/relationships/hyperlink" Target="https://seco-cs-aalto-fi.translate.goog/projects/anoppi/?_x_tr_sl=fi&amp;_x_tr_tl=en&amp;_x_tr_hl=fi" TargetMode="External"/><Relationship Id="rId35" Type="http://schemas.openxmlformats.org/officeDocument/2006/relationships/hyperlink" Target="https://rm.coe.int/recommendations-on-ict-solutions-in-enforcement-eng/1680a31561" TargetMode="External"/><Relationship Id="rId56" Type="http://schemas.openxmlformats.org/officeDocument/2006/relationships/hyperlink" Target="https://www.mkd.gov.lv/en/information-about-emus" TargetMode="External"/><Relationship Id="rId77" Type="http://schemas.openxmlformats.org/officeDocument/2006/relationships/hyperlink" Target="https://rm.coe.int/cepej-gt-cyberjust-2023-5final-en-note-on-generative-ai/1680ae8e01" TargetMode="External"/><Relationship Id="rId100" Type="http://schemas.openxmlformats.org/officeDocument/2006/relationships/hyperlink" Target="https://rm.coe.int/internal-system/4880299b55" TargetMode="External"/><Relationship Id="rId105" Type="http://schemas.openxmlformats.org/officeDocument/2006/relationships/hyperlink" Target="https://rm.coe.int/internal-system/4880299b55" TargetMode="External"/><Relationship Id="rId126" Type="http://schemas.openxmlformats.org/officeDocument/2006/relationships/hyperlink" Target="http://dongfang.hnzhengfa.gov.cn/dfdt/show-3633.html" TargetMode="External"/><Relationship Id="rId147" Type="http://schemas.openxmlformats.org/officeDocument/2006/relationships/hyperlink" Target="https://justica.gov.cv/chat/" TargetMode="External"/><Relationship Id="rId8" Type="http://schemas.openxmlformats.org/officeDocument/2006/relationships/hyperlink" Target="https://webcast.gov.in/events/MTI1MQ--/session/MzE1MA--" TargetMode="External"/><Relationship Id="rId51" Type="http://schemas.openxmlformats.org/officeDocument/2006/relationships/hyperlink" Target="https://civilresolutionbc.ca/" TargetMode="External"/><Relationship Id="rId72" Type="http://schemas.openxmlformats.org/officeDocument/2006/relationships/hyperlink" Target="https://gemini.google.com/" TargetMode="External"/><Relationship Id="rId93" Type="http://schemas.openxmlformats.org/officeDocument/2006/relationships/hyperlink" Target="https://rm.coe.int/internal-system/4880299b55" TargetMode="External"/><Relationship Id="rId98" Type="http://schemas.openxmlformats.org/officeDocument/2006/relationships/hyperlink" Target="https://rm.coe.int/internal-system/4880299b55" TargetMode="External"/><Relationship Id="rId121" Type="http://schemas.openxmlformats.org/officeDocument/2006/relationships/hyperlink" Target="https://www.jusgov.uminho.pt/executed-projects/drafter/" TargetMode="External"/><Relationship Id="rId142" Type="http://schemas.openxmlformats.org/officeDocument/2006/relationships/hyperlink" Target="https://radar.ircai.org/en/tools/amica/" TargetMode="External"/><Relationship Id="rId163" Type="http://schemas.openxmlformats.org/officeDocument/2006/relationships/printerSettings" Target="../printerSettings/printerSettings1.bin"/><Relationship Id="rId3" Type="http://schemas.openxmlformats.org/officeDocument/2006/relationships/hyperlink" Target="https://go.gov.sg/chat-neighbour" TargetMode="External"/><Relationship Id="rId25" Type="http://schemas.openxmlformats.org/officeDocument/2006/relationships/hyperlink" Target="https://adele-tool.eu/" TargetMode="External"/><Relationship Id="rId46" Type="http://schemas.openxmlformats.org/officeDocument/2006/relationships/hyperlink" Target="https://www.durham.police.uk/News/News-Articles/2022/January/AI-can-predict-reoffending-university-study-finds.aspx" TargetMode="External"/><Relationship Id="rId67" Type="http://schemas.openxmlformats.org/officeDocument/2006/relationships/hyperlink" Target="https://www.deepseek.com/" TargetMode="External"/><Relationship Id="rId116" Type="http://schemas.openxmlformats.org/officeDocument/2006/relationships/hyperlink" Target="https://tributar-ia.it/" TargetMode="External"/><Relationship Id="rId137" Type="http://schemas.openxmlformats.org/officeDocument/2006/relationships/hyperlink" Target="https://donotpay.com/learn/dispute-traffic-tickets/" TargetMode="External"/><Relationship Id="rId158" Type="http://schemas.openxmlformats.org/officeDocument/2006/relationships/hyperlink" Target="https://radar.ircai.org/en/tools/checkbox/" TargetMode="External"/><Relationship Id="rId20" Type="http://schemas.openxmlformats.org/officeDocument/2006/relationships/hyperlink" Target="https://www.bundestag.de/resource/blob/832204/6813d064fab52e9b6d54cbbf5319cea3/WD-7-017-21-pdf-data.pdf" TargetMode="External"/><Relationship Id="rId41" Type="http://schemas.openxmlformats.org/officeDocument/2006/relationships/hyperlink" Target="https://onlinelibrary.wiley.com/doi/abs/10.1002/9781119184256.ch13" TargetMode="External"/><Relationship Id="rId62" Type="http://schemas.openxmlformats.org/officeDocument/2006/relationships/hyperlink" Target="https://www.chinajusticeobserver.com/a/chinese-courts-on-smart-phones" TargetMode="External"/><Relationship Id="rId83" Type="http://schemas.openxmlformats.org/officeDocument/2006/relationships/hyperlink" Target="https://amica.gov.au/" TargetMode="External"/><Relationship Id="rId88" Type="http://schemas.openxmlformats.org/officeDocument/2006/relationships/hyperlink" Target="https://algoritmes.overheid.nl/en/algoritme/oorg10114/93743583/calculating-detention-periods" TargetMode="External"/><Relationship Id="rId111" Type="http://schemas.openxmlformats.org/officeDocument/2006/relationships/hyperlink" Target="https://ris.bka.gv.at/Jus/" TargetMode="External"/><Relationship Id="rId132" Type="http://schemas.openxmlformats.org/officeDocument/2006/relationships/hyperlink" Target="https://cicc.court.gov.cn/html/1/219/199/201/2208.html" TargetMode="External"/><Relationship Id="rId153" Type="http://schemas.openxmlformats.org/officeDocument/2006/relationships/hyperlink" Target="https://algoritmes.overheid.nl/en/algoritme/inkomensverklaring-raad-voor-rechtsbijstand/25228393"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printerSettings" Target="../printerSettings/printerSettings3.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tilde.com/products-and-services/ai-powered-chatbots/case-studies/Justs" TargetMode="External"/><Relationship Id="rId1" Type="http://schemas.openxmlformats.org/officeDocument/2006/relationships/hyperlink" Target="https://www.bundestag.de/resource/blob/832204/6813d064fab52e9b6d54cbbf5319cea3/WD-7-017-21-pdf-data.p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edurusmabilgi.adalet.gov.tr/" TargetMode="External"/><Relationship Id="rId3" Type="http://schemas.openxmlformats.org/officeDocument/2006/relationships/hyperlink" Target="https://pst.giustizia.it/PST/it/homepage.page" TargetMode="External"/><Relationship Id="rId7" Type="http://schemas.openxmlformats.org/officeDocument/2006/relationships/hyperlink" Target="https://www.gov.cy/en/digital-services/justice-safety-and-defence/case-management/ijustice" TargetMode="External"/><Relationship Id="rId2" Type="http://schemas.openxmlformats.org/officeDocument/2006/relationships/hyperlink" Target="https://etoimik.rik.ee/" TargetMode="External"/><Relationship Id="rId1" Type="http://schemas.openxmlformats.org/officeDocument/2006/relationships/hyperlink" Target="https://birosag.hu/ugyfeleknek/elektronikus-ugyintezes/elektronikus-kapcsolattartas-birosagokkal/e-per/altalanos-tajekoztato" TargetMode="External"/><Relationship Id="rId6" Type="http://schemas.openxmlformats.org/officeDocument/2006/relationships/hyperlink" Target="https://eakta.birosag.hu/" TargetMode="External"/><Relationship Id="rId11" Type="http://schemas.openxmlformats.org/officeDocument/2006/relationships/comments" Target="../comments2.xml"/><Relationship Id="rId5" Type="http://schemas.openxmlformats.org/officeDocument/2006/relationships/hyperlink" Target="https://edurusmabilgi.adalet.gov.tr/" TargetMode="External"/><Relationship Id="rId10" Type="http://schemas.openxmlformats.org/officeDocument/2006/relationships/vmlDrawing" Target="../drawings/vmlDrawing2.vml"/><Relationship Id="rId4" Type="http://schemas.openxmlformats.org/officeDocument/2006/relationships/hyperlink" Target="https://www.giustizia-amministrativa.it/processo-amministrativo-telematico" TargetMode="External"/><Relationship Id="rId9" Type="http://schemas.openxmlformats.org/officeDocument/2006/relationships/hyperlink" Target="https://www.lps.lv/uploads/docs_module/2018_5_p1.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izsoles.ta.gov.lv/"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litige.fr/" TargetMode="External"/><Relationship Id="rId13" Type="http://schemas.openxmlformats.org/officeDocument/2006/relationships/hyperlink" Target="https://www.justice.cool/" TargetMode="External"/><Relationship Id="rId18" Type="http://schemas.openxmlformats.org/officeDocument/2006/relationships/hyperlink" Target="https://www.harvey.ai/" TargetMode="External"/><Relationship Id="rId26" Type="http://schemas.openxmlformats.org/officeDocument/2006/relationships/hyperlink" Target="https://oberlandesgericht-celle.niedersachsen.de/download/184478/Grundlagenpapier_der_Arbeitsgruppe_zum_Einsatz_von_KI_und_algorithmischen_Systemen_in_der_Justiz.pdf" TargetMode="External"/><Relationship Id="rId3" Type="http://schemas.openxmlformats.org/officeDocument/2006/relationships/hyperlink" Target="https://pozeweu.web.app/" TargetMode="External"/><Relationship Id="rId21" Type="http://schemas.openxmlformats.org/officeDocument/2006/relationships/hyperlink" Target="https://legigpt.fr/" TargetMode="External"/><Relationship Id="rId7" Type="http://schemas.openxmlformats.org/officeDocument/2006/relationships/hyperlink" Target="https://www.saisirprudhommes.com/" TargetMode="External"/><Relationship Id="rId12" Type="http://schemas.openxmlformats.org/officeDocument/2006/relationships/hyperlink" Target="https://www.remidafamiglia.com/" TargetMode="External"/><Relationship Id="rId17" Type="http://schemas.openxmlformats.org/officeDocument/2006/relationships/hyperlink" Target="https://www.editions-legislatives.fr/genial" TargetMode="External"/><Relationship Id="rId25" Type="http://schemas.openxmlformats.org/officeDocument/2006/relationships/hyperlink" Target="https://oberlandesgericht-celle.niedersachsen.de/download/184478/Grundlagenpapier_der_Arbeitsgruppe_zum_Einsatz_von_KI_und_algorithmischen_Systemen_in_der_Justiz.pdf" TargetMode="External"/><Relationship Id="rId2" Type="http://schemas.openxmlformats.org/officeDocument/2006/relationships/hyperlink" Target="https://pozew.app/" TargetMode="External"/><Relationship Id="rId16" Type="http://schemas.openxmlformats.org/officeDocument/2006/relationships/hyperlink" Target="https://www.wolterskluwer.com/fr-fr/solutions/legisway/contract-review-for-legal-departments" TargetMode="External"/><Relationship Id="rId20" Type="http://schemas.openxmlformats.org/officeDocument/2006/relationships/hyperlink" Target="https://aikrs.pl/" TargetMode="External"/><Relationship Id="rId1" Type="http://schemas.openxmlformats.org/officeDocument/2006/relationships/hyperlink" Target="https://www.newtontech.net/en/newton-dictate/" TargetMode="External"/><Relationship Id="rId6" Type="http://schemas.openxmlformats.org/officeDocument/2006/relationships/hyperlink" Target="https://legal230.com/" TargetMode="External"/><Relationship Id="rId11" Type="http://schemas.openxmlformats.org/officeDocument/2006/relationships/hyperlink" Target="https://medicys.fr/" TargetMode="External"/><Relationship Id="rId24" Type="http://schemas.openxmlformats.org/officeDocument/2006/relationships/hyperlink" Target="https://oberlandesgericht-celle.niedersachsen.de/download/184478/Grundlagenpapier_der_Arbeitsgruppe_zum_Einsatz_von_KI_und_algorithmischen_Systemen_in_der_Justiz.pdf" TargetMode="External"/><Relationship Id="rId5" Type="http://schemas.openxmlformats.org/officeDocument/2006/relationships/hyperlink" Target="https://norma.software/" TargetMode="External"/><Relationship Id="rId15" Type="http://schemas.openxmlformats.org/officeDocument/2006/relationships/hyperlink" Target="https://contractpodai.com/automated-contract-review/" TargetMode="External"/><Relationship Id="rId23" Type="http://schemas.openxmlformats.org/officeDocument/2006/relationships/hyperlink" Target="https://oberlandesgericht-celle.niedersachsen.de/download/184478/Grundlagenpapier_der_Arbeitsgruppe_zum_Einsatz_von_KI_und_algorithmischen_Systemen_in_der_Justiz.pdf" TargetMode="External"/><Relationship Id="rId28" Type="http://schemas.openxmlformats.org/officeDocument/2006/relationships/comments" Target="../comments3.xml"/><Relationship Id="rId10" Type="http://schemas.openxmlformats.org/officeDocument/2006/relationships/hyperlink" Target="https://justice.pappers.fr/" TargetMode="External"/><Relationship Id="rId19" Type="http://schemas.openxmlformats.org/officeDocument/2006/relationships/hyperlink" Target="https://www.wired.com/story/chatgpt-generative-ai-is-coming-for-the-lawyers/" TargetMode="External"/><Relationship Id="rId4" Type="http://schemas.openxmlformats.org/officeDocument/2006/relationships/hyperlink" Target="https://jurisprudence.ninja/" TargetMode="External"/><Relationship Id="rId9" Type="http://schemas.openxmlformats.org/officeDocument/2006/relationships/hyperlink" Target="https://www.demanderjustice.com/" TargetMode="External"/><Relationship Id="rId14" Type="http://schemas.openxmlformats.org/officeDocument/2006/relationships/hyperlink" Target="https://contractpodai.com/leah-copilot-ai-legal-assistant/" TargetMode="External"/><Relationship Id="rId22" Type="http://schemas.openxmlformats.org/officeDocument/2006/relationships/hyperlink" Target="https://oberlandesgericht-celle.niedersachsen.de/download/184478/Grundlagenpapier_der_Arbeitsgruppe_zum_Einsatz_von_KI_und_algorithmischen_Systemen_in_der_Justiz.pdf" TargetMode="External"/><Relationship Id="rId27"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hyperlink" Target="https://algoritmes.overheid.nl/en/algoritm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odr.info/provider-lis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28A7-C5A1-4F2D-85B5-97BE67742054}">
  <sheetPr codeName="Sheet2">
    <tabColor rgb="FF00B0F0"/>
  </sheetPr>
  <dimension ref="A1:Y274"/>
  <sheetViews>
    <sheetView tabSelected="1" zoomScaleNormal="100" workbookViewId="0">
      <pane ySplit="1" topLeftCell="A181" activePane="bottomLeft" state="frozen"/>
      <selection pane="bottomLeft" activeCell="L128" sqref="L128"/>
    </sheetView>
  </sheetViews>
  <sheetFormatPr defaultColWidth="8.85546875" defaultRowHeight="36.75" customHeight="1" x14ac:dyDescent="0.25"/>
  <cols>
    <col min="1" max="1" width="17.140625" style="13" customWidth="1"/>
    <col min="2" max="2" width="44.7109375" style="14" customWidth="1"/>
    <col min="3" max="3" width="22.140625" style="14" customWidth="1"/>
    <col min="4" max="5" width="30.42578125" style="14" customWidth="1"/>
    <col min="6" max="7" width="33.28515625" style="14" customWidth="1"/>
    <col min="8" max="9" width="50.85546875" style="14" customWidth="1"/>
    <col min="10" max="11" width="24.28515625" style="15" customWidth="1"/>
    <col min="12" max="12" width="23.42578125" customWidth="1"/>
    <col min="13" max="17" width="22.140625" style="14" customWidth="1"/>
    <col min="18" max="18" width="17" style="14" customWidth="1"/>
    <col min="19" max="19" width="20.7109375" style="14" customWidth="1"/>
    <col min="20" max="20" width="27" style="14" customWidth="1"/>
    <col min="21" max="21" width="27.7109375" style="16" bestFit="1" customWidth="1"/>
  </cols>
  <sheetData>
    <row r="1" spans="1:24" s="6" customFormat="1" ht="36.75" customHeight="1" x14ac:dyDescent="0.25">
      <c r="A1" s="9" t="s">
        <v>0</v>
      </c>
      <c r="B1" s="9" t="s">
        <v>97</v>
      </c>
      <c r="C1" s="9" t="s">
        <v>1</v>
      </c>
      <c r="D1" s="9" t="s">
        <v>107</v>
      </c>
      <c r="E1" s="9" t="s">
        <v>99</v>
      </c>
      <c r="F1" s="9" t="s">
        <v>108</v>
      </c>
      <c r="G1" s="9" t="s">
        <v>70</v>
      </c>
      <c r="H1" s="9" t="s">
        <v>109</v>
      </c>
      <c r="I1" s="28" t="s">
        <v>117</v>
      </c>
      <c r="J1" s="9" t="s">
        <v>110</v>
      </c>
      <c r="K1" s="9" t="s">
        <v>310</v>
      </c>
      <c r="L1" s="9" t="s">
        <v>15</v>
      </c>
      <c r="M1" s="9" t="s">
        <v>2</v>
      </c>
      <c r="N1" s="9" t="s">
        <v>98</v>
      </c>
      <c r="O1" s="9" t="s">
        <v>100</v>
      </c>
      <c r="P1" s="9" t="s">
        <v>101</v>
      </c>
      <c r="Q1" s="9" t="s">
        <v>102</v>
      </c>
      <c r="R1" s="9" t="s">
        <v>3</v>
      </c>
      <c r="S1" s="9" t="s">
        <v>4</v>
      </c>
      <c r="T1" s="10" t="s">
        <v>16</v>
      </c>
      <c r="U1" s="9" t="s">
        <v>17</v>
      </c>
      <c r="V1" s="56" t="s">
        <v>521</v>
      </c>
      <c r="W1" s="11" t="s">
        <v>267</v>
      </c>
      <c r="X1" s="6" t="s">
        <v>1182</v>
      </c>
    </row>
    <row r="2" spans="1:24" ht="36.75" customHeight="1" x14ac:dyDescent="0.25">
      <c r="A2" s="42">
        <v>1</v>
      </c>
      <c r="B2" s="18" t="s">
        <v>63</v>
      </c>
      <c r="C2" s="18" t="s">
        <v>8</v>
      </c>
      <c r="D2" s="18" t="s">
        <v>522</v>
      </c>
      <c r="E2" s="18"/>
      <c r="F2" s="18">
        <v>2017</v>
      </c>
      <c r="G2" s="18" t="s">
        <v>73</v>
      </c>
      <c r="H2" s="18" t="s">
        <v>373</v>
      </c>
      <c r="I2" s="136" t="s">
        <v>374</v>
      </c>
      <c r="J2" s="174" t="s">
        <v>1373</v>
      </c>
      <c r="K2" s="57" t="s">
        <v>298</v>
      </c>
      <c r="L2" s="44" t="s">
        <v>33</v>
      </c>
      <c r="M2" s="18" t="s">
        <v>523</v>
      </c>
      <c r="N2" s="18" t="s">
        <v>524</v>
      </c>
      <c r="O2" s="18"/>
      <c r="P2" s="18"/>
      <c r="Q2" s="18"/>
      <c r="R2" s="18" t="s">
        <v>58</v>
      </c>
      <c r="S2" s="18" t="s">
        <v>7</v>
      </c>
      <c r="T2" s="58">
        <v>44886</v>
      </c>
      <c r="U2" s="59" t="s">
        <v>64</v>
      </c>
      <c r="V2" s="59"/>
      <c r="W2" s="60" t="s">
        <v>409</v>
      </c>
    </row>
    <row r="3" spans="1:24" ht="36.75" customHeight="1" x14ac:dyDescent="0.25">
      <c r="A3" s="42">
        <v>2</v>
      </c>
      <c r="B3" s="263" t="s">
        <v>268</v>
      </c>
      <c r="C3" s="18" t="s">
        <v>60</v>
      </c>
      <c r="D3" s="18" t="s">
        <v>522</v>
      </c>
      <c r="E3" s="18"/>
      <c r="F3" s="18">
        <v>2014</v>
      </c>
      <c r="G3" s="18" t="s">
        <v>74</v>
      </c>
      <c r="H3" s="18" t="s">
        <v>525</v>
      </c>
      <c r="I3" s="136" t="s">
        <v>269</v>
      </c>
      <c r="J3" s="174" t="s">
        <v>1373</v>
      </c>
      <c r="K3" s="61" t="s">
        <v>270</v>
      </c>
      <c r="L3" s="45" t="s">
        <v>33</v>
      </c>
      <c r="M3" s="18" t="s">
        <v>524</v>
      </c>
      <c r="N3" s="18"/>
      <c r="O3" s="18"/>
      <c r="P3" s="18"/>
      <c r="Q3" s="18"/>
      <c r="R3" s="18" t="s">
        <v>58</v>
      </c>
      <c r="S3" s="18" t="s">
        <v>7</v>
      </c>
      <c r="T3" s="58">
        <v>44886</v>
      </c>
      <c r="U3" s="59" t="s">
        <v>66</v>
      </c>
      <c r="V3" s="59"/>
      <c r="W3" s="60" t="s">
        <v>409</v>
      </c>
    </row>
    <row r="4" spans="1:24" ht="36.75" customHeight="1" x14ac:dyDescent="0.25">
      <c r="A4" s="42">
        <v>3</v>
      </c>
      <c r="B4" s="18" t="s">
        <v>271</v>
      </c>
      <c r="C4" s="18" t="s">
        <v>8</v>
      </c>
      <c r="D4" s="18" t="s">
        <v>370</v>
      </c>
      <c r="E4" s="18"/>
      <c r="F4" s="46">
        <v>2019</v>
      </c>
      <c r="G4" s="18" t="s">
        <v>74</v>
      </c>
      <c r="H4" s="18" t="s">
        <v>20</v>
      </c>
      <c r="I4" s="136" t="s">
        <v>272</v>
      </c>
      <c r="J4" s="62" t="s">
        <v>21</v>
      </c>
      <c r="K4" s="62"/>
      <c r="L4" s="45" t="s">
        <v>273</v>
      </c>
      <c r="M4" s="18" t="s">
        <v>6</v>
      </c>
      <c r="N4" s="18" t="s">
        <v>18</v>
      </c>
      <c r="O4" s="18"/>
      <c r="P4" s="18"/>
      <c r="Q4" s="18"/>
      <c r="R4" s="18" t="s">
        <v>58</v>
      </c>
      <c r="S4" s="17" t="s">
        <v>5</v>
      </c>
      <c r="T4" s="58">
        <v>44883</v>
      </c>
      <c r="U4" s="59" t="s">
        <v>23</v>
      </c>
      <c r="V4" s="59"/>
      <c r="W4" s="60" t="s">
        <v>409</v>
      </c>
    </row>
    <row r="5" spans="1:24" ht="36.75" customHeight="1" x14ac:dyDescent="0.25">
      <c r="A5" s="42">
        <v>5</v>
      </c>
      <c r="B5" s="18" t="s">
        <v>274</v>
      </c>
      <c r="C5" s="18" t="s">
        <v>8</v>
      </c>
      <c r="D5" s="18" t="s">
        <v>370</v>
      </c>
      <c r="E5" s="18" t="s">
        <v>365</v>
      </c>
      <c r="F5" s="18">
        <v>2017</v>
      </c>
      <c r="G5" s="18" t="s">
        <v>77</v>
      </c>
      <c r="H5" s="18" t="s">
        <v>526</v>
      </c>
      <c r="I5" s="136" t="s">
        <v>375</v>
      </c>
      <c r="J5" s="61" t="s">
        <v>275</v>
      </c>
      <c r="K5" s="63"/>
      <c r="L5" s="44" t="s">
        <v>33</v>
      </c>
      <c r="M5" s="18" t="s">
        <v>527</v>
      </c>
      <c r="N5" s="18" t="s">
        <v>18</v>
      </c>
      <c r="O5" s="18"/>
      <c r="P5" s="18"/>
      <c r="Q5" s="18"/>
      <c r="R5" s="18" t="s">
        <v>58</v>
      </c>
      <c r="S5" s="18" t="s">
        <v>7</v>
      </c>
      <c r="T5" s="58">
        <v>44886</v>
      </c>
      <c r="U5" s="59" t="s">
        <v>62</v>
      </c>
      <c r="V5" s="59"/>
      <c r="W5" s="60" t="s">
        <v>1294</v>
      </c>
      <c r="X5" t="s">
        <v>409</v>
      </c>
    </row>
    <row r="6" spans="1:24" ht="36.75" customHeight="1" x14ac:dyDescent="0.25">
      <c r="A6" s="42">
        <v>7</v>
      </c>
      <c r="B6" s="18" t="s">
        <v>276</v>
      </c>
      <c r="C6" s="18" t="s">
        <v>60</v>
      </c>
      <c r="D6" s="18" t="s">
        <v>522</v>
      </c>
      <c r="E6" s="18"/>
      <c r="F6" s="18">
        <v>2018</v>
      </c>
      <c r="G6" s="18" t="s">
        <v>79</v>
      </c>
      <c r="H6" s="18" t="s">
        <v>528</v>
      </c>
      <c r="I6" s="136" t="s">
        <v>376</v>
      </c>
      <c r="J6" s="61" t="s">
        <v>61</v>
      </c>
      <c r="K6" s="63"/>
      <c r="L6" s="44" t="s">
        <v>33</v>
      </c>
      <c r="M6" s="18" t="s">
        <v>523</v>
      </c>
      <c r="N6" s="18" t="s">
        <v>18</v>
      </c>
      <c r="O6" s="18"/>
      <c r="P6" s="18"/>
      <c r="Q6" s="18"/>
      <c r="R6" s="18" t="s">
        <v>58</v>
      </c>
      <c r="S6" s="18" t="s">
        <v>7</v>
      </c>
      <c r="T6" s="58">
        <v>44886</v>
      </c>
      <c r="U6" s="59" t="s">
        <v>62</v>
      </c>
      <c r="V6" s="59"/>
      <c r="W6" s="60" t="s">
        <v>409</v>
      </c>
    </row>
    <row r="7" spans="1:24" ht="36.75" customHeight="1" x14ac:dyDescent="0.25">
      <c r="A7" s="42">
        <v>9</v>
      </c>
      <c r="B7" s="18" t="s">
        <v>65</v>
      </c>
      <c r="C7" s="18" t="s">
        <v>8</v>
      </c>
      <c r="D7" s="18" t="s">
        <v>529</v>
      </c>
      <c r="E7" s="18"/>
      <c r="F7" s="18">
        <v>2018</v>
      </c>
      <c r="G7" s="18" t="s">
        <v>81</v>
      </c>
      <c r="H7" s="18" t="s">
        <v>530</v>
      </c>
      <c r="I7" s="136" t="s">
        <v>377</v>
      </c>
      <c r="J7" s="174" t="s">
        <v>1373</v>
      </c>
      <c r="K7" s="61" t="s">
        <v>299</v>
      </c>
      <c r="L7" s="44" t="s">
        <v>33</v>
      </c>
      <c r="M7" s="18" t="s">
        <v>523</v>
      </c>
      <c r="N7" s="18" t="s">
        <v>524</v>
      </c>
      <c r="O7" s="18"/>
      <c r="P7" s="18"/>
      <c r="Q7" s="18"/>
      <c r="R7" s="18" t="s">
        <v>58</v>
      </c>
      <c r="S7" s="18" t="s">
        <v>7</v>
      </c>
      <c r="T7" s="58">
        <v>44886</v>
      </c>
      <c r="U7" s="59" t="s">
        <v>64</v>
      </c>
      <c r="V7" s="59"/>
      <c r="W7" s="60" t="s">
        <v>409</v>
      </c>
    </row>
    <row r="8" spans="1:24" ht="36.75" customHeight="1" x14ac:dyDescent="0.25">
      <c r="A8" s="42">
        <v>11</v>
      </c>
      <c r="B8" s="18" t="s">
        <v>1198</v>
      </c>
      <c r="C8" s="18" t="s">
        <v>8</v>
      </c>
      <c r="D8" s="18" t="s">
        <v>531</v>
      </c>
      <c r="E8" s="18"/>
      <c r="F8" s="18">
        <v>2006</v>
      </c>
      <c r="G8" s="18" t="s">
        <v>189</v>
      </c>
      <c r="H8" s="47" t="s">
        <v>532</v>
      </c>
      <c r="I8" s="136" t="s">
        <v>300</v>
      </c>
      <c r="J8" s="64" t="s">
        <v>208</v>
      </c>
      <c r="K8" s="65"/>
      <c r="L8" s="44" t="s">
        <v>33</v>
      </c>
      <c r="M8" s="18" t="s">
        <v>18</v>
      </c>
      <c r="N8" s="18" t="s">
        <v>6</v>
      </c>
      <c r="O8" s="18" t="s">
        <v>523</v>
      </c>
      <c r="P8" s="18"/>
      <c r="Q8" s="18"/>
      <c r="R8" s="18" t="s">
        <v>58</v>
      </c>
      <c r="S8" s="18" t="s">
        <v>7</v>
      </c>
      <c r="T8" s="58">
        <v>44952</v>
      </c>
      <c r="U8" s="59" t="s">
        <v>207</v>
      </c>
      <c r="V8" s="59"/>
      <c r="W8" s="60" t="s">
        <v>409</v>
      </c>
    </row>
    <row r="9" spans="1:24" ht="36.75" customHeight="1" x14ac:dyDescent="0.25">
      <c r="A9" s="42">
        <v>12</v>
      </c>
      <c r="B9" s="264" t="s">
        <v>1638</v>
      </c>
      <c r="C9" s="18" t="s">
        <v>8</v>
      </c>
      <c r="D9" s="18" t="s">
        <v>522</v>
      </c>
      <c r="E9" s="18"/>
      <c r="F9" s="18">
        <v>2018</v>
      </c>
      <c r="G9" s="18" t="s">
        <v>73</v>
      </c>
      <c r="H9" s="18" t="s">
        <v>533</v>
      </c>
      <c r="I9" s="136" t="s">
        <v>407</v>
      </c>
      <c r="J9" s="174" t="s">
        <v>1373</v>
      </c>
      <c r="K9" s="66" t="s">
        <v>298</v>
      </c>
      <c r="L9" s="44" t="s">
        <v>33</v>
      </c>
      <c r="M9" s="18" t="s">
        <v>523</v>
      </c>
      <c r="N9" s="18"/>
      <c r="O9" s="18"/>
      <c r="P9" s="18"/>
      <c r="Q9" s="18"/>
      <c r="R9" s="18" t="s">
        <v>58</v>
      </c>
      <c r="S9" s="18" t="s">
        <v>7</v>
      </c>
      <c r="T9" s="58">
        <v>44956</v>
      </c>
      <c r="U9" s="59" t="s">
        <v>207</v>
      </c>
      <c r="V9" s="59"/>
      <c r="W9" s="60" t="s">
        <v>409</v>
      </c>
    </row>
    <row r="10" spans="1:24" ht="36.75" customHeight="1" x14ac:dyDescent="0.25">
      <c r="A10" s="42">
        <v>13</v>
      </c>
      <c r="B10" s="18" t="s">
        <v>210</v>
      </c>
      <c r="C10" s="18" t="s">
        <v>8</v>
      </c>
      <c r="D10" s="18" t="s">
        <v>522</v>
      </c>
      <c r="E10" s="18"/>
      <c r="F10" s="18">
        <v>2018</v>
      </c>
      <c r="G10" s="18" t="s">
        <v>73</v>
      </c>
      <c r="H10" s="18" t="s">
        <v>408</v>
      </c>
      <c r="I10" s="136" t="s">
        <v>378</v>
      </c>
      <c r="J10" s="174" t="s">
        <v>1373</v>
      </c>
      <c r="K10" s="66" t="s">
        <v>298</v>
      </c>
      <c r="L10" s="48" t="s">
        <v>33</v>
      </c>
      <c r="M10" s="18" t="s">
        <v>524</v>
      </c>
      <c r="N10" s="18" t="s">
        <v>18</v>
      </c>
      <c r="O10" s="18"/>
      <c r="P10" s="18"/>
      <c r="Q10" s="18"/>
      <c r="R10" s="18" t="s">
        <v>58</v>
      </c>
      <c r="S10" s="18" t="s">
        <v>7</v>
      </c>
      <c r="T10" s="58">
        <v>44956</v>
      </c>
      <c r="U10" s="59" t="s">
        <v>207</v>
      </c>
      <c r="V10" s="59"/>
      <c r="W10" s="60" t="s">
        <v>409</v>
      </c>
    </row>
    <row r="11" spans="1:24" ht="36.75" customHeight="1" x14ac:dyDescent="0.25">
      <c r="A11" s="42">
        <v>14</v>
      </c>
      <c r="B11" s="18" t="s">
        <v>211</v>
      </c>
      <c r="C11" s="18" t="s">
        <v>8</v>
      </c>
      <c r="D11" s="18" t="s">
        <v>531</v>
      </c>
      <c r="E11" s="18"/>
      <c r="F11" s="18">
        <v>2022</v>
      </c>
      <c r="G11" s="18" t="s">
        <v>73</v>
      </c>
      <c r="H11" s="18" t="s">
        <v>277</v>
      </c>
      <c r="I11" s="136" t="s">
        <v>278</v>
      </c>
      <c r="J11" s="175" t="s">
        <v>301</v>
      </c>
      <c r="K11" s="66" t="s">
        <v>298</v>
      </c>
      <c r="L11" s="44" t="s">
        <v>33</v>
      </c>
      <c r="M11" s="18" t="s">
        <v>18</v>
      </c>
      <c r="N11" s="18" t="s">
        <v>6</v>
      </c>
      <c r="O11" s="18" t="s">
        <v>523</v>
      </c>
      <c r="P11" s="18"/>
      <c r="Q11" s="18"/>
      <c r="R11" s="18" t="s">
        <v>58</v>
      </c>
      <c r="S11" s="18" t="s">
        <v>7</v>
      </c>
      <c r="T11" s="58">
        <v>44956</v>
      </c>
      <c r="U11" s="59" t="s">
        <v>207</v>
      </c>
      <c r="V11" s="59"/>
      <c r="W11" s="60" t="s">
        <v>409</v>
      </c>
    </row>
    <row r="12" spans="1:24" ht="36.75" customHeight="1" x14ac:dyDescent="0.25">
      <c r="A12" s="42">
        <v>15</v>
      </c>
      <c r="B12" s="18" t="s">
        <v>212</v>
      </c>
      <c r="C12" s="18" t="s">
        <v>8</v>
      </c>
      <c r="D12" s="18" t="s">
        <v>370</v>
      </c>
      <c r="E12" s="18"/>
      <c r="F12" s="18">
        <v>2018</v>
      </c>
      <c r="G12" s="18" t="s">
        <v>73</v>
      </c>
      <c r="H12" s="18" t="s">
        <v>230</v>
      </c>
      <c r="I12" s="136" t="s">
        <v>279</v>
      </c>
      <c r="J12" s="174" t="s">
        <v>1373</v>
      </c>
      <c r="K12" s="66" t="s">
        <v>298</v>
      </c>
      <c r="L12" s="44" t="s">
        <v>33</v>
      </c>
      <c r="M12" s="18" t="s">
        <v>523</v>
      </c>
      <c r="N12" s="18" t="s">
        <v>18</v>
      </c>
      <c r="O12" s="18"/>
      <c r="P12" s="18"/>
      <c r="Q12" s="18"/>
      <c r="R12" s="18" t="s">
        <v>58</v>
      </c>
      <c r="S12" s="18" t="s">
        <v>7</v>
      </c>
      <c r="T12" s="58">
        <v>44956</v>
      </c>
      <c r="U12" s="59" t="s">
        <v>207</v>
      </c>
      <c r="V12" s="59"/>
      <c r="W12" s="60" t="s">
        <v>409</v>
      </c>
    </row>
    <row r="13" spans="1:24" ht="36.75" customHeight="1" x14ac:dyDescent="0.25">
      <c r="A13" s="42">
        <v>16</v>
      </c>
      <c r="B13" s="18" t="s">
        <v>431</v>
      </c>
      <c r="C13" s="18" t="s">
        <v>8</v>
      </c>
      <c r="D13" s="18" t="s">
        <v>529</v>
      </c>
      <c r="E13" s="18"/>
      <c r="F13" s="18">
        <v>1997</v>
      </c>
      <c r="G13" s="18" t="s">
        <v>73</v>
      </c>
      <c r="H13" s="18" t="s">
        <v>432</v>
      </c>
      <c r="I13" s="136" t="s">
        <v>433</v>
      </c>
      <c r="J13" s="174" t="s">
        <v>1373</v>
      </c>
      <c r="K13" s="66" t="s">
        <v>298</v>
      </c>
      <c r="L13" s="44" t="s">
        <v>33</v>
      </c>
      <c r="M13" s="18" t="s">
        <v>524</v>
      </c>
      <c r="N13" s="18"/>
      <c r="O13" s="18"/>
      <c r="P13" s="18"/>
      <c r="Q13" s="18"/>
      <c r="R13" s="18" t="s">
        <v>58</v>
      </c>
      <c r="S13" s="18" t="s">
        <v>7</v>
      </c>
      <c r="T13" s="58">
        <v>44956</v>
      </c>
      <c r="U13" s="59" t="s">
        <v>207</v>
      </c>
      <c r="V13" s="59"/>
      <c r="W13" s="60" t="s">
        <v>409</v>
      </c>
    </row>
    <row r="14" spans="1:24" ht="36.75" customHeight="1" x14ac:dyDescent="0.25">
      <c r="A14" s="42">
        <v>17</v>
      </c>
      <c r="B14" s="17" t="s">
        <v>412</v>
      </c>
      <c r="C14" s="18" t="s">
        <v>8</v>
      </c>
      <c r="D14" s="18" t="s">
        <v>534</v>
      </c>
      <c r="E14" s="18"/>
      <c r="F14" s="18">
        <v>2022</v>
      </c>
      <c r="G14" s="18" t="s">
        <v>73</v>
      </c>
      <c r="H14" s="18" t="s">
        <v>213</v>
      </c>
      <c r="I14" s="136" t="s">
        <v>280</v>
      </c>
      <c r="J14" s="64" t="s">
        <v>214</v>
      </c>
      <c r="K14" s="66" t="s">
        <v>298</v>
      </c>
      <c r="L14" s="48" t="s">
        <v>33</v>
      </c>
      <c r="M14" s="18" t="s">
        <v>18</v>
      </c>
      <c r="N14" s="18"/>
      <c r="O14" s="18"/>
      <c r="P14" s="18"/>
      <c r="Q14" s="18"/>
      <c r="R14" s="18" t="s">
        <v>58</v>
      </c>
      <c r="S14" s="18" t="s">
        <v>7</v>
      </c>
      <c r="T14" s="58">
        <v>44956</v>
      </c>
      <c r="U14" s="59" t="s">
        <v>207</v>
      </c>
      <c r="V14" s="59"/>
      <c r="W14" s="60" t="s">
        <v>409</v>
      </c>
    </row>
    <row r="15" spans="1:24" ht="36.75" customHeight="1" x14ac:dyDescent="0.25">
      <c r="A15" s="42">
        <v>24</v>
      </c>
      <c r="B15" s="18" t="s">
        <v>215</v>
      </c>
      <c r="C15" s="18" t="s">
        <v>60</v>
      </c>
      <c r="D15" s="18" t="s">
        <v>522</v>
      </c>
      <c r="E15" s="18"/>
      <c r="F15" s="18">
        <v>2019</v>
      </c>
      <c r="G15" s="18" t="s">
        <v>81</v>
      </c>
      <c r="H15" s="18" t="s">
        <v>535</v>
      </c>
      <c r="I15" s="136" t="s">
        <v>379</v>
      </c>
      <c r="J15" s="64" t="s">
        <v>232</v>
      </c>
      <c r="K15" s="65"/>
      <c r="L15" s="48" t="s">
        <v>33</v>
      </c>
      <c r="M15" s="18" t="s">
        <v>524</v>
      </c>
      <c r="N15" s="18"/>
      <c r="O15" s="18"/>
      <c r="P15" s="18"/>
      <c r="Q15" s="18"/>
      <c r="R15" s="18" t="s">
        <v>58</v>
      </c>
      <c r="S15" s="18" t="s">
        <v>7</v>
      </c>
      <c r="T15" s="58">
        <v>44970</v>
      </c>
      <c r="U15" s="59" t="s">
        <v>207</v>
      </c>
      <c r="V15" s="59"/>
      <c r="W15" s="60" t="s">
        <v>409</v>
      </c>
    </row>
    <row r="16" spans="1:24" ht="36.75" customHeight="1" x14ac:dyDescent="0.25">
      <c r="A16" s="42">
        <v>26</v>
      </c>
      <c r="B16" s="18" t="s">
        <v>281</v>
      </c>
      <c r="C16" s="18" t="s">
        <v>8</v>
      </c>
      <c r="D16" s="18" t="s">
        <v>522</v>
      </c>
      <c r="E16" s="17" t="s">
        <v>531</v>
      </c>
      <c r="F16" s="18">
        <v>2014</v>
      </c>
      <c r="G16" s="18" t="s">
        <v>142</v>
      </c>
      <c r="H16" s="18" t="s">
        <v>536</v>
      </c>
      <c r="I16" s="136" t="s">
        <v>380</v>
      </c>
      <c r="J16" s="64" t="s">
        <v>282</v>
      </c>
      <c r="K16" s="65"/>
      <c r="L16" s="44" t="s">
        <v>33</v>
      </c>
      <c r="M16" s="18" t="s">
        <v>18</v>
      </c>
      <c r="N16" s="18" t="s">
        <v>6</v>
      </c>
      <c r="O16" s="18" t="s">
        <v>523</v>
      </c>
      <c r="P16" s="18"/>
      <c r="Q16" s="18"/>
      <c r="R16" s="18" t="s">
        <v>58</v>
      </c>
      <c r="S16" s="18" t="s">
        <v>7</v>
      </c>
      <c r="T16" s="58">
        <v>44973</v>
      </c>
      <c r="U16" s="59" t="s">
        <v>207</v>
      </c>
      <c r="V16" s="59"/>
      <c r="W16" s="60" t="s">
        <v>409</v>
      </c>
    </row>
    <row r="17" spans="1:24" ht="36.75" customHeight="1" x14ac:dyDescent="0.25">
      <c r="A17" s="42">
        <v>28</v>
      </c>
      <c r="B17" s="195" t="s">
        <v>1639</v>
      </c>
      <c r="C17" s="18" t="s">
        <v>8</v>
      </c>
      <c r="D17" s="18" t="s">
        <v>370</v>
      </c>
      <c r="E17" s="18"/>
      <c r="F17" s="18">
        <v>2020</v>
      </c>
      <c r="G17" s="18" t="s">
        <v>177</v>
      </c>
      <c r="H17" s="18" t="s">
        <v>537</v>
      </c>
      <c r="I17" s="136" t="s">
        <v>283</v>
      </c>
      <c r="J17" s="64" t="s">
        <v>284</v>
      </c>
      <c r="K17" s="65"/>
      <c r="L17" s="44" t="s">
        <v>33</v>
      </c>
      <c r="M17" s="18" t="s">
        <v>524</v>
      </c>
      <c r="N17" s="18" t="s">
        <v>527</v>
      </c>
      <c r="O17" s="18" t="s">
        <v>6</v>
      </c>
      <c r="P17" s="18"/>
      <c r="Q17" s="18"/>
      <c r="R17" s="18" t="s">
        <v>58</v>
      </c>
      <c r="S17" s="18" t="s">
        <v>7</v>
      </c>
      <c r="T17" s="58">
        <v>44975</v>
      </c>
      <c r="U17" s="59" t="s">
        <v>207</v>
      </c>
      <c r="V17" s="59"/>
      <c r="W17" s="60" t="s">
        <v>409</v>
      </c>
    </row>
    <row r="18" spans="1:24" ht="36.75" customHeight="1" x14ac:dyDescent="0.25">
      <c r="A18" s="42">
        <v>31</v>
      </c>
      <c r="B18" s="17" t="s">
        <v>219</v>
      </c>
      <c r="C18" s="18" t="s">
        <v>60</v>
      </c>
      <c r="D18" s="18" t="s">
        <v>538</v>
      </c>
      <c r="E18" s="18"/>
      <c r="F18" s="18">
        <v>2010</v>
      </c>
      <c r="G18" s="18" t="s">
        <v>74</v>
      </c>
      <c r="H18" s="18" t="s">
        <v>539</v>
      </c>
      <c r="I18" s="136" t="s">
        <v>285</v>
      </c>
      <c r="J18" s="174" t="s">
        <v>1373</v>
      </c>
      <c r="K18" s="61" t="s">
        <v>218</v>
      </c>
      <c r="L18" s="44" t="s">
        <v>33</v>
      </c>
      <c r="M18" s="18" t="s">
        <v>523</v>
      </c>
      <c r="N18" s="18" t="s">
        <v>524</v>
      </c>
      <c r="O18" s="18" t="s">
        <v>6</v>
      </c>
      <c r="P18" s="18"/>
      <c r="Q18" s="18"/>
      <c r="R18" s="18" t="s">
        <v>58</v>
      </c>
      <c r="S18" s="18" t="s">
        <v>7</v>
      </c>
      <c r="T18" s="58">
        <v>44976</v>
      </c>
      <c r="U18" s="59" t="s">
        <v>207</v>
      </c>
      <c r="V18" s="59"/>
      <c r="W18" s="60" t="s">
        <v>409</v>
      </c>
    </row>
    <row r="19" spans="1:24" ht="36.75" customHeight="1" x14ac:dyDescent="0.25">
      <c r="A19" s="42">
        <v>32</v>
      </c>
      <c r="B19" s="18" t="s">
        <v>220</v>
      </c>
      <c r="C19" s="18" t="s">
        <v>60</v>
      </c>
      <c r="D19" s="18" t="s">
        <v>531</v>
      </c>
      <c r="E19" s="18"/>
      <c r="F19" s="18">
        <v>2022</v>
      </c>
      <c r="G19" s="18" t="s">
        <v>74</v>
      </c>
      <c r="H19" s="18" t="s">
        <v>540</v>
      </c>
      <c r="I19" s="136" t="s">
        <v>381</v>
      </c>
      <c r="J19" s="174" t="s">
        <v>1373</v>
      </c>
      <c r="K19" s="61" t="s">
        <v>218</v>
      </c>
      <c r="L19" s="44" t="s">
        <v>33</v>
      </c>
      <c r="M19" s="18" t="s">
        <v>18</v>
      </c>
      <c r="N19" s="18" t="s">
        <v>6</v>
      </c>
      <c r="O19" s="18" t="s">
        <v>523</v>
      </c>
      <c r="P19" s="18"/>
      <c r="Q19" s="18"/>
      <c r="R19" s="18" t="s">
        <v>58</v>
      </c>
      <c r="S19" s="18" t="s">
        <v>7</v>
      </c>
      <c r="T19" s="58">
        <v>44976</v>
      </c>
      <c r="U19" s="59" t="s">
        <v>207</v>
      </c>
      <c r="V19" s="59"/>
      <c r="W19" s="60" t="s">
        <v>409</v>
      </c>
    </row>
    <row r="20" spans="1:24" ht="36.75" customHeight="1" x14ac:dyDescent="0.25">
      <c r="A20" s="42">
        <v>33</v>
      </c>
      <c r="B20" s="18" t="s">
        <v>221</v>
      </c>
      <c r="C20" s="18" t="s">
        <v>60</v>
      </c>
      <c r="D20" s="18" t="s">
        <v>522</v>
      </c>
      <c r="E20" s="18"/>
      <c r="F20" s="18">
        <v>2015</v>
      </c>
      <c r="G20" s="18" t="s">
        <v>74</v>
      </c>
      <c r="H20" s="18" t="s">
        <v>541</v>
      </c>
      <c r="I20" s="136" t="s">
        <v>382</v>
      </c>
      <c r="J20" s="174" t="s">
        <v>1373</v>
      </c>
      <c r="K20" s="61" t="s">
        <v>218</v>
      </c>
      <c r="L20" s="44" t="s">
        <v>33</v>
      </c>
      <c r="M20" s="18" t="s">
        <v>523</v>
      </c>
      <c r="N20" s="18" t="s">
        <v>524</v>
      </c>
      <c r="O20" s="18" t="s">
        <v>527</v>
      </c>
      <c r="P20" s="18"/>
      <c r="Q20" s="18"/>
      <c r="R20" s="18" t="s">
        <v>58</v>
      </c>
      <c r="S20" s="18" t="s">
        <v>7</v>
      </c>
      <c r="T20" s="58">
        <v>44976</v>
      </c>
      <c r="U20" s="59" t="s">
        <v>207</v>
      </c>
      <c r="V20" s="59"/>
      <c r="W20" s="60" t="s">
        <v>409</v>
      </c>
    </row>
    <row r="21" spans="1:24" ht="36.75" customHeight="1" x14ac:dyDescent="0.25">
      <c r="A21" s="42">
        <v>35</v>
      </c>
      <c r="B21" s="195" t="s">
        <v>1640</v>
      </c>
      <c r="C21" s="49" t="s">
        <v>8</v>
      </c>
      <c r="D21" s="18" t="s">
        <v>522</v>
      </c>
      <c r="E21" s="18"/>
      <c r="F21" s="18">
        <v>2018</v>
      </c>
      <c r="G21" s="18" t="s">
        <v>158</v>
      </c>
      <c r="H21" s="18" t="s">
        <v>303</v>
      </c>
      <c r="I21" s="136" t="s">
        <v>383</v>
      </c>
      <c r="J21" s="64" t="s">
        <v>286</v>
      </c>
      <c r="K21" s="65"/>
      <c r="L21" s="44" t="s">
        <v>33</v>
      </c>
      <c r="M21" s="18" t="s">
        <v>524</v>
      </c>
      <c r="N21" s="18"/>
      <c r="O21" s="18"/>
      <c r="P21" s="18"/>
      <c r="Q21" s="18"/>
      <c r="R21" s="18" t="s">
        <v>58</v>
      </c>
      <c r="S21" s="18" t="s">
        <v>7</v>
      </c>
      <c r="T21" s="58">
        <v>44976</v>
      </c>
      <c r="U21" s="59" t="s">
        <v>207</v>
      </c>
      <c r="V21" s="59"/>
      <c r="W21" s="60" t="s">
        <v>409</v>
      </c>
    </row>
    <row r="22" spans="1:24" ht="36.75" customHeight="1" x14ac:dyDescent="0.25">
      <c r="A22" s="42">
        <v>36</v>
      </c>
      <c r="B22" s="195" t="s">
        <v>1641</v>
      </c>
      <c r="C22" s="18" t="s">
        <v>8</v>
      </c>
      <c r="D22" s="18" t="s">
        <v>522</v>
      </c>
      <c r="E22" s="18"/>
      <c r="F22" s="18">
        <v>2010</v>
      </c>
      <c r="G22" s="18" t="s">
        <v>160</v>
      </c>
      <c r="H22" s="18" t="s">
        <v>542</v>
      </c>
      <c r="I22" s="136" t="s">
        <v>384</v>
      </c>
      <c r="J22" s="64" t="s">
        <v>287</v>
      </c>
      <c r="K22" s="65"/>
      <c r="L22" s="44" t="s">
        <v>33</v>
      </c>
      <c r="M22" s="18" t="s">
        <v>524</v>
      </c>
      <c r="N22" s="18"/>
      <c r="O22" s="18"/>
      <c r="P22" s="18"/>
      <c r="Q22" s="18"/>
      <c r="R22" s="18" t="s">
        <v>58</v>
      </c>
      <c r="S22" s="18" t="s">
        <v>7</v>
      </c>
      <c r="T22" s="58">
        <v>44976</v>
      </c>
      <c r="U22" s="59" t="s">
        <v>207</v>
      </c>
      <c r="V22" s="59"/>
      <c r="W22" s="60" t="s">
        <v>409</v>
      </c>
    </row>
    <row r="23" spans="1:24" ht="36.75" customHeight="1" x14ac:dyDescent="0.25">
      <c r="A23" s="42">
        <v>38</v>
      </c>
      <c r="B23" s="18" t="s">
        <v>234</v>
      </c>
      <c r="C23" s="18" t="s">
        <v>8</v>
      </c>
      <c r="D23" s="18" t="s">
        <v>522</v>
      </c>
      <c r="E23" s="18"/>
      <c r="F23" s="18">
        <v>2020</v>
      </c>
      <c r="G23" s="18" t="s">
        <v>410</v>
      </c>
      <c r="H23" s="18" t="s">
        <v>304</v>
      </c>
      <c r="I23" s="136" t="s">
        <v>288</v>
      </c>
      <c r="J23" s="67" t="s">
        <v>543</v>
      </c>
      <c r="K23" s="65"/>
      <c r="L23" s="44" t="s">
        <v>33</v>
      </c>
      <c r="M23" s="18" t="s">
        <v>524</v>
      </c>
      <c r="N23" s="18" t="s">
        <v>18</v>
      </c>
      <c r="O23" s="18"/>
      <c r="P23" s="18"/>
      <c r="Q23" s="18"/>
      <c r="R23" s="18" t="s">
        <v>58</v>
      </c>
      <c r="S23" s="18" t="s">
        <v>7</v>
      </c>
      <c r="T23" s="58">
        <v>44979</v>
      </c>
      <c r="U23" s="59" t="s">
        <v>207</v>
      </c>
      <c r="V23" s="59"/>
      <c r="W23" s="60" t="s">
        <v>409</v>
      </c>
    </row>
    <row r="24" spans="1:24" ht="36.75" customHeight="1" x14ac:dyDescent="0.25">
      <c r="A24" s="42">
        <v>39</v>
      </c>
      <c r="B24" s="18" t="s">
        <v>229</v>
      </c>
      <c r="C24" s="18" t="s">
        <v>8</v>
      </c>
      <c r="D24" s="18" t="s">
        <v>534</v>
      </c>
      <c r="E24" s="18" t="s">
        <v>538</v>
      </c>
      <c r="F24" s="17">
        <v>2020</v>
      </c>
      <c r="G24" s="18" t="s">
        <v>74</v>
      </c>
      <c r="H24" s="18" t="s">
        <v>544</v>
      </c>
      <c r="I24" s="136" t="s">
        <v>305</v>
      </c>
      <c r="J24" s="64" t="s">
        <v>239</v>
      </c>
      <c r="K24" s="65"/>
      <c r="L24" s="45" t="s">
        <v>273</v>
      </c>
      <c r="M24" s="18" t="s">
        <v>18</v>
      </c>
      <c r="N24" s="264" t="s">
        <v>523</v>
      </c>
      <c r="O24" s="18" t="s">
        <v>6</v>
      </c>
      <c r="P24" s="264"/>
      <c r="Q24" s="18"/>
      <c r="R24" s="18" t="s">
        <v>58</v>
      </c>
      <c r="S24" s="18" t="s">
        <v>5</v>
      </c>
      <c r="T24" s="58" t="s">
        <v>228</v>
      </c>
      <c r="U24" s="59" t="s">
        <v>207</v>
      </c>
      <c r="V24" s="59"/>
      <c r="W24" s="60" t="s">
        <v>409</v>
      </c>
    </row>
    <row r="25" spans="1:24" ht="36.75" customHeight="1" x14ac:dyDescent="0.25">
      <c r="A25" s="42">
        <v>40</v>
      </c>
      <c r="B25" s="18" t="s">
        <v>235</v>
      </c>
      <c r="C25" s="18"/>
      <c r="D25" s="18" t="s">
        <v>365</v>
      </c>
      <c r="E25" s="18"/>
      <c r="F25" s="18">
        <v>2020</v>
      </c>
      <c r="G25" s="18" t="s">
        <v>77</v>
      </c>
      <c r="H25" s="18" t="s">
        <v>545</v>
      </c>
      <c r="I25" s="136" t="s">
        <v>306</v>
      </c>
      <c r="J25" s="64" t="s">
        <v>236</v>
      </c>
      <c r="K25" s="65"/>
      <c r="L25" s="45" t="s">
        <v>273</v>
      </c>
      <c r="M25" s="18" t="s">
        <v>18</v>
      </c>
      <c r="N25" s="18"/>
      <c r="O25" s="18"/>
      <c r="P25" s="18"/>
      <c r="Q25" s="18"/>
      <c r="R25" s="18" t="s">
        <v>58</v>
      </c>
      <c r="S25" s="18" t="s">
        <v>5</v>
      </c>
      <c r="T25" s="58">
        <v>44956</v>
      </c>
      <c r="U25" s="59" t="s">
        <v>207</v>
      </c>
      <c r="V25" s="59"/>
      <c r="W25" s="60" t="s">
        <v>1294</v>
      </c>
      <c r="X25" t="s">
        <v>409</v>
      </c>
    </row>
    <row r="26" spans="1:24" ht="36.75" customHeight="1" x14ac:dyDescent="0.25">
      <c r="A26" s="42">
        <v>41</v>
      </c>
      <c r="B26" s="195" t="s">
        <v>1642</v>
      </c>
      <c r="C26" s="18" t="s">
        <v>8</v>
      </c>
      <c r="D26" s="18" t="s">
        <v>546</v>
      </c>
      <c r="E26" s="18"/>
      <c r="F26" s="18">
        <v>2015</v>
      </c>
      <c r="G26" s="18" t="s">
        <v>195</v>
      </c>
      <c r="H26" s="18" t="s">
        <v>307</v>
      </c>
      <c r="I26" s="136" t="s">
        <v>405</v>
      </c>
      <c r="J26" s="64" t="s">
        <v>243</v>
      </c>
      <c r="K26" s="68"/>
      <c r="L26" s="44" t="s">
        <v>33</v>
      </c>
      <c r="M26" s="18" t="s">
        <v>524</v>
      </c>
      <c r="N26" s="18" t="s">
        <v>18</v>
      </c>
      <c r="O26" s="18"/>
      <c r="P26" s="18"/>
      <c r="Q26" s="18"/>
      <c r="R26" s="18" t="s">
        <v>58</v>
      </c>
      <c r="S26" s="18" t="s">
        <v>7</v>
      </c>
      <c r="T26" s="58" t="s">
        <v>240</v>
      </c>
      <c r="U26" s="59" t="s">
        <v>207</v>
      </c>
      <c r="V26" s="59"/>
      <c r="W26" s="60" t="s">
        <v>409</v>
      </c>
    </row>
    <row r="27" spans="1:24" ht="36.75" customHeight="1" x14ac:dyDescent="0.25">
      <c r="A27" s="42">
        <v>42</v>
      </c>
      <c r="B27" s="18" t="s">
        <v>256</v>
      </c>
      <c r="C27" s="18" t="s">
        <v>8</v>
      </c>
      <c r="D27" s="18" t="s">
        <v>531</v>
      </c>
      <c r="E27" s="18"/>
      <c r="F27" s="18">
        <v>2019</v>
      </c>
      <c r="G27" s="18" t="s">
        <v>144</v>
      </c>
      <c r="H27" s="18" t="s">
        <v>257</v>
      </c>
      <c r="I27" s="136" t="s">
        <v>290</v>
      </c>
      <c r="J27" s="68" t="s">
        <v>308</v>
      </c>
      <c r="K27" s="64" t="s">
        <v>258</v>
      </c>
      <c r="L27" s="44" t="s">
        <v>33</v>
      </c>
      <c r="M27" s="18" t="s">
        <v>18</v>
      </c>
      <c r="N27" s="18" t="s">
        <v>6</v>
      </c>
      <c r="O27" s="18" t="s">
        <v>523</v>
      </c>
      <c r="P27" s="18"/>
      <c r="Q27" s="18"/>
      <c r="R27" s="18" t="s">
        <v>58</v>
      </c>
      <c r="S27" s="18" t="s">
        <v>7</v>
      </c>
      <c r="T27" s="58" t="s">
        <v>240</v>
      </c>
      <c r="U27" s="59" t="s">
        <v>207</v>
      </c>
      <c r="V27" s="59"/>
      <c r="W27" s="60" t="s">
        <v>409</v>
      </c>
    </row>
    <row r="28" spans="1:24" ht="36.75" customHeight="1" x14ac:dyDescent="0.25">
      <c r="A28" s="42">
        <v>43</v>
      </c>
      <c r="B28" s="18" t="s">
        <v>291</v>
      </c>
      <c r="C28" s="18" t="s">
        <v>8</v>
      </c>
      <c r="D28" s="18" t="s">
        <v>370</v>
      </c>
      <c r="E28" s="18" t="s">
        <v>538</v>
      </c>
      <c r="F28" s="18">
        <v>2019</v>
      </c>
      <c r="G28" s="18" t="s">
        <v>410</v>
      </c>
      <c r="H28" s="18" t="s">
        <v>547</v>
      </c>
      <c r="I28" s="136" t="s">
        <v>385</v>
      </c>
      <c r="J28" s="67" t="s">
        <v>543</v>
      </c>
      <c r="K28" s="65"/>
      <c r="L28" s="44" t="s">
        <v>33</v>
      </c>
      <c r="M28" s="18" t="s">
        <v>523</v>
      </c>
      <c r="N28" s="18"/>
      <c r="O28" s="18"/>
      <c r="P28" s="18"/>
      <c r="Q28" s="18"/>
      <c r="R28" s="18" t="s">
        <v>58</v>
      </c>
      <c r="S28" s="18" t="s">
        <v>7</v>
      </c>
      <c r="T28" s="58">
        <v>44895</v>
      </c>
      <c r="U28" s="59" t="s">
        <v>292</v>
      </c>
      <c r="V28" s="59"/>
      <c r="W28" s="60" t="s">
        <v>409</v>
      </c>
    </row>
    <row r="29" spans="1:24" ht="36.75" customHeight="1" x14ac:dyDescent="0.25">
      <c r="A29" s="42">
        <v>44</v>
      </c>
      <c r="B29" s="18" t="s">
        <v>293</v>
      </c>
      <c r="C29" s="18" t="s">
        <v>8</v>
      </c>
      <c r="D29" s="18" t="s">
        <v>538</v>
      </c>
      <c r="E29" s="18" t="s">
        <v>370</v>
      </c>
      <c r="F29" s="18">
        <v>2020</v>
      </c>
      <c r="G29" s="18" t="s">
        <v>410</v>
      </c>
      <c r="H29" s="18" t="s">
        <v>294</v>
      </c>
      <c r="I29" s="136" t="s">
        <v>435</v>
      </c>
      <c r="J29" s="67" t="s">
        <v>543</v>
      </c>
      <c r="K29" s="69"/>
      <c r="L29" s="44" t="s">
        <v>33</v>
      </c>
      <c r="M29" s="18" t="s">
        <v>523</v>
      </c>
      <c r="N29" s="18"/>
      <c r="O29" s="18"/>
      <c r="P29" s="18"/>
      <c r="Q29" s="18"/>
      <c r="R29" s="18" t="s">
        <v>58</v>
      </c>
      <c r="S29" s="18" t="s">
        <v>7</v>
      </c>
      <c r="T29" s="58">
        <v>44895</v>
      </c>
      <c r="U29" s="59" t="s">
        <v>292</v>
      </c>
      <c r="V29" s="59"/>
      <c r="W29" s="60" t="s">
        <v>409</v>
      </c>
    </row>
    <row r="30" spans="1:24" ht="36.75" customHeight="1" x14ac:dyDescent="0.25">
      <c r="A30" s="42">
        <v>45</v>
      </c>
      <c r="B30" s="18" t="s">
        <v>295</v>
      </c>
      <c r="C30" s="18" t="s">
        <v>60</v>
      </c>
      <c r="D30" s="18" t="s">
        <v>529</v>
      </c>
      <c r="E30" s="17"/>
      <c r="F30" s="18">
        <v>2022</v>
      </c>
      <c r="G30" s="18" t="s">
        <v>142</v>
      </c>
      <c r="H30" s="50" t="s">
        <v>548</v>
      </c>
      <c r="I30" s="136" t="s">
        <v>424</v>
      </c>
      <c r="J30" s="64" t="s">
        <v>296</v>
      </c>
      <c r="K30" s="65"/>
      <c r="L30" s="51" t="s">
        <v>33</v>
      </c>
      <c r="M30" s="18" t="s">
        <v>524</v>
      </c>
      <c r="N30" s="18"/>
      <c r="O30" s="18"/>
      <c r="P30" s="18"/>
      <c r="Q30" s="18"/>
      <c r="R30" s="18" t="s">
        <v>58</v>
      </c>
      <c r="S30" s="18" t="s">
        <v>7</v>
      </c>
      <c r="T30" s="58">
        <v>44895</v>
      </c>
      <c r="U30" s="59" t="s">
        <v>292</v>
      </c>
      <c r="V30" s="59"/>
      <c r="W30" s="60" t="s">
        <v>409</v>
      </c>
    </row>
    <row r="31" spans="1:24" ht="36.75" customHeight="1" x14ac:dyDescent="0.25">
      <c r="A31" s="42">
        <v>46</v>
      </c>
      <c r="B31" s="195" t="s">
        <v>1643</v>
      </c>
      <c r="C31" s="18" t="s">
        <v>8</v>
      </c>
      <c r="D31" s="18" t="s">
        <v>522</v>
      </c>
      <c r="E31" s="18"/>
      <c r="F31" s="18">
        <v>2022</v>
      </c>
      <c r="G31" s="18" t="s">
        <v>185</v>
      </c>
      <c r="H31" s="18" t="s">
        <v>406</v>
      </c>
      <c r="I31" s="136" t="s">
        <v>425</v>
      </c>
      <c r="J31" s="174" t="s">
        <v>1373</v>
      </c>
      <c r="K31" s="69"/>
      <c r="L31" s="44" t="s">
        <v>33</v>
      </c>
      <c r="M31" s="18" t="s">
        <v>524</v>
      </c>
      <c r="N31" s="18"/>
      <c r="O31" s="18"/>
      <c r="P31" s="18"/>
      <c r="Q31" s="18"/>
      <c r="R31" s="18" t="s">
        <v>58</v>
      </c>
      <c r="S31" s="18" t="s">
        <v>7</v>
      </c>
      <c r="T31" s="58">
        <v>44976</v>
      </c>
      <c r="U31" s="59" t="s">
        <v>207</v>
      </c>
      <c r="V31" s="59"/>
      <c r="W31" s="60" t="s">
        <v>409</v>
      </c>
    </row>
    <row r="32" spans="1:24" ht="36.75" customHeight="1" x14ac:dyDescent="0.25">
      <c r="A32" s="42">
        <v>47</v>
      </c>
      <c r="B32" s="195" t="s">
        <v>1644</v>
      </c>
      <c r="C32" s="18" t="s">
        <v>60</v>
      </c>
      <c r="D32" s="18" t="s">
        <v>531</v>
      </c>
      <c r="E32" s="18"/>
      <c r="F32" s="18">
        <v>2022</v>
      </c>
      <c r="G32" s="18" t="s">
        <v>158</v>
      </c>
      <c r="H32" s="18" t="s">
        <v>549</v>
      </c>
      <c r="I32" s="136" t="s">
        <v>550</v>
      </c>
      <c r="J32" s="174" t="s">
        <v>1373</v>
      </c>
      <c r="K32" s="59"/>
      <c r="L32" s="44" t="s">
        <v>33</v>
      </c>
      <c r="M32" s="18" t="s">
        <v>18</v>
      </c>
      <c r="N32" s="18" t="s">
        <v>6</v>
      </c>
      <c r="O32" s="18" t="s">
        <v>523</v>
      </c>
      <c r="P32" s="18"/>
      <c r="Q32" s="18"/>
      <c r="R32" s="18" t="s">
        <v>58</v>
      </c>
      <c r="S32" s="18" t="s">
        <v>7</v>
      </c>
      <c r="T32" s="58">
        <v>44976</v>
      </c>
      <c r="U32" s="59" t="s">
        <v>207</v>
      </c>
      <c r="V32" s="59"/>
      <c r="W32" s="60" t="s">
        <v>409</v>
      </c>
    </row>
    <row r="33" spans="1:24" ht="36.75" customHeight="1" x14ac:dyDescent="0.25">
      <c r="A33" s="42">
        <v>48</v>
      </c>
      <c r="B33" s="265" t="s">
        <v>1645</v>
      </c>
      <c r="C33" s="18" t="s">
        <v>8</v>
      </c>
      <c r="D33" s="18" t="s">
        <v>365</v>
      </c>
      <c r="E33" s="18"/>
      <c r="F33" s="18">
        <v>2017</v>
      </c>
      <c r="G33" s="18" t="s">
        <v>74</v>
      </c>
      <c r="H33" s="52" t="s">
        <v>551</v>
      </c>
      <c r="I33" s="136" t="s">
        <v>436</v>
      </c>
      <c r="J33" s="61" t="s">
        <v>222</v>
      </c>
      <c r="K33" s="70"/>
      <c r="L33" s="48" t="s">
        <v>273</v>
      </c>
      <c r="M33" s="18" t="s">
        <v>6</v>
      </c>
      <c r="N33" s="18" t="s">
        <v>18</v>
      </c>
      <c r="O33" s="18"/>
      <c r="P33" s="18"/>
      <c r="Q33" s="18"/>
      <c r="R33" s="18" t="s">
        <v>58</v>
      </c>
      <c r="S33" s="18" t="s">
        <v>203</v>
      </c>
      <c r="T33" s="58">
        <v>45090</v>
      </c>
      <c r="U33" s="59" t="s">
        <v>207</v>
      </c>
      <c r="V33" s="59"/>
      <c r="W33" s="60" t="s">
        <v>409</v>
      </c>
    </row>
    <row r="34" spans="1:24" ht="36.75" customHeight="1" x14ac:dyDescent="0.25">
      <c r="A34" s="42">
        <v>49</v>
      </c>
      <c r="B34" s="18" t="s">
        <v>227</v>
      </c>
      <c r="C34" s="18" t="s">
        <v>8</v>
      </c>
      <c r="D34" s="18" t="s">
        <v>531</v>
      </c>
      <c r="E34" s="18"/>
      <c r="F34" s="18">
        <v>2021</v>
      </c>
      <c r="G34" s="18" t="s">
        <v>187</v>
      </c>
      <c r="H34" s="18" t="s">
        <v>437</v>
      </c>
      <c r="I34" s="136" t="s">
        <v>438</v>
      </c>
      <c r="J34" s="174" t="s">
        <v>1373</v>
      </c>
      <c r="K34" s="72"/>
      <c r="L34" s="44" t="s">
        <v>33</v>
      </c>
      <c r="M34" s="18" t="s">
        <v>18</v>
      </c>
      <c r="N34" s="18" t="s">
        <v>6</v>
      </c>
      <c r="O34" s="18" t="s">
        <v>523</v>
      </c>
      <c r="P34" s="18"/>
      <c r="Q34" s="18"/>
      <c r="R34" s="18" t="s">
        <v>58</v>
      </c>
      <c r="S34" s="18" t="s">
        <v>203</v>
      </c>
      <c r="T34" s="58">
        <v>45090</v>
      </c>
      <c r="U34" s="59" t="s">
        <v>207</v>
      </c>
      <c r="V34" s="59"/>
      <c r="W34" s="60" t="s">
        <v>552</v>
      </c>
    </row>
    <row r="35" spans="1:24" ht="36.75" customHeight="1" x14ac:dyDescent="0.25">
      <c r="A35" s="42">
        <v>51</v>
      </c>
      <c r="B35" s="30" t="s">
        <v>440</v>
      </c>
      <c r="C35" s="18" t="s">
        <v>8</v>
      </c>
      <c r="D35" s="18" t="s">
        <v>370</v>
      </c>
      <c r="E35" s="18" t="s">
        <v>522</v>
      </c>
      <c r="F35" s="18">
        <v>2020</v>
      </c>
      <c r="G35" s="18" t="s">
        <v>410</v>
      </c>
      <c r="H35" s="18" t="s">
        <v>553</v>
      </c>
      <c r="I35" s="247" t="s">
        <v>441</v>
      </c>
      <c r="J35" s="73" t="s">
        <v>442</v>
      </c>
      <c r="K35" s="67" t="s">
        <v>543</v>
      </c>
      <c r="L35" s="44" t="s">
        <v>33</v>
      </c>
      <c r="M35" s="18" t="s">
        <v>18</v>
      </c>
      <c r="N35" s="18" t="s">
        <v>524</v>
      </c>
      <c r="O35" s="18" t="s">
        <v>6</v>
      </c>
      <c r="P35" s="18" t="s">
        <v>523</v>
      </c>
      <c r="Q35" s="18"/>
      <c r="R35" s="18" t="s">
        <v>58</v>
      </c>
      <c r="S35" s="18" t="s">
        <v>7</v>
      </c>
      <c r="T35" s="58">
        <v>45090</v>
      </c>
      <c r="U35" s="59" t="s">
        <v>207</v>
      </c>
      <c r="V35" s="59"/>
      <c r="W35" s="60" t="s">
        <v>552</v>
      </c>
    </row>
    <row r="36" spans="1:24" ht="36.75" customHeight="1" x14ac:dyDescent="0.25">
      <c r="A36" s="42">
        <v>52</v>
      </c>
      <c r="B36" s="18" t="s">
        <v>554</v>
      </c>
      <c r="C36" s="18" t="s">
        <v>8</v>
      </c>
      <c r="D36" s="18" t="s">
        <v>531</v>
      </c>
      <c r="E36" s="18"/>
      <c r="F36" s="18">
        <v>2021</v>
      </c>
      <c r="G36" s="18" t="s">
        <v>138</v>
      </c>
      <c r="H36" s="18" t="s">
        <v>231</v>
      </c>
      <c r="I36" s="136" t="s">
        <v>443</v>
      </c>
      <c r="J36" s="174" t="s">
        <v>1373</v>
      </c>
      <c r="K36" s="69"/>
      <c r="L36" s="44" t="s">
        <v>33</v>
      </c>
      <c r="M36" s="18" t="s">
        <v>18</v>
      </c>
      <c r="N36" s="18" t="s">
        <v>6</v>
      </c>
      <c r="O36" s="18" t="s">
        <v>523</v>
      </c>
      <c r="P36" s="18"/>
      <c r="Q36" s="18"/>
      <c r="R36" s="18" t="s">
        <v>58</v>
      </c>
      <c r="S36" s="18" t="s">
        <v>7</v>
      </c>
      <c r="T36" s="58">
        <v>45090</v>
      </c>
      <c r="U36" s="59" t="s">
        <v>207</v>
      </c>
      <c r="V36" s="59"/>
      <c r="W36" s="60" t="s">
        <v>552</v>
      </c>
    </row>
    <row r="37" spans="1:24" ht="36.75" customHeight="1" x14ac:dyDescent="0.25">
      <c r="A37" s="42">
        <v>53</v>
      </c>
      <c r="B37" s="195" t="s">
        <v>1646</v>
      </c>
      <c r="C37" s="41" t="s">
        <v>8</v>
      </c>
      <c r="D37" s="18" t="s">
        <v>531</v>
      </c>
      <c r="E37" s="41"/>
      <c r="F37" s="41">
        <v>2022</v>
      </c>
      <c r="G37" s="41" t="s">
        <v>140</v>
      </c>
      <c r="H37" s="41" t="s">
        <v>555</v>
      </c>
      <c r="I37" s="248" t="s">
        <v>445</v>
      </c>
      <c r="J37" s="64" t="s">
        <v>309</v>
      </c>
      <c r="K37" s="64"/>
      <c r="L37" s="54" t="s">
        <v>33</v>
      </c>
      <c r="M37" s="41" t="s">
        <v>18</v>
      </c>
      <c r="N37" s="41" t="s">
        <v>6</v>
      </c>
      <c r="O37" s="41" t="s">
        <v>523</v>
      </c>
      <c r="P37" s="41" t="s">
        <v>524</v>
      </c>
      <c r="Q37" s="41"/>
      <c r="R37" s="18" t="s">
        <v>58</v>
      </c>
      <c r="S37" s="41" t="s">
        <v>203</v>
      </c>
      <c r="T37" s="74">
        <v>45093</v>
      </c>
      <c r="U37" s="59" t="s">
        <v>207</v>
      </c>
      <c r="V37" s="59"/>
      <c r="W37" s="75" t="s">
        <v>552</v>
      </c>
    </row>
    <row r="38" spans="1:24" ht="36.75" customHeight="1" x14ac:dyDescent="0.25">
      <c r="A38" s="42">
        <v>54</v>
      </c>
      <c r="B38" s="18" t="s">
        <v>245</v>
      </c>
      <c r="C38" s="18" t="s">
        <v>60</v>
      </c>
      <c r="D38" s="18" t="s">
        <v>538</v>
      </c>
      <c r="E38" s="18"/>
      <c r="F38" s="18">
        <v>1990</v>
      </c>
      <c r="G38" s="18" t="s">
        <v>80</v>
      </c>
      <c r="H38" s="18" t="s">
        <v>556</v>
      </c>
      <c r="I38" s="136" t="s">
        <v>446</v>
      </c>
      <c r="J38" s="64" t="s">
        <v>244</v>
      </c>
      <c r="K38" s="65"/>
      <c r="L38" s="44" t="s">
        <v>33</v>
      </c>
      <c r="M38" s="18" t="s">
        <v>523</v>
      </c>
      <c r="N38" s="18" t="s">
        <v>524</v>
      </c>
      <c r="O38" s="18"/>
      <c r="P38" s="18"/>
      <c r="Q38" s="18"/>
      <c r="R38" s="18" t="s">
        <v>58</v>
      </c>
      <c r="S38" s="18" t="s">
        <v>203</v>
      </c>
      <c r="T38" s="58" t="s">
        <v>240</v>
      </c>
      <c r="U38" s="59" t="s">
        <v>207</v>
      </c>
      <c r="V38" s="59"/>
      <c r="W38" s="60" t="s">
        <v>552</v>
      </c>
    </row>
    <row r="39" spans="1:24" ht="36.75" customHeight="1" x14ac:dyDescent="0.25">
      <c r="A39" s="42">
        <v>55</v>
      </c>
      <c r="B39" s="18" t="s">
        <v>246</v>
      </c>
      <c r="C39" s="18" t="s">
        <v>60</v>
      </c>
      <c r="D39" s="18" t="s">
        <v>538</v>
      </c>
      <c r="E39" s="18"/>
      <c r="F39" s="18">
        <v>2017</v>
      </c>
      <c r="G39" s="18" t="s">
        <v>191</v>
      </c>
      <c r="H39" s="18" t="s">
        <v>557</v>
      </c>
      <c r="I39" s="136" t="s">
        <v>447</v>
      </c>
      <c r="J39" s="174" t="s">
        <v>1373</v>
      </c>
      <c r="K39" s="64" t="s">
        <v>247</v>
      </c>
      <c r="L39" s="44" t="s">
        <v>33</v>
      </c>
      <c r="M39" s="18" t="s">
        <v>524</v>
      </c>
      <c r="N39" s="18" t="s">
        <v>18</v>
      </c>
      <c r="O39" s="18"/>
      <c r="P39" s="18"/>
      <c r="Q39" s="18"/>
      <c r="R39" s="18" t="s">
        <v>58</v>
      </c>
      <c r="S39" s="18" t="s">
        <v>558</v>
      </c>
      <c r="T39" s="58">
        <v>45093</v>
      </c>
      <c r="U39" s="59" t="s">
        <v>207</v>
      </c>
      <c r="V39" s="59"/>
      <c r="W39" s="60" t="s">
        <v>552</v>
      </c>
    </row>
    <row r="40" spans="1:24" ht="36.75" customHeight="1" x14ac:dyDescent="0.25">
      <c r="A40" s="42">
        <v>56</v>
      </c>
      <c r="B40" s="18" t="s">
        <v>248</v>
      </c>
      <c r="C40" s="18" t="s">
        <v>60</v>
      </c>
      <c r="D40" s="18" t="s">
        <v>538</v>
      </c>
      <c r="E40" s="18"/>
      <c r="F40" s="18">
        <v>2005</v>
      </c>
      <c r="G40" s="18" t="s">
        <v>191</v>
      </c>
      <c r="H40" s="18" t="s">
        <v>559</v>
      </c>
      <c r="I40" s="136" t="s">
        <v>448</v>
      </c>
      <c r="J40" s="174" t="s">
        <v>1373</v>
      </c>
      <c r="K40" s="64" t="s">
        <v>249</v>
      </c>
      <c r="L40" s="44" t="s">
        <v>33</v>
      </c>
      <c r="M40" s="18" t="s">
        <v>523</v>
      </c>
      <c r="N40" s="18" t="s">
        <v>18</v>
      </c>
      <c r="O40" s="18" t="s">
        <v>524</v>
      </c>
      <c r="P40" s="18"/>
      <c r="Q40" s="18"/>
      <c r="R40" s="18" t="s">
        <v>58</v>
      </c>
      <c r="S40" s="18" t="s">
        <v>558</v>
      </c>
      <c r="T40" s="58" t="s">
        <v>240</v>
      </c>
      <c r="U40" s="59" t="s">
        <v>207</v>
      </c>
      <c r="V40" s="59"/>
      <c r="W40" s="60" t="s">
        <v>552</v>
      </c>
    </row>
    <row r="41" spans="1:24" ht="36.75" customHeight="1" x14ac:dyDescent="0.25">
      <c r="A41" s="42">
        <v>57</v>
      </c>
      <c r="B41" s="18" t="s">
        <v>250</v>
      </c>
      <c r="C41" s="18" t="s">
        <v>60</v>
      </c>
      <c r="D41" s="18" t="s">
        <v>538</v>
      </c>
      <c r="E41" s="18"/>
      <c r="F41" s="18">
        <v>2006</v>
      </c>
      <c r="G41" s="18" t="s">
        <v>144</v>
      </c>
      <c r="H41" s="18" t="s">
        <v>560</v>
      </c>
      <c r="I41" s="136" t="s">
        <v>449</v>
      </c>
      <c r="J41" s="174" t="s">
        <v>1373</v>
      </c>
      <c r="K41" s="64" t="s">
        <v>251</v>
      </c>
      <c r="L41" s="44" t="s">
        <v>33</v>
      </c>
      <c r="M41" s="18" t="s">
        <v>523</v>
      </c>
      <c r="N41" s="18" t="s">
        <v>18</v>
      </c>
      <c r="O41" s="18" t="s">
        <v>524</v>
      </c>
      <c r="P41" s="18"/>
      <c r="Q41" s="18"/>
      <c r="R41" s="18" t="s">
        <v>58</v>
      </c>
      <c r="S41" s="18" t="s">
        <v>7</v>
      </c>
      <c r="T41" s="58" t="s">
        <v>240</v>
      </c>
      <c r="U41" s="59" t="s">
        <v>207</v>
      </c>
      <c r="V41" s="59"/>
      <c r="W41" s="60" t="s">
        <v>552</v>
      </c>
    </row>
    <row r="42" spans="1:24" ht="36.75" customHeight="1" x14ac:dyDescent="0.25">
      <c r="A42" s="42">
        <v>58</v>
      </c>
      <c r="B42" s="195" t="s">
        <v>1647</v>
      </c>
      <c r="C42" s="18" t="s">
        <v>60</v>
      </c>
      <c r="D42" s="18" t="s">
        <v>538</v>
      </c>
      <c r="E42" s="18"/>
      <c r="F42" s="18">
        <v>2004</v>
      </c>
      <c r="G42" s="18" t="s">
        <v>77</v>
      </c>
      <c r="H42" s="18" t="s">
        <v>561</v>
      </c>
      <c r="I42" s="136" t="s">
        <v>450</v>
      </c>
      <c r="J42" s="174" t="s">
        <v>1373</v>
      </c>
      <c r="K42" s="64" t="s">
        <v>252</v>
      </c>
      <c r="L42" s="44" t="s">
        <v>33</v>
      </c>
      <c r="M42" s="18" t="s">
        <v>523</v>
      </c>
      <c r="N42" s="18" t="s">
        <v>18</v>
      </c>
      <c r="O42" s="18" t="s">
        <v>524</v>
      </c>
      <c r="P42" s="18"/>
      <c r="Q42" s="18"/>
      <c r="R42" s="18" t="s">
        <v>58</v>
      </c>
      <c r="S42" s="18" t="s">
        <v>7</v>
      </c>
      <c r="T42" s="58" t="s">
        <v>240</v>
      </c>
      <c r="U42" s="59" t="s">
        <v>207</v>
      </c>
      <c r="V42" s="59"/>
      <c r="W42" s="60" t="s">
        <v>1294</v>
      </c>
      <c r="X42" t="s">
        <v>552</v>
      </c>
    </row>
    <row r="43" spans="1:24" ht="36.75" customHeight="1" x14ac:dyDescent="0.25">
      <c r="A43" s="42">
        <v>59</v>
      </c>
      <c r="B43" s="18" t="s">
        <v>253</v>
      </c>
      <c r="C43" s="18"/>
      <c r="D43" s="18" t="s">
        <v>538</v>
      </c>
      <c r="E43" s="18"/>
      <c r="F43" s="18">
        <v>2016</v>
      </c>
      <c r="G43" s="18" t="s">
        <v>185</v>
      </c>
      <c r="H43" s="18" t="s">
        <v>562</v>
      </c>
      <c r="I43" s="136" t="s">
        <v>451</v>
      </c>
      <c r="J43" s="73" t="s">
        <v>452</v>
      </c>
      <c r="K43" s="64" t="s">
        <v>254</v>
      </c>
      <c r="L43" s="44" t="s">
        <v>273</v>
      </c>
      <c r="M43" s="18" t="s">
        <v>523</v>
      </c>
      <c r="N43" s="18" t="s">
        <v>18</v>
      </c>
      <c r="O43" s="18"/>
      <c r="P43" s="18"/>
      <c r="Q43" s="18"/>
      <c r="R43" s="18" t="s">
        <v>58</v>
      </c>
      <c r="S43" s="18" t="s">
        <v>5</v>
      </c>
      <c r="T43" s="58">
        <v>45093</v>
      </c>
      <c r="U43" s="59" t="s">
        <v>207</v>
      </c>
      <c r="V43" s="59"/>
      <c r="W43" s="60" t="s">
        <v>552</v>
      </c>
    </row>
    <row r="44" spans="1:24" ht="36.75" customHeight="1" x14ac:dyDescent="0.25">
      <c r="A44" s="42">
        <v>60</v>
      </c>
      <c r="B44" s="18" t="s">
        <v>453</v>
      </c>
      <c r="C44" s="18" t="s">
        <v>8</v>
      </c>
      <c r="D44" s="18" t="s">
        <v>538</v>
      </c>
      <c r="E44" s="18"/>
      <c r="F44" s="18">
        <v>2009</v>
      </c>
      <c r="G44" s="18" t="s">
        <v>183</v>
      </c>
      <c r="H44" s="18" t="s">
        <v>454</v>
      </c>
      <c r="I44" s="136" t="s">
        <v>455</v>
      </c>
      <c r="J44" s="174" t="s">
        <v>1373</v>
      </c>
      <c r="K44" s="64" t="s">
        <v>255</v>
      </c>
      <c r="L44" s="44" t="s">
        <v>33</v>
      </c>
      <c r="M44" s="18" t="s">
        <v>524</v>
      </c>
      <c r="N44" s="18" t="s">
        <v>523</v>
      </c>
      <c r="O44" s="18" t="s">
        <v>18</v>
      </c>
      <c r="P44" s="18"/>
      <c r="Q44" s="18"/>
      <c r="R44" s="18" t="s">
        <v>58</v>
      </c>
      <c r="S44" s="18" t="s">
        <v>558</v>
      </c>
      <c r="T44" s="58">
        <v>45093</v>
      </c>
      <c r="U44" s="59" t="s">
        <v>207</v>
      </c>
      <c r="V44" s="59"/>
      <c r="W44" s="60" t="s">
        <v>552</v>
      </c>
    </row>
    <row r="45" spans="1:24" ht="36.75" customHeight="1" x14ac:dyDescent="0.25">
      <c r="A45" s="42">
        <v>61</v>
      </c>
      <c r="B45" s="195" t="s">
        <v>1648</v>
      </c>
      <c r="C45" s="41" t="s">
        <v>8</v>
      </c>
      <c r="D45" s="41" t="s">
        <v>370</v>
      </c>
      <c r="E45" s="41"/>
      <c r="F45" s="41">
        <v>2020</v>
      </c>
      <c r="G45" s="41" t="s">
        <v>148</v>
      </c>
      <c r="H45" s="41" t="s">
        <v>414</v>
      </c>
      <c r="I45" s="248" t="s">
        <v>456</v>
      </c>
      <c r="J45" s="174" t="s">
        <v>1373</v>
      </c>
      <c r="K45" s="76" t="s">
        <v>426</v>
      </c>
      <c r="L45" s="54" t="s">
        <v>33</v>
      </c>
      <c r="M45" s="41" t="s">
        <v>527</v>
      </c>
      <c r="N45" s="41"/>
      <c r="O45" s="41"/>
      <c r="P45" s="41"/>
      <c r="Q45" s="41"/>
      <c r="R45" s="18" t="s">
        <v>58</v>
      </c>
      <c r="S45" s="41" t="s">
        <v>7</v>
      </c>
      <c r="T45" s="74">
        <v>45093</v>
      </c>
      <c r="U45" s="77" t="s">
        <v>23</v>
      </c>
      <c r="V45" s="77"/>
      <c r="W45" s="60" t="s">
        <v>552</v>
      </c>
    </row>
    <row r="46" spans="1:24" ht="36.75" customHeight="1" x14ac:dyDescent="0.25">
      <c r="A46" s="42">
        <v>62</v>
      </c>
      <c r="B46" s="55" t="s">
        <v>434</v>
      </c>
      <c r="C46" s="41" t="s">
        <v>8</v>
      </c>
      <c r="D46" s="41" t="s">
        <v>529</v>
      </c>
      <c r="E46" s="41"/>
      <c r="F46" s="41">
        <v>2008</v>
      </c>
      <c r="G46" s="41" t="s">
        <v>148</v>
      </c>
      <c r="H46" s="55" t="s">
        <v>563</v>
      </c>
      <c r="I46" s="248" t="s">
        <v>457</v>
      </c>
      <c r="J46" s="76"/>
      <c r="K46" s="76" t="s">
        <v>426</v>
      </c>
      <c r="L46" s="54" t="s">
        <v>33</v>
      </c>
      <c r="M46" s="41" t="s">
        <v>524</v>
      </c>
      <c r="N46" s="41"/>
      <c r="O46" s="41"/>
      <c r="P46" s="41"/>
      <c r="Q46" s="41"/>
      <c r="R46" s="18" t="s">
        <v>58</v>
      </c>
      <c r="S46" s="18" t="s">
        <v>558</v>
      </c>
      <c r="T46" s="74"/>
      <c r="U46" s="77" t="s">
        <v>23</v>
      </c>
      <c r="V46" s="77"/>
      <c r="W46" s="60" t="s">
        <v>552</v>
      </c>
    </row>
    <row r="47" spans="1:24" ht="36.75" customHeight="1" x14ac:dyDescent="0.25">
      <c r="A47" s="42">
        <v>63</v>
      </c>
      <c r="B47" s="18" t="s">
        <v>415</v>
      </c>
      <c r="C47" s="18" t="s">
        <v>8</v>
      </c>
      <c r="D47" s="18" t="s">
        <v>538</v>
      </c>
      <c r="E47" s="18" t="s">
        <v>370</v>
      </c>
      <c r="F47" s="18">
        <v>1995</v>
      </c>
      <c r="G47" s="18" t="s">
        <v>416</v>
      </c>
      <c r="H47" s="18" t="s">
        <v>564</v>
      </c>
      <c r="I47" s="247" t="s">
        <v>458</v>
      </c>
      <c r="J47" s="174" t="s">
        <v>1373</v>
      </c>
      <c r="K47" s="76" t="s">
        <v>427</v>
      </c>
      <c r="L47" s="44" t="s">
        <v>33</v>
      </c>
      <c r="M47" s="18" t="s">
        <v>523</v>
      </c>
      <c r="N47" s="18"/>
      <c r="O47" s="18"/>
      <c r="P47" s="18"/>
      <c r="Q47" s="18"/>
      <c r="R47" s="18" t="s">
        <v>58</v>
      </c>
      <c r="S47" s="18" t="s">
        <v>7</v>
      </c>
      <c r="T47" s="58"/>
      <c r="U47" s="77" t="s">
        <v>23</v>
      </c>
      <c r="V47" s="77"/>
      <c r="W47" s="60" t="s">
        <v>552</v>
      </c>
    </row>
    <row r="48" spans="1:24" ht="36.75" customHeight="1" x14ac:dyDescent="0.25">
      <c r="A48" s="42">
        <v>64</v>
      </c>
      <c r="B48" s="18" t="s">
        <v>417</v>
      </c>
      <c r="C48" s="18" t="s">
        <v>8</v>
      </c>
      <c r="D48" s="18" t="s">
        <v>370</v>
      </c>
      <c r="E48" s="18"/>
      <c r="F48" s="18">
        <v>2021</v>
      </c>
      <c r="G48" s="18" t="s">
        <v>73</v>
      </c>
      <c r="H48" s="18" t="s">
        <v>565</v>
      </c>
      <c r="I48" s="136" t="s">
        <v>459</v>
      </c>
      <c r="J48" s="174" t="s">
        <v>1373</v>
      </c>
      <c r="K48" s="66" t="s">
        <v>298</v>
      </c>
      <c r="L48" s="44" t="s">
        <v>33</v>
      </c>
      <c r="M48" s="18" t="s">
        <v>523</v>
      </c>
      <c r="N48" s="18" t="s">
        <v>524</v>
      </c>
      <c r="O48" s="18"/>
      <c r="P48" s="18"/>
      <c r="Q48" s="18"/>
      <c r="R48" s="18" t="s">
        <v>58</v>
      </c>
      <c r="S48" s="18" t="s">
        <v>7</v>
      </c>
      <c r="T48" s="58">
        <v>45082</v>
      </c>
      <c r="U48" s="77" t="s">
        <v>207</v>
      </c>
      <c r="V48" s="77"/>
      <c r="W48" s="60" t="s">
        <v>552</v>
      </c>
    </row>
    <row r="49" spans="1:23" ht="36.75" customHeight="1" x14ac:dyDescent="0.25">
      <c r="A49" s="42">
        <v>65</v>
      </c>
      <c r="B49" s="18" t="s">
        <v>237</v>
      </c>
      <c r="C49" s="18" t="s">
        <v>8</v>
      </c>
      <c r="D49" s="18" t="s">
        <v>522</v>
      </c>
      <c r="E49" s="18"/>
      <c r="F49" s="18">
        <v>2018</v>
      </c>
      <c r="G49" s="18" t="s">
        <v>128</v>
      </c>
      <c r="H49" s="18" t="s">
        <v>566</v>
      </c>
      <c r="I49" s="136" t="s">
        <v>289</v>
      </c>
      <c r="J49" s="174" t="s">
        <v>1373</v>
      </c>
      <c r="K49" s="78" t="s">
        <v>238</v>
      </c>
      <c r="L49" s="44" t="s">
        <v>33</v>
      </c>
      <c r="M49" s="18" t="s">
        <v>524</v>
      </c>
      <c r="N49" s="18" t="s">
        <v>18</v>
      </c>
      <c r="O49" s="18"/>
      <c r="P49" s="18"/>
      <c r="Q49" s="18"/>
      <c r="R49" s="18" t="s">
        <v>58</v>
      </c>
      <c r="S49" s="18" t="s">
        <v>7</v>
      </c>
      <c r="T49" s="58">
        <v>44978</v>
      </c>
      <c r="U49" s="59" t="s">
        <v>207</v>
      </c>
      <c r="V49" s="59"/>
      <c r="W49" s="60" t="s">
        <v>552</v>
      </c>
    </row>
    <row r="50" spans="1:23" ht="36.75" customHeight="1" x14ac:dyDescent="0.25">
      <c r="A50" s="42">
        <v>67</v>
      </c>
      <c r="B50" s="18" t="s">
        <v>241</v>
      </c>
      <c r="C50" s="18" t="s">
        <v>8</v>
      </c>
      <c r="D50" s="18" t="s">
        <v>370</v>
      </c>
      <c r="E50" s="18" t="s">
        <v>538</v>
      </c>
      <c r="F50" s="18">
        <v>2023</v>
      </c>
      <c r="G50" s="18" t="s">
        <v>74</v>
      </c>
      <c r="H50" s="18" t="s">
        <v>567</v>
      </c>
      <c r="I50" s="136" t="s">
        <v>477</v>
      </c>
      <c r="J50" s="76" t="s">
        <v>478</v>
      </c>
      <c r="K50" s="65"/>
      <c r="L50" s="44" t="s">
        <v>273</v>
      </c>
      <c r="M50" s="18" t="s">
        <v>523</v>
      </c>
      <c r="N50" s="18" t="s">
        <v>524</v>
      </c>
      <c r="O50" s="18" t="s">
        <v>18</v>
      </c>
      <c r="P50" s="18"/>
      <c r="Q50" s="18"/>
      <c r="R50" s="18" t="s">
        <v>568</v>
      </c>
      <c r="S50" s="18" t="s">
        <v>7</v>
      </c>
      <c r="T50" s="58" t="s">
        <v>240</v>
      </c>
      <c r="U50" s="59" t="s">
        <v>207</v>
      </c>
      <c r="V50" s="59"/>
      <c r="W50" s="60" t="s">
        <v>569</v>
      </c>
    </row>
    <row r="51" spans="1:23" ht="36.75" customHeight="1" x14ac:dyDescent="0.25">
      <c r="A51" s="42">
        <v>68</v>
      </c>
      <c r="B51" s="18" t="s">
        <v>479</v>
      </c>
      <c r="C51" s="18" t="s">
        <v>8</v>
      </c>
      <c r="D51" s="18" t="s">
        <v>522</v>
      </c>
      <c r="E51" s="18" t="s">
        <v>370</v>
      </c>
      <c r="F51" s="18">
        <v>2022</v>
      </c>
      <c r="G51" s="18" t="s">
        <v>174</v>
      </c>
      <c r="H51" s="18" t="s">
        <v>480</v>
      </c>
      <c r="I51" s="136" t="s">
        <v>481</v>
      </c>
      <c r="J51" s="79" t="s">
        <v>482</v>
      </c>
      <c r="K51" s="79"/>
      <c r="L51" s="44" t="s">
        <v>33</v>
      </c>
      <c r="M51" s="18" t="s">
        <v>18</v>
      </c>
      <c r="N51" s="18"/>
      <c r="O51" s="18"/>
      <c r="P51" s="18"/>
      <c r="Q51" s="18"/>
      <c r="R51" s="18" t="s">
        <v>58</v>
      </c>
      <c r="S51" s="18" t="s">
        <v>7</v>
      </c>
      <c r="T51" s="58">
        <v>45175</v>
      </c>
      <c r="U51" s="59" t="s">
        <v>207</v>
      </c>
      <c r="V51" s="59"/>
      <c r="W51" s="60" t="s">
        <v>569</v>
      </c>
    </row>
    <row r="52" spans="1:23" ht="36.75" customHeight="1" x14ac:dyDescent="0.25">
      <c r="A52" s="42">
        <v>69</v>
      </c>
      <c r="B52" s="195" t="s">
        <v>1649</v>
      </c>
      <c r="C52" s="18" t="s">
        <v>8</v>
      </c>
      <c r="D52" s="18" t="s">
        <v>531</v>
      </c>
      <c r="E52" s="18"/>
      <c r="F52" s="18">
        <v>2021</v>
      </c>
      <c r="G52" s="18" t="s">
        <v>76</v>
      </c>
      <c r="H52" s="18" t="s">
        <v>484</v>
      </c>
      <c r="I52" s="136" t="s">
        <v>485</v>
      </c>
      <c r="J52" s="76" t="s">
        <v>486</v>
      </c>
      <c r="K52" s="79"/>
      <c r="L52" s="44" t="s">
        <v>33</v>
      </c>
      <c r="M52" s="18" t="s">
        <v>524</v>
      </c>
      <c r="N52" s="18" t="s">
        <v>523</v>
      </c>
      <c r="O52" s="18"/>
      <c r="P52" s="18"/>
      <c r="Q52" s="18"/>
      <c r="R52" s="18" t="s">
        <v>58</v>
      </c>
      <c r="S52" s="18" t="s">
        <v>7</v>
      </c>
      <c r="T52" s="58">
        <v>45175</v>
      </c>
      <c r="U52" s="59" t="s">
        <v>207</v>
      </c>
      <c r="V52" s="59"/>
      <c r="W52" s="60" t="s">
        <v>569</v>
      </c>
    </row>
    <row r="53" spans="1:23" ht="36.75" customHeight="1" x14ac:dyDescent="0.25">
      <c r="A53" s="42">
        <v>70</v>
      </c>
      <c r="B53" s="195" t="s">
        <v>1650</v>
      </c>
      <c r="C53" s="18" t="s">
        <v>439</v>
      </c>
      <c r="D53" s="18" t="s">
        <v>522</v>
      </c>
      <c r="E53" s="18"/>
      <c r="F53" s="18">
        <v>2021</v>
      </c>
      <c r="G53" s="18" t="s">
        <v>76</v>
      </c>
      <c r="H53" s="18" t="s">
        <v>488</v>
      </c>
      <c r="I53" s="136" t="s">
        <v>489</v>
      </c>
      <c r="J53" s="59" t="s">
        <v>490</v>
      </c>
      <c r="K53" s="79"/>
      <c r="L53" s="44" t="s">
        <v>33</v>
      </c>
      <c r="M53" s="18" t="s">
        <v>524</v>
      </c>
      <c r="N53" s="18" t="s">
        <v>523</v>
      </c>
      <c r="O53" s="18"/>
      <c r="P53" s="18"/>
      <c r="Q53" s="18"/>
      <c r="R53" s="18" t="s">
        <v>58</v>
      </c>
      <c r="S53" s="18" t="s">
        <v>7</v>
      </c>
      <c r="T53" s="58">
        <v>45175</v>
      </c>
      <c r="U53" s="59" t="s">
        <v>207</v>
      </c>
      <c r="V53" s="59"/>
      <c r="W53" s="60" t="s">
        <v>569</v>
      </c>
    </row>
    <row r="54" spans="1:23" ht="36.75" customHeight="1" x14ac:dyDescent="0.25">
      <c r="A54" s="42">
        <v>81</v>
      </c>
      <c r="B54" s="18" t="s">
        <v>492</v>
      </c>
      <c r="C54" s="18" t="s">
        <v>8</v>
      </c>
      <c r="D54" s="18" t="s">
        <v>538</v>
      </c>
      <c r="E54" s="18" t="s">
        <v>370</v>
      </c>
      <c r="F54" s="18">
        <v>2017</v>
      </c>
      <c r="G54" s="18" t="s">
        <v>493</v>
      </c>
      <c r="H54" s="18" t="s">
        <v>570</v>
      </c>
      <c r="I54" s="136" t="s">
        <v>494</v>
      </c>
      <c r="J54" s="80" t="s">
        <v>495</v>
      </c>
      <c r="K54" s="79"/>
      <c r="L54" s="44" t="s">
        <v>33</v>
      </c>
      <c r="M54" s="18" t="s">
        <v>527</v>
      </c>
      <c r="N54" s="18"/>
      <c r="O54" s="18"/>
      <c r="P54" s="18"/>
      <c r="Q54" s="18"/>
      <c r="R54" s="18" t="s">
        <v>58</v>
      </c>
      <c r="S54" s="18" t="s">
        <v>203</v>
      </c>
      <c r="T54" s="58">
        <v>45176</v>
      </c>
      <c r="U54" s="59" t="s">
        <v>207</v>
      </c>
      <c r="V54" s="59"/>
      <c r="W54" s="60" t="s">
        <v>569</v>
      </c>
    </row>
    <row r="55" spans="1:23" ht="36.75" customHeight="1" x14ac:dyDescent="0.25">
      <c r="A55" s="42">
        <v>82</v>
      </c>
      <c r="B55" s="195" t="s">
        <v>1651</v>
      </c>
      <c r="C55" s="18" t="s">
        <v>8</v>
      </c>
      <c r="D55" s="18" t="s">
        <v>529</v>
      </c>
      <c r="E55" s="18"/>
      <c r="F55" s="18">
        <v>2022</v>
      </c>
      <c r="G55" s="18" t="s">
        <v>185</v>
      </c>
      <c r="H55" s="18" t="s">
        <v>571</v>
      </c>
      <c r="I55" s="136" t="s">
        <v>572</v>
      </c>
      <c r="J55" s="174" t="s">
        <v>1373</v>
      </c>
      <c r="K55" s="69"/>
      <c r="L55" s="44" t="s">
        <v>33</v>
      </c>
      <c r="M55" s="18" t="s">
        <v>523</v>
      </c>
      <c r="N55" s="18" t="s">
        <v>524</v>
      </c>
      <c r="O55" s="18"/>
      <c r="P55" s="18"/>
      <c r="Q55" s="18"/>
      <c r="R55" s="18" t="s">
        <v>58</v>
      </c>
      <c r="S55" s="18" t="s">
        <v>7</v>
      </c>
      <c r="T55" s="58">
        <v>44976</v>
      </c>
      <c r="U55" s="59" t="s">
        <v>207</v>
      </c>
      <c r="V55" s="59"/>
      <c r="W55" s="60" t="s">
        <v>569</v>
      </c>
    </row>
    <row r="56" spans="1:23" ht="36.75" customHeight="1" x14ac:dyDescent="0.25">
      <c r="A56" s="42">
        <v>83</v>
      </c>
      <c r="B56" s="18" t="s">
        <v>233</v>
      </c>
      <c r="C56" s="18" t="s">
        <v>60</v>
      </c>
      <c r="D56" s="18" t="s">
        <v>522</v>
      </c>
      <c r="E56" s="18"/>
      <c r="F56" s="18">
        <v>2006</v>
      </c>
      <c r="G56" s="18" t="s">
        <v>142</v>
      </c>
      <c r="H56" s="18" t="s">
        <v>216</v>
      </c>
      <c r="I56" s="136" t="s">
        <v>297</v>
      </c>
      <c r="J56" s="174" t="s">
        <v>1373</v>
      </c>
      <c r="K56" s="69"/>
      <c r="L56" s="44" t="s">
        <v>33</v>
      </c>
      <c r="M56" s="18" t="s">
        <v>524</v>
      </c>
      <c r="N56" s="18" t="s">
        <v>18</v>
      </c>
      <c r="O56" s="18"/>
      <c r="P56" s="18"/>
      <c r="Q56" s="18"/>
      <c r="R56" s="18" t="s">
        <v>58</v>
      </c>
      <c r="S56" s="18" t="s">
        <v>7</v>
      </c>
      <c r="T56" s="58">
        <v>44973</v>
      </c>
      <c r="U56" s="59" t="s">
        <v>207</v>
      </c>
      <c r="V56" s="59"/>
      <c r="W56" s="60" t="s">
        <v>569</v>
      </c>
    </row>
    <row r="57" spans="1:23" ht="36.75" customHeight="1" x14ac:dyDescent="0.25">
      <c r="A57" s="42">
        <v>84</v>
      </c>
      <c r="B57" s="18" t="s">
        <v>217</v>
      </c>
      <c r="C57" s="18" t="s">
        <v>8</v>
      </c>
      <c r="D57" s="18" t="s">
        <v>529</v>
      </c>
      <c r="E57" s="18"/>
      <c r="F57" s="18">
        <v>2023</v>
      </c>
      <c r="G57" s="18" t="s">
        <v>142</v>
      </c>
      <c r="H57" s="18" t="s">
        <v>497</v>
      </c>
      <c r="I57" s="136" t="s">
        <v>498</v>
      </c>
      <c r="J57" s="174" t="s">
        <v>1373</v>
      </c>
      <c r="K57" s="69"/>
      <c r="L57" s="44" t="s">
        <v>33</v>
      </c>
      <c r="M57" s="18" t="s">
        <v>524</v>
      </c>
      <c r="N57" s="18" t="s">
        <v>523</v>
      </c>
      <c r="O57" s="18" t="s">
        <v>18</v>
      </c>
      <c r="P57" s="18"/>
      <c r="Q57" s="18"/>
      <c r="R57" s="18" t="s">
        <v>568</v>
      </c>
      <c r="S57" s="18" t="s">
        <v>7</v>
      </c>
      <c r="T57" s="58">
        <v>44973</v>
      </c>
      <c r="U57" s="59" t="s">
        <v>207</v>
      </c>
      <c r="V57" s="59"/>
      <c r="W57" s="60" t="s">
        <v>569</v>
      </c>
    </row>
    <row r="58" spans="1:23" ht="36.75" customHeight="1" x14ac:dyDescent="0.25">
      <c r="A58" s="42">
        <v>85</v>
      </c>
      <c r="B58" s="81" t="s">
        <v>573</v>
      </c>
      <c r="C58" s="41" t="s">
        <v>8</v>
      </c>
      <c r="D58" s="41" t="s">
        <v>538</v>
      </c>
      <c r="E58" s="41" t="s">
        <v>370</v>
      </c>
      <c r="F58" s="41">
        <v>2022</v>
      </c>
      <c r="G58" s="41" t="s">
        <v>148</v>
      </c>
      <c r="H58" s="41" t="s">
        <v>574</v>
      </c>
      <c r="I58" s="248" t="s">
        <v>499</v>
      </c>
      <c r="J58" s="76" t="s">
        <v>428</v>
      </c>
      <c r="K58" s="69"/>
      <c r="L58" s="54" t="s">
        <v>33</v>
      </c>
      <c r="M58" s="41" t="s">
        <v>523</v>
      </c>
      <c r="N58" s="41" t="s">
        <v>524</v>
      </c>
      <c r="O58" s="41"/>
      <c r="P58" s="41"/>
      <c r="Q58" s="41"/>
      <c r="R58" s="18" t="s">
        <v>58</v>
      </c>
      <c r="S58" s="18" t="s">
        <v>558</v>
      </c>
      <c r="T58" s="74">
        <v>45183</v>
      </c>
      <c r="U58" s="77" t="s">
        <v>23</v>
      </c>
      <c r="V58" s="77"/>
      <c r="W58" s="60" t="s">
        <v>569</v>
      </c>
    </row>
    <row r="59" spans="1:23" ht="36.75" customHeight="1" x14ac:dyDescent="0.25">
      <c r="A59" s="42">
        <v>86</v>
      </c>
      <c r="B59" s="18" t="s">
        <v>423</v>
      </c>
      <c r="C59" s="18" t="s">
        <v>8</v>
      </c>
      <c r="D59" s="18" t="s">
        <v>538</v>
      </c>
      <c r="E59" s="18" t="s">
        <v>370</v>
      </c>
      <c r="F59" s="18">
        <v>2023</v>
      </c>
      <c r="G59" s="18" t="s">
        <v>73</v>
      </c>
      <c r="H59" s="18" t="s">
        <v>575</v>
      </c>
      <c r="I59" s="136" t="s">
        <v>500</v>
      </c>
      <c r="J59" s="174" t="s">
        <v>1373</v>
      </c>
      <c r="K59" s="69"/>
      <c r="L59" s="44" t="s">
        <v>33</v>
      </c>
      <c r="M59" s="18" t="s">
        <v>523</v>
      </c>
      <c r="N59" s="18" t="s">
        <v>524</v>
      </c>
      <c r="O59" s="18" t="s">
        <v>18</v>
      </c>
      <c r="P59" s="18"/>
      <c r="Q59" s="18"/>
      <c r="R59" s="18" t="s">
        <v>58</v>
      </c>
      <c r="S59" s="18" t="s">
        <v>7</v>
      </c>
      <c r="T59" s="58">
        <v>45052</v>
      </c>
      <c r="U59" s="77" t="s">
        <v>207</v>
      </c>
      <c r="V59" s="77"/>
      <c r="W59" s="60" t="s">
        <v>569</v>
      </c>
    </row>
    <row r="60" spans="1:23" ht="36.75" customHeight="1" x14ac:dyDescent="0.25">
      <c r="A60" s="42">
        <v>87</v>
      </c>
      <c r="B60" s="18" t="s">
        <v>915</v>
      </c>
      <c r="C60" s="18" t="s">
        <v>8</v>
      </c>
      <c r="D60" s="18" t="s">
        <v>534</v>
      </c>
      <c r="E60" s="18" t="s">
        <v>538</v>
      </c>
      <c r="F60" s="18">
        <v>2023</v>
      </c>
      <c r="G60" s="18" t="s">
        <v>80</v>
      </c>
      <c r="H60" s="18" t="s">
        <v>917</v>
      </c>
      <c r="I60" s="136" t="s">
        <v>918</v>
      </c>
      <c r="J60" s="104" t="s">
        <v>919</v>
      </c>
      <c r="K60" s="69"/>
      <c r="L60" s="44" t="s">
        <v>22</v>
      </c>
      <c r="M60" s="18" t="s">
        <v>18</v>
      </c>
      <c r="N60" s="18" t="s">
        <v>6</v>
      </c>
      <c r="O60" s="18" t="s">
        <v>523</v>
      </c>
      <c r="P60" s="18"/>
      <c r="Q60" s="18"/>
      <c r="R60" s="18" t="s">
        <v>58</v>
      </c>
      <c r="S60" s="18" t="s">
        <v>5</v>
      </c>
      <c r="T60" s="58" t="s">
        <v>240</v>
      </c>
      <c r="U60" s="106"/>
      <c r="V60" s="106"/>
      <c r="W60" s="60" t="s">
        <v>569</v>
      </c>
    </row>
    <row r="61" spans="1:23" ht="36.75" customHeight="1" x14ac:dyDescent="0.25">
      <c r="A61" s="42">
        <v>88</v>
      </c>
      <c r="B61" s="41" t="s">
        <v>418</v>
      </c>
      <c r="C61" s="41" t="s">
        <v>8</v>
      </c>
      <c r="D61" s="18" t="s">
        <v>522</v>
      </c>
      <c r="E61" s="41" t="s">
        <v>370</v>
      </c>
      <c r="F61" s="41">
        <v>2022</v>
      </c>
      <c r="G61" s="41" t="s">
        <v>148</v>
      </c>
      <c r="H61" s="41" t="s">
        <v>576</v>
      </c>
      <c r="I61" s="248" t="s">
        <v>501</v>
      </c>
      <c r="J61" s="76" t="s">
        <v>429</v>
      </c>
      <c r="K61" s="69"/>
      <c r="L61" s="54" t="s">
        <v>33</v>
      </c>
      <c r="M61" s="41" t="s">
        <v>523</v>
      </c>
      <c r="N61" s="41" t="s">
        <v>524</v>
      </c>
      <c r="O61" s="41" t="s">
        <v>6</v>
      </c>
      <c r="P61" s="41"/>
      <c r="Q61" s="41"/>
      <c r="R61" s="18" t="s">
        <v>568</v>
      </c>
      <c r="S61" s="18" t="s">
        <v>558</v>
      </c>
      <c r="T61" s="74"/>
      <c r="U61" s="77" t="s">
        <v>23</v>
      </c>
      <c r="V61" s="77"/>
      <c r="W61" s="60" t="s">
        <v>569</v>
      </c>
    </row>
    <row r="62" spans="1:23" ht="36.75" customHeight="1" x14ac:dyDescent="0.25">
      <c r="A62" s="42">
        <v>89</v>
      </c>
      <c r="B62" s="41" t="s">
        <v>419</v>
      </c>
      <c r="C62" s="41" t="s">
        <v>8</v>
      </c>
      <c r="D62" s="18" t="s">
        <v>531</v>
      </c>
      <c r="E62" s="41"/>
      <c r="F62" s="41">
        <v>2020</v>
      </c>
      <c r="G62" s="41" t="s">
        <v>148</v>
      </c>
      <c r="H62" s="41" t="s">
        <v>577</v>
      </c>
      <c r="I62" s="248" t="s">
        <v>502</v>
      </c>
      <c r="J62" s="76" t="s">
        <v>426</v>
      </c>
      <c r="K62" s="79"/>
      <c r="L62" s="54" t="s">
        <v>33</v>
      </c>
      <c r="M62" s="41" t="s">
        <v>524</v>
      </c>
      <c r="N62" s="41" t="s">
        <v>523</v>
      </c>
      <c r="O62" s="41" t="s">
        <v>18</v>
      </c>
      <c r="P62" s="41"/>
      <c r="Q62" s="41"/>
      <c r="R62" s="18" t="s">
        <v>568</v>
      </c>
      <c r="S62" s="18" t="s">
        <v>558</v>
      </c>
      <c r="T62" s="74"/>
      <c r="U62" s="77" t="s">
        <v>23</v>
      </c>
      <c r="V62" s="77"/>
      <c r="W62" s="60" t="s">
        <v>569</v>
      </c>
    </row>
    <row r="63" spans="1:23" ht="36.75" customHeight="1" x14ac:dyDescent="0.25">
      <c r="A63" s="42">
        <v>91</v>
      </c>
      <c r="B63" s="266" t="s">
        <v>1653</v>
      </c>
      <c r="C63" s="41" t="s">
        <v>8</v>
      </c>
      <c r="D63" s="18" t="s">
        <v>522</v>
      </c>
      <c r="E63" s="41"/>
      <c r="F63" s="41">
        <v>2020</v>
      </c>
      <c r="G63" s="41" t="s">
        <v>148</v>
      </c>
      <c r="H63" s="41" t="s">
        <v>420</v>
      </c>
      <c r="I63" s="248" t="s">
        <v>504</v>
      </c>
      <c r="J63" s="76" t="s">
        <v>426</v>
      </c>
      <c r="K63" s="64"/>
      <c r="L63" s="54" t="s">
        <v>33</v>
      </c>
      <c r="M63" s="41" t="s">
        <v>523</v>
      </c>
      <c r="N63" s="18" t="s">
        <v>524</v>
      </c>
      <c r="O63" s="41"/>
      <c r="P63" s="41"/>
      <c r="Q63" s="41"/>
      <c r="R63" s="18" t="s">
        <v>568</v>
      </c>
      <c r="S63" s="18" t="s">
        <v>558</v>
      </c>
      <c r="T63" s="74"/>
      <c r="U63" s="77" t="s">
        <v>23</v>
      </c>
      <c r="V63" s="77"/>
      <c r="W63" s="60" t="s">
        <v>569</v>
      </c>
    </row>
    <row r="64" spans="1:23" ht="36.75" customHeight="1" x14ac:dyDescent="0.25">
      <c r="A64" s="42">
        <v>92</v>
      </c>
      <c r="B64" s="195" t="s">
        <v>1652</v>
      </c>
      <c r="C64" s="41" t="s">
        <v>8</v>
      </c>
      <c r="D64" s="41" t="s">
        <v>538</v>
      </c>
      <c r="E64" s="41" t="s">
        <v>370</v>
      </c>
      <c r="F64" s="41">
        <v>2019</v>
      </c>
      <c r="G64" s="41" t="s">
        <v>148</v>
      </c>
      <c r="H64" s="41" t="s">
        <v>422</v>
      </c>
      <c r="I64" s="248" t="s">
        <v>505</v>
      </c>
      <c r="J64" s="76" t="s">
        <v>426</v>
      </c>
      <c r="K64" s="64"/>
      <c r="L64" s="54" t="s">
        <v>33</v>
      </c>
      <c r="M64" s="41" t="s">
        <v>18</v>
      </c>
      <c r="N64" s="41"/>
      <c r="O64" s="41"/>
      <c r="P64" s="41"/>
      <c r="Q64" s="41"/>
      <c r="R64" s="18" t="s">
        <v>568</v>
      </c>
      <c r="S64" s="18" t="s">
        <v>558</v>
      </c>
      <c r="T64" s="74"/>
      <c r="U64" s="77" t="s">
        <v>23</v>
      </c>
      <c r="V64" s="77"/>
      <c r="W64" s="60" t="s">
        <v>569</v>
      </c>
    </row>
    <row r="65" spans="1:23" ht="36.75" customHeight="1" x14ac:dyDescent="0.25">
      <c r="A65" s="42">
        <v>93</v>
      </c>
      <c r="B65" s="18" t="s">
        <v>578</v>
      </c>
      <c r="C65" s="18" t="s">
        <v>8</v>
      </c>
      <c r="D65" s="18" t="s">
        <v>534</v>
      </c>
      <c r="E65" s="18"/>
      <c r="F65" s="18">
        <v>2023</v>
      </c>
      <c r="G65" s="18" t="s">
        <v>174</v>
      </c>
      <c r="H65" s="18" t="s">
        <v>579</v>
      </c>
      <c r="I65" s="136" t="s">
        <v>580</v>
      </c>
      <c r="J65" s="76" t="s">
        <v>581</v>
      </c>
      <c r="K65" s="76" t="s">
        <v>582</v>
      </c>
      <c r="L65" s="44" t="s">
        <v>33</v>
      </c>
      <c r="M65" s="18" t="s">
        <v>18</v>
      </c>
      <c r="N65" s="18"/>
      <c r="O65" s="18"/>
      <c r="P65" s="18"/>
      <c r="Q65" s="18"/>
      <c r="R65" s="18" t="s">
        <v>58</v>
      </c>
      <c r="S65" s="18" t="s">
        <v>7</v>
      </c>
      <c r="T65" s="58">
        <v>45175</v>
      </c>
      <c r="U65" s="77" t="s">
        <v>207</v>
      </c>
      <c r="V65" s="77"/>
      <c r="W65" s="60" t="s">
        <v>835</v>
      </c>
    </row>
    <row r="66" spans="1:23" ht="36.75" customHeight="1" x14ac:dyDescent="0.25">
      <c r="A66" s="42">
        <v>94</v>
      </c>
      <c r="B66" s="18" t="s">
        <v>583</v>
      </c>
      <c r="C66" s="18" t="s">
        <v>8</v>
      </c>
      <c r="D66" s="18" t="s">
        <v>546</v>
      </c>
      <c r="E66" s="18" t="s">
        <v>534</v>
      </c>
      <c r="F66" s="18">
        <v>2016</v>
      </c>
      <c r="G66" s="18" t="s">
        <v>80</v>
      </c>
      <c r="H66" s="18" t="s">
        <v>584</v>
      </c>
      <c r="I66" s="136" t="s">
        <v>585</v>
      </c>
      <c r="J66" s="76" t="s">
        <v>586</v>
      </c>
      <c r="K66" s="76" t="s">
        <v>587</v>
      </c>
      <c r="L66" s="44" t="s">
        <v>33</v>
      </c>
      <c r="M66" s="18" t="s">
        <v>524</v>
      </c>
      <c r="N66" s="18" t="s">
        <v>18</v>
      </c>
      <c r="O66" s="18"/>
      <c r="P66" s="18"/>
      <c r="Q66" s="18"/>
      <c r="R66" s="18" t="s">
        <v>58</v>
      </c>
      <c r="S66" s="18" t="s">
        <v>203</v>
      </c>
      <c r="T66" s="58">
        <v>45264</v>
      </c>
      <c r="U66" s="77" t="s">
        <v>207</v>
      </c>
      <c r="V66" s="77"/>
      <c r="W66" s="60" t="s">
        <v>835</v>
      </c>
    </row>
    <row r="67" spans="1:23" ht="36.75" customHeight="1" x14ac:dyDescent="0.25">
      <c r="A67" s="42">
        <v>95</v>
      </c>
      <c r="B67" s="18" t="s">
        <v>588</v>
      </c>
      <c r="C67" s="18" t="s">
        <v>8</v>
      </c>
      <c r="D67" s="18" t="s">
        <v>529</v>
      </c>
      <c r="E67" s="18" t="s">
        <v>534</v>
      </c>
      <c r="F67" s="18">
        <v>2019</v>
      </c>
      <c r="G67" s="18" t="s">
        <v>589</v>
      </c>
      <c r="H67" s="18" t="s">
        <v>590</v>
      </c>
      <c r="I67" s="136" t="s">
        <v>591</v>
      </c>
      <c r="J67" s="76" t="s">
        <v>592</v>
      </c>
      <c r="K67" s="76" t="s">
        <v>587</v>
      </c>
      <c r="L67" s="44" t="s">
        <v>33</v>
      </c>
      <c r="M67" s="18" t="s">
        <v>18</v>
      </c>
      <c r="N67" s="18" t="s">
        <v>524</v>
      </c>
      <c r="O67" s="18"/>
      <c r="P67" s="18"/>
      <c r="Q67" s="18"/>
      <c r="R67" s="18" t="s">
        <v>58</v>
      </c>
      <c r="S67" s="18" t="s">
        <v>7</v>
      </c>
      <c r="T67" s="58">
        <v>45264</v>
      </c>
      <c r="U67" s="77" t="s">
        <v>207</v>
      </c>
      <c r="V67" s="77"/>
      <c r="W67" s="60" t="s">
        <v>835</v>
      </c>
    </row>
    <row r="68" spans="1:23" ht="36.75" customHeight="1" x14ac:dyDescent="0.25">
      <c r="A68" s="42">
        <v>96</v>
      </c>
      <c r="B68" s="18" t="s">
        <v>593</v>
      </c>
      <c r="C68" s="18" t="s">
        <v>8</v>
      </c>
      <c r="D68" s="18" t="s">
        <v>538</v>
      </c>
      <c r="E68" s="18"/>
      <c r="F68" s="18">
        <v>2020</v>
      </c>
      <c r="G68" s="18" t="s">
        <v>820</v>
      </c>
      <c r="H68" s="18" t="s">
        <v>594</v>
      </c>
      <c r="I68" s="136" t="s">
        <v>595</v>
      </c>
      <c r="J68" s="76" t="s">
        <v>596</v>
      </c>
      <c r="K68" s="76" t="s">
        <v>587</v>
      </c>
      <c r="L68" s="44" t="s">
        <v>33</v>
      </c>
      <c r="M68" s="18" t="s">
        <v>524</v>
      </c>
      <c r="N68" s="18" t="s">
        <v>523</v>
      </c>
      <c r="O68" s="18" t="s">
        <v>18</v>
      </c>
      <c r="P68" s="18"/>
      <c r="Q68" s="18"/>
      <c r="R68" s="18" t="s">
        <v>58</v>
      </c>
      <c r="S68" s="18" t="s">
        <v>7</v>
      </c>
      <c r="T68" s="58">
        <v>45264</v>
      </c>
      <c r="U68" s="77" t="s">
        <v>207</v>
      </c>
      <c r="V68" s="77"/>
      <c r="W68" s="60" t="s">
        <v>835</v>
      </c>
    </row>
    <row r="69" spans="1:23" ht="36.75" customHeight="1" x14ac:dyDescent="0.25">
      <c r="A69" s="42">
        <v>97</v>
      </c>
      <c r="B69" s="267" t="s">
        <v>597</v>
      </c>
      <c r="C69" s="18" t="s">
        <v>8</v>
      </c>
      <c r="D69" s="18" t="s">
        <v>370</v>
      </c>
      <c r="E69" s="18" t="s">
        <v>534</v>
      </c>
      <c r="F69" s="18">
        <v>2021</v>
      </c>
      <c r="G69" s="18" t="s">
        <v>589</v>
      </c>
      <c r="H69" s="38" t="s">
        <v>598</v>
      </c>
      <c r="I69" s="136" t="s">
        <v>599</v>
      </c>
      <c r="J69" s="76" t="s">
        <v>600</v>
      </c>
      <c r="K69" s="64" t="s">
        <v>587</v>
      </c>
      <c r="L69" s="44" t="s">
        <v>33</v>
      </c>
      <c r="M69" s="18" t="s">
        <v>523</v>
      </c>
      <c r="N69" s="18"/>
      <c r="O69" s="18"/>
      <c r="P69" s="18"/>
      <c r="Q69" s="18"/>
      <c r="R69" s="18" t="s">
        <v>568</v>
      </c>
      <c r="S69" s="18" t="s">
        <v>203</v>
      </c>
      <c r="T69" s="58"/>
      <c r="U69" s="82" t="s">
        <v>601</v>
      </c>
      <c r="V69" s="82"/>
      <c r="W69" s="60" t="s">
        <v>835</v>
      </c>
    </row>
    <row r="70" spans="1:23" ht="36.75" customHeight="1" x14ac:dyDescent="0.25">
      <c r="A70" s="42">
        <v>98</v>
      </c>
      <c r="B70" s="18" t="s">
        <v>602</v>
      </c>
      <c r="C70" s="18" t="s">
        <v>491</v>
      </c>
      <c r="D70" s="18" t="s">
        <v>531</v>
      </c>
      <c r="E70" s="18"/>
      <c r="F70" s="18">
        <v>2004</v>
      </c>
      <c r="G70" s="18" t="s">
        <v>79</v>
      </c>
      <c r="H70" s="41" t="s">
        <v>603</v>
      </c>
      <c r="I70" s="136" t="s">
        <v>604</v>
      </c>
      <c r="J70" s="83" t="s">
        <v>605</v>
      </c>
      <c r="K70" s="83" t="s">
        <v>606</v>
      </c>
      <c r="L70" s="44" t="s">
        <v>33</v>
      </c>
      <c r="M70" s="18" t="s">
        <v>524</v>
      </c>
      <c r="N70" s="264" t="s">
        <v>523</v>
      </c>
      <c r="O70" s="18"/>
      <c r="P70" s="18"/>
      <c r="Q70" s="18"/>
      <c r="R70" s="18" t="s">
        <v>58</v>
      </c>
      <c r="S70" s="18" t="s">
        <v>7</v>
      </c>
      <c r="T70" s="58"/>
      <c r="U70" s="82" t="s">
        <v>607</v>
      </c>
      <c r="V70" s="82"/>
      <c r="W70" s="60" t="s">
        <v>835</v>
      </c>
    </row>
    <row r="71" spans="1:23" ht="36.75" customHeight="1" x14ac:dyDescent="0.25">
      <c r="A71" s="42">
        <v>100</v>
      </c>
      <c r="B71" s="268" t="s">
        <v>1654</v>
      </c>
      <c r="C71" s="44" t="s">
        <v>60</v>
      </c>
      <c r="D71" s="18" t="s">
        <v>370</v>
      </c>
      <c r="E71" s="18" t="s">
        <v>522</v>
      </c>
      <c r="F71" s="18">
        <v>2022</v>
      </c>
      <c r="G71" s="84" t="s">
        <v>148</v>
      </c>
      <c r="H71" s="85" t="s">
        <v>609</v>
      </c>
      <c r="I71" s="249" t="s">
        <v>610</v>
      </c>
      <c r="J71" s="86" t="s">
        <v>611</v>
      </c>
      <c r="K71" s="64"/>
      <c r="L71" s="44" t="s">
        <v>33</v>
      </c>
      <c r="M71" s="18" t="s">
        <v>523</v>
      </c>
      <c r="N71" s="18"/>
      <c r="O71" s="18"/>
      <c r="P71" s="18"/>
      <c r="Q71" s="18"/>
      <c r="R71" s="18" t="s">
        <v>58</v>
      </c>
      <c r="S71" s="18" t="s">
        <v>203</v>
      </c>
      <c r="T71" s="58"/>
      <c r="U71" s="77" t="s">
        <v>23</v>
      </c>
      <c r="V71" s="77"/>
      <c r="W71" s="60" t="s">
        <v>835</v>
      </c>
    </row>
    <row r="72" spans="1:23" ht="36.75" customHeight="1" x14ac:dyDescent="0.25">
      <c r="A72" s="42">
        <v>104</v>
      </c>
      <c r="B72" s="18" t="s">
        <v>612</v>
      </c>
      <c r="C72" s="18" t="s">
        <v>8</v>
      </c>
      <c r="D72" s="18" t="s">
        <v>522</v>
      </c>
      <c r="E72" s="18" t="s">
        <v>538</v>
      </c>
      <c r="F72" s="18">
        <v>2023</v>
      </c>
      <c r="G72" s="18" t="s">
        <v>181</v>
      </c>
      <c r="H72" s="18" t="s">
        <v>613</v>
      </c>
      <c r="I72" s="136" t="s">
        <v>614</v>
      </c>
      <c r="J72" s="69"/>
      <c r="K72" s="69"/>
      <c r="L72" s="44" t="s">
        <v>33</v>
      </c>
      <c r="M72" s="18" t="s">
        <v>524</v>
      </c>
      <c r="N72" s="18" t="s">
        <v>523</v>
      </c>
      <c r="O72" s="18"/>
      <c r="P72" s="18"/>
      <c r="Q72" s="18"/>
      <c r="R72" s="18" t="s">
        <v>568</v>
      </c>
      <c r="S72" s="18" t="s">
        <v>7</v>
      </c>
      <c r="T72" s="58">
        <v>44973</v>
      </c>
      <c r="U72" s="59" t="s">
        <v>207</v>
      </c>
      <c r="V72" s="59"/>
      <c r="W72" s="60" t="s">
        <v>835</v>
      </c>
    </row>
    <row r="73" spans="1:23" ht="36.75" customHeight="1" x14ac:dyDescent="0.25">
      <c r="A73" s="42">
        <v>106</v>
      </c>
      <c r="B73" s="41" t="s">
        <v>615</v>
      </c>
      <c r="C73" s="41" t="s">
        <v>8</v>
      </c>
      <c r="D73" s="41" t="s">
        <v>538</v>
      </c>
      <c r="E73" s="41"/>
      <c r="F73" s="41">
        <v>2022</v>
      </c>
      <c r="G73" s="41" t="s">
        <v>148</v>
      </c>
      <c r="H73" s="41" t="s">
        <v>616</v>
      </c>
      <c r="I73" s="248" t="s">
        <v>617</v>
      </c>
      <c r="J73" s="76" t="s">
        <v>618</v>
      </c>
      <c r="K73" s="64"/>
      <c r="L73" s="54" t="s">
        <v>33</v>
      </c>
      <c r="M73" s="41" t="s">
        <v>523</v>
      </c>
      <c r="N73" s="41"/>
      <c r="O73" s="41"/>
      <c r="P73" s="41"/>
      <c r="Q73" s="41"/>
      <c r="R73" s="18" t="s">
        <v>568</v>
      </c>
      <c r="S73" s="264" t="s">
        <v>203</v>
      </c>
      <c r="T73" s="74"/>
      <c r="U73" s="77" t="s">
        <v>23</v>
      </c>
      <c r="V73" s="77"/>
      <c r="W73" s="60" t="s">
        <v>835</v>
      </c>
    </row>
    <row r="74" spans="1:23" ht="36.75" customHeight="1" x14ac:dyDescent="0.25">
      <c r="A74" s="42">
        <v>108</v>
      </c>
      <c r="B74" s="18" t="s">
        <v>619</v>
      </c>
      <c r="C74" s="18" t="s">
        <v>8</v>
      </c>
      <c r="D74" s="18" t="s">
        <v>531</v>
      </c>
      <c r="E74" s="264"/>
      <c r="F74" s="18">
        <v>2022</v>
      </c>
      <c r="G74" s="18" t="s">
        <v>174</v>
      </c>
      <c r="H74" s="18" t="s">
        <v>620</v>
      </c>
      <c r="I74" s="136" t="s">
        <v>621</v>
      </c>
      <c r="J74" s="76" t="s">
        <v>622</v>
      </c>
      <c r="K74" s="64"/>
      <c r="L74" s="44" t="s">
        <v>33</v>
      </c>
      <c r="M74" s="264" t="s">
        <v>524</v>
      </c>
      <c r="N74" s="264" t="s">
        <v>523</v>
      </c>
      <c r="O74" s="264"/>
      <c r="P74" s="264"/>
      <c r="Q74" s="18"/>
      <c r="R74" s="18" t="s">
        <v>568</v>
      </c>
      <c r="S74" s="18" t="s">
        <v>7</v>
      </c>
      <c r="T74" s="58">
        <v>45175</v>
      </c>
      <c r="U74" s="77" t="s">
        <v>207</v>
      </c>
      <c r="V74" s="77"/>
      <c r="W74" s="60" t="s">
        <v>835</v>
      </c>
    </row>
    <row r="75" spans="1:23" ht="36.75" customHeight="1" x14ac:dyDescent="0.25">
      <c r="A75" s="42">
        <v>109</v>
      </c>
      <c r="B75" s="195" t="s">
        <v>1655</v>
      </c>
      <c r="C75" s="18" t="s">
        <v>8</v>
      </c>
      <c r="D75" s="18" t="s">
        <v>531</v>
      </c>
      <c r="E75" s="18"/>
      <c r="F75" s="18">
        <v>2023</v>
      </c>
      <c r="G75" s="18" t="s">
        <v>185</v>
      </c>
      <c r="H75" s="18" t="s">
        <v>624</v>
      </c>
      <c r="I75" s="136" t="s">
        <v>625</v>
      </c>
      <c r="J75" s="174" t="s">
        <v>1373</v>
      </c>
      <c r="K75" s="69"/>
      <c r="L75" s="44" t="s">
        <v>33</v>
      </c>
      <c r="M75" s="18" t="s">
        <v>18</v>
      </c>
      <c r="N75" s="18" t="s">
        <v>6</v>
      </c>
      <c r="O75" s="18" t="s">
        <v>523</v>
      </c>
      <c r="P75" s="18"/>
      <c r="Q75" s="18"/>
      <c r="R75" s="18" t="s">
        <v>568</v>
      </c>
      <c r="S75" s="18" t="s">
        <v>7</v>
      </c>
      <c r="T75" s="58">
        <v>44976</v>
      </c>
      <c r="U75" s="59" t="s">
        <v>207</v>
      </c>
      <c r="V75" s="59"/>
      <c r="W75" s="60" t="s">
        <v>835</v>
      </c>
    </row>
    <row r="76" spans="1:23" ht="36.75" customHeight="1" x14ac:dyDescent="0.25">
      <c r="A76" s="42">
        <v>110</v>
      </c>
      <c r="B76" s="18" t="s">
        <v>626</v>
      </c>
      <c r="C76" s="18" t="s">
        <v>8</v>
      </c>
      <c r="D76" s="18" t="s">
        <v>370</v>
      </c>
      <c r="E76" s="18"/>
      <c r="F76" s="18">
        <v>2023</v>
      </c>
      <c r="G76" s="18" t="s">
        <v>185</v>
      </c>
      <c r="H76" s="18" t="s">
        <v>627</v>
      </c>
      <c r="I76" s="136" t="s">
        <v>628</v>
      </c>
      <c r="J76" s="174" t="s">
        <v>1373</v>
      </c>
      <c r="K76" s="69"/>
      <c r="L76" s="44" t="s">
        <v>33</v>
      </c>
      <c r="M76" s="18" t="s">
        <v>523</v>
      </c>
      <c r="N76" s="18"/>
      <c r="O76" s="18"/>
      <c r="P76" s="18"/>
      <c r="Q76" s="18"/>
      <c r="R76" s="18" t="s">
        <v>568</v>
      </c>
      <c r="S76" s="18" t="s">
        <v>7</v>
      </c>
      <c r="T76" s="58">
        <v>44976</v>
      </c>
      <c r="U76" s="59" t="s">
        <v>207</v>
      </c>
      <c r="V76" s="59"/>
      <c r="W76" s="60" t="s">
        <v>835</v>
      </c>
    </row>
    <row r="77" spans="1:23" ht="36.75" customHeight="1" x14ac:dyDescent="0.25">
      <c r="A77" s="42">
        <v>111</v>
      </c>
      <c r="B77" s="88" t="s">
        <v>629</v>
      </c>
      <c r="C77" s="18" t="s">
        <v>8</v>
      </c>
      <c r="D77" s="18" t="s">
        <v>529</v>
      </c>
      <c r="E77" s="18" t="s">
        <v>538</v>
      </c>
      <c r="F77" s="18">
        <v>2023</v>
      </c>
      <c r="G77" s="18" t="s">
        <v>183</v>
      </c>
      <c r="H77" s="18" t="s">
        <v>630</v>
      </c>
      <c r="I77" s="136" t="s">
        <v>631</v>
      </c>
      <c r="J77" s="174" t="s">
        <v>1373</v>
      </c>
      <c r="K77" s="64"/>
      <c r="L77" s="44" t="s">
        <v>33</v>
      </c>
      <c r="M77" s="18" t="s">
        <v>524</v>
      </c>
      <c r="N77" s="18" t="s">
        <v>523</v>
      </c>
      <c r="O77" s="18"/>
      <c r="P77" s="18"/>
      <c r="Q77" s="18"/>
      <c r="R77" s="18" t="s">
        <v>58</v>
      </c>
      <c r="S77" s="264" t="s">
        <v>7</v>
      </c>
      <c r="T77" s="89"/>
      <c r="U77" s="59" t="s">
        <v>632</v>
      </c>
      <c r="V77" s="59"/>
      <c r="W77" s="60" t="s">
        <v>835</v>
      </c>
    </row>
    <row r="78" spans="1:23" ht="36.75" customHeight="1" x14ac:dyDescent="0.25">
      <c r="A78" s="42">
        <v>112</v>
      </c>
      <c r="B78" s="18" t="s">
        <v>633</v>
      </c>
      <c r="C78" s="18" t="s">
        <v>8</v>
      </c>
      <c r="D78" s="18" t="s">
        <v>529</v>
      </c>
      <c r="E78" s="18"/>
      <c r="F78" s="18">
        <v>2023</v>
      </c>
      <c r="G78" s="18" t="s">
        <v>183</v>
      </c>
      <c r="H78" s="18" t="s">
        <v>634</v>
      </c>
      <c r="I78" s="136" t="s">
        <v>635</v>
      </c>
      <c r="J78" s="174" t="s">
        <v>1373</v>
      </c>
      <c r="K78" s="64"/>
      <c r="L78" s="44" t="s">
        <v>33</v>
      </c>
      <c r="M78" s="18" t="s">
        <v>523</v>
      </c>
      <c r="N78" s="18" t="s">
        <v>527</v>
      </c>
      <c r="O78" s="18" t="s">
        <v>524</v>
      </c>
      <c r="P78" s="18"/>
      <c r="Q78" s="18"/>
      <c r="R78" s="18" t="s">
        <v>58</v>
      </c>
      <c r="S78" s="264" t="s">
        <v>7</v>
      </c>
      <c r="T78" s="89"/>
      <c r="U78" s="59" t="s">
        <v>632</v>
      </c>
      <c r="V78" s="59"/>
      <c r="W78" s="60" t="s">
        <v>835</v>
      </c>
    </row>
    <row r="79" spans="1:23" ht="36.75" customHeight="1" x14ac:dyDescent="0.25">
      <c r="A79" s="188">
        <v>113</v>
      </c>
      <c r="B79" s="18" t="s">
        <v>636</v>
      </c>
      <c r="C79" s="18" t="s">
        <v>8</v>
      </c>
      <c r="D79" s="18" t="s">
        <v>531</v>
      </c>
      <c r="E79" s="18"/>
      <c r="F79" s="18">
        <v>2023</v>
      </c>
      <c r="G79" s="18" t="s">
        <v>183</v>
      </c>
      <c r="H79" s="18" t="s">
        <v>637</v>
      </c>
      <c r="I79" s="136" t="s">
        <v>638</v>
      </c>
      <c r="J79" s="174" t="s">
        <v>1373</v>
      </c>
      <c r="K79" s="64"/>
      <c r="L79" s="44" t="s">
        <v>33</v>
      </c>
      <c r="M79" s="18" t="s">
        <v>524</v>
      </c>
      <c r="N79" s="18" t="s">
        <v>523</v>
      </c>
      <c r="O79" s="18"/>
      <c r="P79" s="18"/>
      <c r="Q79" s="18"/>
      <c r="R79" s="18" t="s">
        <v>58</v>
      </c>
      <c r="S79" s="18"/>
      <c r="T79" s="89"/>
      <c r="U79" s="59" t="s">
        <v>632</v>
      </c>
      <c r="V79" s="59"/>
      <c r="W79" s="189" t="s">
        <v>1294</v>
      </c>
    </row>
    <row r="80" spans="1:23" ht="36.75" customHeight="1" x14ac:dyDescent="0.25">
      <c r="A80" s="188">
        <v>114</v>
      </c>
      <c r="B80" s="18" t="s">
        <v>639</v>
      </c>
      <c r="C80" s="18" t="s">
        <v>8</v>
      </c>
      <c r="D80" s="18" t="s">
        <v>522</v>
      </c>
      <c r="E80" s="18"/>
      <c r="F80" s="18">
        <v>2023</v>
      </c>
      <c r="G80" s="18" t="s">
        <v>183</v>
      </c>
      <c r="H80" s="18" t="s">
        <v>640</v>
      </c>
      <c r="I80" s="136" t="s">
        <v>641</v>
      </c>
      <c r="J80" s="174" t="s">
        <v>1373</v>
      </c>
      <c r="K80" s="64"/>
      <c r="L80" s="44" t="s">
        <v>33</v>
      </c>
      <c r="M80" s="18" t="s">
        <v>524</v>
      </c>
      <c r="N80" s="18" t="s">
        <v>523</v>
      </c>
      <c r="O80" s="18"/>
      <c r="P80" s="18"/>
      <c r="Q80" s="18"/>
      <c r="R80" s="18" t="s">
        <v>58</v>
      </c>
      <c r="S80" s="18"/>
      <c r="T80" s="89"/>
      <c r="U80" s="59" t="s">
        <v>632</v>
      </c>
      <c r="V80" s="59"/>
      <c r="W80" s="189" t="s">
        <v>1294</v>
      </c>
    </row>
    <row r="81" spans="1:23" ht="36.75" customHeight="1" x14ac:dyDescent="0.25">
      <c r="A81" s="188">
        <v>115</v>
      </c>
      <c r="B81" s="18" t="s">
        <v>642</v>
      </c>
      <c r="C81" s="18" t="s">
        <v>8</v>
      </c>
      <c r="D81" s="18" t="s">
        <v>538</v>
      </c>
      <c r="E81" s="18"/>
      <c r="F81" s="18">
        <v>2023</v>
      </c>
      <c r="G81" s="18" t="s">
        <v>183</v>
      </c>
      <c r="H81" s="18" t="s">
        <v>643</v>
      </c>
      <c r="I81" s="136" t="s">
        <v>644</v>
      </c>
      <c r="J81" s="174" t="s">
        <v>1373</v>
      </c>
      <c r="K81" s="64"/>
      <c r="L81" s="44" t="s">
        <v>33</v>
      </c>
      <c r="M81" s="18" t="s">
        <v>523</v>
      </c>
      <c r="N81" s="18"/>
      <c r="O81" s="18"/>
      <c r="P81" s="18"/>
      <c r="Q81" s="18"/>
      <c r="R81" s="18" t="s">
        <v>58</v>
      </c>
      <c r="S81" s="18"/>
      <c r="T81" s="89"/>
      <c r="U81" s="59" t="s">
        <v>632</v>
      </c>
      <c r="V81" s="59"/>
      <c r="W81" s="189" t="s">
        <v>1294</v>
      </c>
    </row>
    <row r="82" spans="1:23" ht="36.75" customHeight="1" x14ac:dyDescent="0.25">
      <c r="A82" s="188">
        <v>116</v>
      </c>
      <c r="B82" s="18" t="s">
        <v>645</v>
      </c>
      <c r="C82" s="18" t="s">
        <v>8</v>
      </c>
      <c r="D82" s="18" t="s">
        <v>534</v>
      </c>
      <c r="E82" s="18"/>
      <c r="F82" s="18">
        <v>2023</v>
      </c>
      <c r="G82" s="18" t="s">
        <v>183</v>
      </c>
      <c r="H82" s="18" t="s">
        <v>646</v>
      </c>
      <c r="I82" s="136" t="s">
        <v>644</v>
      </c>
      <c r="J82" s="174" t="s">
        <v>1373</v>
      </c>
      <c r="K82" s="64"/>
      <c r="L82" s="44" t="s">
        <v>33</v>
      </c>
      <c r="M82" s="18" t="s">
        <v>18</v>
      </c>
      <c r="N82" s="18"/>
      <c r="O82" s="18"/>
      <c r="P82" s="18"/>
      <c r="Q82" s="18"/>
      <c r="R82" s="18" t="s">
        <v>58</v>
      </c>
      <c r="S82" s="18"/>
      <c r="T82" s="89"/>
      <c r="U82" s="59" t="s">
        <v>632</v>
      </c>
      <c r="V82" s="59"/>
      <c r="W82" s="189" t="s">
        <v>1294</v>
      </c>
    </row>
    <row r="83" spans="1:23" ht="36.75" customHeight="1" x14ac:dyDescent="0.25">
      <c r="A83" s="42">
        <v>117</v>
      </c>
      <c r="B83" s="18" t="s">
        <v>647</v>
      </c>
      <c r="C83" s="18" t="s">
        <v>8</v>
      </c>
      <c r="D83" s="18" t="s">
        <v>370</v>
      </c>
      <c r="E83" s="18" t="s">
        <v>538</v>
      </c>
      <c r="F83" s="18">
        <v>2023</v>
      </c>
      <c r="G83" s="18" t="s">
        <v>183</v>
      </c>
      <c r="H83" s="18" t="s">
        <v>648</v>
      </c>
      <c r="I83" s="136" t="s">
        <v>649</v>
      </c>
      <c r="J83" s="174" t="s">
        <v>1373</v>
      </c>
      <c r="K83" s="64"/>
      <c r="L83" s="44" t="s">
        <v>33</v>
      </c>
      <c r="M83" s="18" t="s">
        <v>527</v>
      </c>
      <c r="N83" s="18"/>
      <c r="O83" s="18"/>
      <c r="P83" s="18"/>
      <c r="Q83" s="18"/>
      <c r="R83" s="18" t="s">
        <v>58</v>
      </c>
      <c r="S83" s="264" t="s">
        <v>7</v>
      </c>
      <c r="T83" s="89"/>
      <c r="U83" s="59" t="s">
        <v>632</v>
      </c>
      <c r="V83" s="59"/>
      <c r="W83" s="60" t="s">
        <v>835</v>
      </c>
    </row>
    <row r="84" spans="1:23" ht="36.75" customHeight="1" x14ac:dyDescent="0.25">
      <c r="A84" s="188">
        <v>118</v>
      </c>
      <c r="B84" s="18" t="s">
        <v>650</v>
      </c>
      <c r="C84" s="18" t="s">
        <v>8</v>
      </c>
      <c r="D84" s="18" t="s">
        <v>534</v>
      </c>
      <c r="E84" s="18" t="s">
        <v>522</v>
      </c>
      <c r="F84" s="18">
        <v>2023</v>
      </c>
      <c r="G84" s="18" t="s">
        <v>183</v>
      </c>
      <c r="H84" s="18" t="s">
        <v>651</v>
      </c>
      <c r="I84" s="136" t="s">
        <v>652</v>
      </c>
      <c r="J84" s="174" t="s">
        <v>1373</v>
      </c>
      <c r="K84" s="64"/>
      <c r="L84" s="44" t="s">
        <v>33</v>
      </c>
      <c r="M84" s="18" t="s">
        <v>6</v>
      </c>
      <c r="N84" s="18" t="s">
        <v>18</v>
      </c>
      <c r="O84" s="18"/>
      <c r="P84" s="18"/>
      <c r="Q84" s="18"/>
      <c r="R84" s="18" t="s">
        <v>58</v>
      </c>
      <c r="S84" s="18"/>
      <c r="T84" s="89"/>
      <c r="U84" s="59" t="s">
        <v>632</v>
      </c>
      <c r="V84" s="59"/>
      <c r="W84" s="189" t="s">
        <v>1294</v>
      </c>
    </row>
    <row r="85" spans="1:23" ht="36.75" customHeight="1" x14ac:dyDescent="0.25">
      <c r="A85" s="184">
        <v>120</v>
      </c>
      <c r="B85" s="91" t="s">
        <v>653</v>
      </c>
      <c r="C85" s="91" t="s">
        <v>8</v>
      </c>
      <c r="D85" s="18" t="s">
        <v>522</v>
      </c>
      <c r="E85" s="91"/>
      <c r="F85" s="91">
        <v>2022</v>
      </c>
      <c r="G85" s="91" t="s">
        <v>190</v>
      </c>
      <c r="H85" s="92" t="s">
        <v>654</v>
      </c>
      <c r="I85" s="250" t="s">
        <v>655</v>
      </c>
      <c r="J85" s="174" t="s">
        <v>1373</v>
      </c>
      <c r="K85" s="95"/>
      <c r="L85" s="96" t="s">
        <v>33</v>
      </c>
      <c r="M85" s="91" t="s">
        <v>18</v>
      </c>
      <c r="N85" s="91"/>
      <c r="O85" s="91"/>
      <c r="P85" s="91"/>
      <c r="Q85" s="91"/>
      <c r="R85" s="18" t="s">
        <v>58</v>
      </c>
      <c r="S85" s="91" t="s">
        <v>7</v>
      </c>
      <c r="T85" s="97">
        <v>45387</v>
      </c>
      <c r="U85" s="59"/>
      <c r="V85" s="6" t="s">
        <v>33</v>
      </c>
      <c r="W85" s="60" t="s">
        <v>836</v>
      </c>
    </row>
    <row r="86" spans="1:23" ht="36.75" customHeight="1" x14ac:dyDescent="0.25">
      <c r="A86" s="184">
        <v>121</v>
      </c>
      <c r="B86" s="91" t="s">
        <v>656</v>
      </c>
      <c r="C86" s="91" t="s">
        <v>8</v>
      </c>
      <c r="D86" s="18" t="s">
        <v>522</v>
      </c>
      <c r="E86" s="91"/>
      <c r="F86" s="91">
        <v>2022</v>
      </c>
      <c r="G86" s="91" t="s">
        <v>190</v>
      </c>
      <c r="H86" s="92" t="s">
        <v>657</v>
      </c>
      <c r="I86" s="251" t="s">
        <v>658</v>
      </c>
      <c r="J86" s="174" t="s">
        <v>1373</v>
      </c>
      <c r="K86" s="95"/>
      <c r="L86" s="96" t="s">
        <v>33</v>
      </c>
      <c r="M86" s="91" t="s">
        <v>18</v>
      </c>
      <c r="N86" s="91"/>
      <c r="O86" s="91"/>
      <c r="P86" s="91"/>
      <c r="Q86" s="91"/>
      <c r="R86" s="18" t="s">
        <v>58</v>
      </c>
      <c r="S86" s="91" t="s">
        <v>7</v>
      </c>
      <c r="T86" s="97">
        <v>45387</v>
      </c>
      <c r="U86" s="59"/>
      <c r="V86" s="6" t="s">
        <v>33</v>
      </c>
      <c r="W86" s="60" t="s">
        <v>836</v>
      </c>
    </row>
    <row r="87" spans="1:23" ht="36.75" customHeight="1" x14ac:dyDescent="0.25">
      <c r="A87" s="184">
        <v>122</v>
      </c>
      <c r="B87" s="91" t="s">
        <v>659</v>
      </c>
      <c r="C87" s="91" t="s">
        <v>8</v>
      </c>
      <c r="D87" s="91" t="s">
        <v>538</v>
      </c>
      <c r="E87" s="91"/>
      <c r="F87" s="91">
        <v>2023</v>
      </c>
      <c r="G87" s="91" t="s">
        <v>190</v>
      </c>
      <c r="H87" s="92" t="s">
        <v>660</v>
      </c>
      <c r="I87" s="251" t="s">
        <v>661</v>
      </c>
      <c r="J87" s="174" t="s">
        <v>1373</v>
      </c>
      <c r="K87" s="95"/>
      <c r="L87" s="96" t="s">
        <v>33</v>
      </c>
      <c r="M87" s="91" t="s">
        <v>18</v>
      </c>
      <c r="N87" s="91"/>
      <c r="O87" s="91"/>
      <c r="P87" s="91"/>
      <c r="Q87" s="91"/>
      <c r="R87" s="18" t="s">
        <v>568</v>
      </c>
      <c r="S87" s="91" t="s">
        <v>7</v>
      </c>
      <c r="T87" s="97">
        <v>45387</v>
      </c>
      <c r="U87" s="59"/>
      <c r="V87" s="6" t="s">
        <v>33</v>
      </c>
      <c r="W87" s="60" t="s">
        <v>836</v>
      </c>
    </row>
    <row r="88" spans="1:23" ht="36.75" customHeight="1" x14ac:dyDescent="0.25">
      <c r="A88" s="184">
        <v>123</v>
      </c>
      <c r="B88" s="91" t="s">
        <v>662</v>
      </c>
      <c r="C88" s="91" t="s">
        <v>8</v>
      </c>
      <c r="D88" s="91" t="s">
        <v>370</v>
      </c>
      <c r="E88" s="91" t="s">
        <v>538</v>
      </c>
      <c r="F88" s="91">
        <v>2022</v>
      </c>
      <c r="G88" s="91" t="s">
        <v>190</v>
      </c>
      <c r="H88" s="92" t="s">
        <v>663</v>
      </c>
      <c r="I88" s="250" t="s">
        <v>664</v>
      </c>
      <c r="J88" s="174" t="s">
        <v>1373</v>
      </c>
      <c r="K88" s="95"/>
      <c r="L88" s="96" t="s">
        <v>33</v>
      </c>
      <c r="M88" s="91" t="s">
        <v>18</v>
      </c>
      <c r="N88" s="91"/>
      <c r="O88" s="91"/>
      <c r="P88" s="91"/>
      <c r="Q88" s="91"/>
      <c r="R88" s="18" t="s">
        <v>58</v>
      </c>
      <c r="S88" s="91" t="s">
        <v>7</v>
      </c>
      <c r="T88" s="97">
        <v>45387</v>
      </c>
      <c r="U88"/>
      <c r="V88" s="6" t="s">
        <v>33</v>
      </c>
      <c r="W88" s="60" t="s">
        <v>836</v>
      </c>
    </row>
    <row r="89" spans="1:23" ht="36.75" customHeight="1" x14ac:dyDescent="0.25">
      <c r="A89" s="184">
        <v>124</v>
      </c>
      <c r="B89" s="91" t="s">
        <v>665</v>
      </c>
      <c r="C89" s="91" t="s">
        <v>8</v>
      </c>
      <c r="D89" s="91" t="s">
        <v>370</v>
      </c>
      <c r="E89" s="91"/>
      <c r="F89" s="91">
        <v>2022</v>
      </c>
      <c r="G89" s="91" t="s">
        <v>190</v>
      </c>
      <c r="H89" s="92" t="s">
        <v>666</v>
      </c>
      <c r="I89" s="250" t="s">
        <v>667</v>
      </c>
      <c r="J89" s="174" t="s">
        <v>1373</v>
      </c>
      <c r="K89" s="95"/>
      <c r="L89" s="96" t="s">
        <v>33</v>
      </c>
      <c r="M89" s="91" t="s">
        <v>18</v>
      </c>
      <c r="N89" s="91"/>
      <c r="O89" s="91"/>
      <c r="P89" s="91"/>
      <c r="Q89" s="91"/>
      <c r="R89" s="18" t="s">
        <v>58</v>
      </c>
      <c r="S89" s="91" t="s">
        <v>7</v>
      </c>
      <c r="T89" s="97">
        <v>45387</v>
      </c>
      <c r="U89"/>
      <c r="V89" s="6" t="s">
        <v>33</v>
      </c>
      <c r="W89" s="60" t="s">
        <v>836</v>
      </c>
    </row>
    <row r="90" spans="1:23" ht="36.75" customHeight="1" x14ac:dyDescent="0.25">
      <c r="A90" s="184">
        <v>125</v>
      </c>
      <c r="B90" s="91" t="s">
        <v>668</v>
      </c>
      <c r="C90" s="91" t="s">
        <v>8</v>
      </c>
      <c r="D90" s="91" t="s">
        <v>534</v>
      </c>
      <c r="E90" s="91"/>
      <c r="F90" s="91">
        <v>2021</v>
      </c>
      <c r="G90" s="91" t="s">
        <v>190</v>
      </c>
      <c r="H90" s="92" t="s">
        <v>669</v>
      </c>
      <c r="I90" s="250" t="s">
        <v>670</v>
      </c>
      <c r="J90" s="174" t="s">
        <v>1373</v>
      </c>
      <c r="K90" s="95"/>
      <c r="L90" s="96" t="s">
        <v>33</v>
      </c>
      <c r="M90" s="91" t="s">
        <v>18</v>
      </c>
      <c r="N90" s="91"/>
      <c r="O90" s="91"/>
      <c r="P90" s="91"/>
      <c r="Q90" s="91"/>
      <c r="R90" s="18" t="s">
        <v>58</v>
      </c>
      <c r="S90" s="91" t="s">
        <v>7</v>
      </c>
      <c r="T90" s="97">
        <v>45387</v>
      </c>
      <c r="U90"/>
      <c r="V90" s="6" t="s">
        <v>33</v>
      </c>
      <c r="W90" s="60" t="s">
        <v>836</v>
      </c>
    </row>
    <row r="91" spans="1:23" ht="36.75" customHeight="1" x14ac:dyDescent="0.25">
      <c r="A91" s="184">
        <v>126</v>
      </c>
      <c r="B91" s="91" t="s">
        <v>671</v>
      </c>
      <c r="C91" s="91" t="s">
        <v>8</v>
      </c>
      <c r="D91" s="18" t="s">
        <v>522</v>
      </c>
      <c r="E91" s="91"/>
      <c r="F91" s="91">
        <v>2023</v>
      </c>
      <c r="G91" s="91" t="s">
        <v>190</v>
      </c>
      <c r="H91" s="92" t="s">
        <v>672</v>
      </c>
      <c r="I91" s="250" t="s">
        <v>673</v>
      </c>
      <c r="J91" s="174" t="s">
        <v>1373</v>
      </c>
      <c r="K91" s="95"/>
      <c r="L91" s="96" t="s">
        <v>33</v>
      </c>
      <c r="M91" s="91" t="s">
        <v>18</v>
      </c>
      <c r="N91" s="91"/>
      <c r="O91" s="91"/>
      <c r="P91" s="91"/>
      <c r="Q91" s="91"/>
      <c r="R91" s="18" t="s">
        <v>568</v>
      </c>
      <c r="S91" s="91" t="s">
        <v>7</v>
      </c>
      <c r="T91" s="97">
        <v>45387</v>
      </c>
      <c r="U91"/>
      <c r="V91" s="6" t="s">
        <v>33</v>
      </c>
      <c r="W91" s="60" t="s">
        <v>836</v>
      </c>
    </row>
    <row r="92" spans="1:23" ht="36.75" customHeight="1" x14ac:dyDescent="0.25">
      <c r="A92" s="184">
        <v>127</v>
      </c>
      <c r="B92" s="91" t="s">
        <v>674</v>
      </c>
      <c r="C92" s="91" t="s">
        <v>8</v>
      </c>
      <c r="D92" s="91" t="s">
        <v>529</v>
      </c>
      <c r="E92" s="91"/>
      <c r="F92" s="91">
        <v>2022</v>
      </c>
      <c r="G92" s="91" t="s">
        <v>190</v>
      </c>
      <c r="H92" s="92" t="s">
        <v>675</v>
      </c>
      <c r="I92" s="250" t="s">
        <v>676</v>
      </c>
      <c r="J92" s="174" t="s">
        <v>1373</v>
      </c>
      <c r="K92" s="95"/>
      <c r="L92" s="96" t="s">
        <v>33</v>
      </c>
      <c r="M92" s="91" t="s">
        <v>527</v>
      </c>
      <c r="N92" s="91" t="s">
        <v>523</v>
      </c>
      <c r="O92" s="91" t="s">
        <v>18</v>
      </c>
      <c r="P92" s="91"/>
      <c r="Q92" s="91"/>
      <c r="R92" s="18" t="s">
        <v>568</v>
      </c>
      <c r="S92" s="91" t="s">
        <v>7</v>
      </c>
      <c r="T92" s="97">
        <v>45387</v>
      </c>
      <c r="U92"/>
      <c r="V92" s="6" t="s">
        <v>33</v>
      </c>
      <c r="W92" s="60" t="s">
        <v>836</v>
      </c>
    </row>
    <row r="93" spans="1:23" ht="36.75" customHeight="1" x14ac:dyDescent="0.25">
      <c r="A93" s="184">
        <v>128</v>
      </c>
      <c r="B93" s="91" t="s">
        <v>677</v>
      </c>
      <c r="C93" s="91" t="s">
        <v>8</v>
      </c>
      <c r="D93" s="91" t="s">
        <v>370</v>
      </c>
      <c r="E93" s="91" t="s">
        <v>538</v>
      </c>
      <c r="F93" s="91">
        <v>2022</v>
      </c>
      <c r="G93" s="91" t="s">
        <v>190</v>
      </c>
      <c r="H93" s="92" t="s">
        <v>678</v>
      </c>
      <c r="I93" s="250" t="s">
        <v>679</v>
      </c>
      <c r="J93" s="174" t="s">
        <v>1373</v>
      </c>
      <c r="K93" s="95"/>
      <c r="L93" s="96" t="s">
        <v>33</v>
      </c>
      <c r="M93" s="91" t="s">
        <v>524</v>
      </c>
      <c r="N93" s="91" t="s">
        <v>6</v>
      </c>
      <c r="O93" s="91" t="s">
        <v>18</v>
      </c>
      <c r="P93" s="91"/>
      <c r="Q93" s="91"/>
      <c r="R93" s="18" t="s">
        <v>568</v>
      </c>
      <c r="S93" s="91" t="s">
        <v>7</v>
      </c>
      <c r="T93" s="97">
        <v>45387</v>
      </c>
      <c r="U93" s="6" t="s">
        <v>23</v>
      </c>
      <c r="V93" s="6" t="s">
        <v>33</v>
      </c>
      <c r="W93" s="60" t="s">
        <v>836</v>
      </c>
    </row>
    <row r="94" spans="1:23" ht="36.75" customHeight="1" x14ac:dyDescent="0.25">
      <c r="A94" s="184">
        <v>129</v>
      </c>
      <c r="B94" s="91" t="s">
        <v>680</v>
      </c>
      <c r="C94" s="91" t="s">
        <v>8</v>
      </c>
      <c r="D94" s="91" t="s">
        <v>538</v>
      </c>
      <c r="E94" s="91" t="s">
        <v>370</v>
      </c>
      <c r="F94" s="91">
        <v>2022</v>
      </c>
      <c r="G94" s="91" t="s">
        <v>190</v>
      </c>
      <c r="H94" s="92" t="s">
        <v>681</v>
      </c>
      <c r="I94" s="250" t="s">
        <v>682</v>
      </c>
      <c r="J94" s="174" t="s">
        <v>1373</v>
      </c>
      <c r="K94" s="95"/>
      <c r="L94" s="96" t="s">
        <v>33</v>
      </c>
      <c r="M94" s="91" t="s">
        <v>527</v>
      </c>
      <c r="N94" s="91"/>
      <c r="O94" s="91"/>
      <c r="P94" s="91"/>
      <c r="Q94" s="91"/>
      <c r="R94" s="18" t="s">
        <v>568</v>
      </c>
      <c r="S94" s="91" t="s">
        <v>7</v>
      </c>
      <c r="T94" s="97">
        <v>45387</v>
      </c>
      <c r="U94"/>
      <c r="W94" s="60" t="s">
        <v>836</v>
      </c>
    </row>
    <row r="95" spans="1:23" ht="36.75" customHeight="1" x14ac:dyDescent="0.25">
      <c r="A95" s="184">
        <v>130</v>
      </c>
      <c r="B95" s="91" t="s">
        <v>683</v>
      </c>
      <c r="C95" s="91" t="s">
        <v>8</v>
      </c>
      <c r="D95" s="91" t="s">
        <v>538</v>
      </c>
      <c r="E95" s="91" t="s">
        <v>370</v>
      </c>
      <c r="F95" s="91">
        <v>2022</v>
      </c>
      <c r="G95" s="91" t="s">
        <v>190</v>
      </c>
      <c r="H95" s="92" t="s">
        <v>684</v>
      </c>
      <c r="I95" s="250" t="s">
        <v>685</v>
      </c>
      <c r="J95" s="174" t="s">
        <v>1373</v>
      </c>
      <c r="K95" s="95"/>
      <c r="L95" s="96" t="s">
        <v>33</v>
      </c>
      <c r="M95" s="91" t="s">
        <v>523</v>
      </c>
      <c r="N95" s="91"/>
      <c r="O95" s="91"/>
      <c r="P95" s="91"/>
      <c r="Q95" s="91"/>
      <c r="R95" s="18" t="s">
        <v>568</v>
      </c>
      <c r="S95" s="91" t="s">
        <v>7</v>
      </c>
      <c r="T95" s="97">
        <v>45387</v>
      </c>
      <c r="U95"/>
      <c r="W95" s="60" t="s">
        <v>836</v>
      </c>
    </row>
    <row r="96" spans="1:23" ht="36.75" customHeight="1" x14ac:dyDescent="0.25">
      <c r="A96" s="184">
        <v>131</v>
      </c>
      <c r="B96" s="18" t="s">
        <v>686</v>
      </c>
      <c r="C96" s="18" t="s">
        <v>8</v>
      </c>
      <c r="D96" s="18" t="s">
        <v>546</v>
      </c>
      <c r="E96" s="18" t="s">
        <v>534</v>
      </c>
      <c r="F96" s="18">
        <v>2023</v>
      </c>
      <c r="G96" s="18" t="s">
        <v>687</v>
      </c>
      <c r="H96" s="18" t="s">
        <v>688</v>
      </c>
      <c r="I96" s="136" t="s">
        <v>689</v>
      </c>
      <c r="J96" s="76" t="s">
        <v>690</v>
      </c>
      <c r="K96" s="64"/>
      <c r="L96" s="44" t="s">
        <v>33</v>
      </c>
      <c r="M96" s="18" t="s">
        <v>18</v>
      </c>
      <c r="N96" s="18"/>
      <c r="O96" s="18"/>
      <c r="P96" s="18"/>
      <c r="Q96" s="18"/>
      <c r="R96" s="18" t="s">
        <v>568</v>
      </c>
      <c r="S96" s="18" t="s">
        <v>7</v>
      </c>
      <c r="T96" s="89">
        <v>45470</v>
      </c>
      <c r="U96" s="59" t="s">
        <v>691</v>
      </c>
      <c r="V96" s="59" t="s">
        <v>33</v>
      </c>
      <c r="W96" s="60" t="s">
        <v>836</v>
      </c>
    </row>
    <row r="97" spans="1:23" ht="36.75" customHeight="1" x14ac:dyDescent="0.25">
      <c r="A97" s="184">
        <v>132</v>
      </c>
      <c r="B97" s="18" t="s">
        <v>692</v>
      </c>
      <c r="C97" s="18" t="s">
        <v>439</v>
      </c>
      <c r="D97" s="91" t="s">
        <v>534</v>
      </c>
      <c r="E97" s="18" t="s">
        <v>546</v>
      </c>
      <c r="F97" s="18">
        <v>2023</v>
      </c>
      <c r="G97" s="18" t="s">
        <v>687</v>
      </c>
      <c r="H97" s="18" t="s">
        <v>693</v>
      </c>
      <c r="I97" s="136" t="s">
        <v>694</v>
      </c>
      <c r="J97" s="76" t="s">
        <v>695</v>
      </c>
      <c r="K97" s="64"/>
      <c r="L97" s="44" t="s">
        <v>33</v>
      </c>
      <c r="M97" s="18" t="s">
        <v>18</v>
      </c>
      <c r="N97" s="18"/>
      <c r="O97" s="18"/>
      <c r="P97" s="18"/>
      <c r="Q97" s="18"/>
      <c r="R97" s="18" t="s">
        <v>568</v>
      </c>
      <c r="S97" s="264" t="s">
        <v>7</v>
      </c>
      <c r="T97" s="89">
        <v>45470</v>
      </c>
      <c r="U97" s="59" t="s">
        <v>691</v>
      </c>
      <c r="V97" s="59" t="s">
        <v>33</v>
      </c>
      <c r="W97" s="60" t="s">
        <v>836</v>
      </c>
    </row>
    <row r="98" spans="1:23" ht="36.75" customHeight="1" x14ac:dyDescent="0.25">
      <c r="A98" s="184">
        <v>133</v>
      </c>
      <c r="B98" s="18" t="s">
        <v>696</v>
      </c>
      <c r="C98" s="18" t="s">
        <v>439</v>
      </c>
      <c r="D98" s="91" t="s">
        <v>534</v>
      </c>
      <c r="E98" s="18" t="s">
        <v>546</v>
      </c>
      <c r="F98" s="18">
        <v>2023</v>
      </c>
      <c r="G98" s="18" t="s">
        <v>687</v>
      </c>
      <c r="H98" s="18" t="s">
        <v>697</v>
      </c>
      <c r="I98" s="136" t="s">
        <v>698</v>
      </c>
      <c r="J98" s="76" t="s">
        <v>699</v>
      </c>
      <c r="K98" s="64"/>
      <c r="L98" s="44" t="s">
        <v>33</v>
      </c>
      <c r="M98" s="18" t="s">
        <v>18</v>
      </c>
      <c r="N98" s="18"/>
      <c r="O98" s="18"/>
      <c r="P98" s="18"/>
      <c r="Q98" s="18"/>
      <c r="R98" s="18" t="s">
        <v>568</v>
      </c>
      <c r="S98" s="264" t="s">
        <v>7</v>
      </c>
      <c r="T98" s="89">
        <v>45470</v>
      </c>
      <c r="U98" s="59" t="s">
        <v>691</v>
      </c>
      <c r="V98" s="59" t="s">
        <v>33</v>
      </c>
      <c r="W98" s="60" t="s">
        <v>836</v>
      </c>
    </row>
    <row r="99" spans="1:23" ht="36.75" customHeight="1" x14ac:dyDescent="0.25">
      <c r="A99" s="184">
        <v>134</v>
      </c>
      <c r="B99" s="18" t="s">
        <v>700</v>
      </c>
      <c r="C99" s="18" t="s">
        <v>8</v>
      </c>
      <c r="D99" s="91" t="s">
        <v>534</v>
      </c>
      <c r="E99" s="18" t="s">
        <v>546</v>
      </c>
      <c r="F99" s="18">
        <v>2023</v>
      </c>
      <c r="G99" s="18" t="s">
        <v>687</v>
      </c>
      <c r="H99" s="18" t="s">
        <v>701</v>
      </c>
      <c r="I99" s="136" t="s">
        <v>702</v>
      </c>
      <c r="J99" s="76" t="s">
        <v>703</v>
      </c>
      <c r="K99" s="64"/>
      <c r="L99" s="44" t="s">
        <v>33</v>
      </c>
      <c r="M99" s="18" t="s">
        <v>18</v>
      </c>
      <c r="N99" s="18"/>
      <c r="O99" s="18"/>
      <c r="P99" s="18"/>
      <c r="Q99" s="18"/>
      <c r="R99" s="18" t="s">
        <v>568</v>
      </c>
      <c r="S99" s="264" t="s">
        <v>7</v>
      </c>
      <c r="T99" s="89">
        <v>45470</v>
      </c>
      <c r="U99" s="59" t="s">
        <v>691</v>
      </c>
      <c r="V99" s="59" t="s">
        <v>33</v>
      </c>
      <c r="W99" s="60" t="s">
        <v>836</v>
      </c>
    </row>
    <row r="100" spans="1:23" ht="36.75" customHeight="1" x14ac:dyDescent="0.25">
      <c r="A100" s="184">
        <v>135</v>
      </c>
      <c r="B100" s="91" t="s">
        <v>704</v>
      </c>
      <c r="C100" s="91" t="s">
        <v>8</v>
      </c>
      <c r="D100" s="91" t="s">
        <v>538</v>
      </c>
      <c r="E100" s="91"/>
      <c r="F100" s="91">
        <v>2024</v>
      </c>
      <c r="G100" s="91" t="s">
        <v>148</v>
      </c>
      <c r="H100" s="92" t="s">
        <v>705</v>
      </c>
      <c r="I100" s="250" t="s">
        <v>706</v>
      </c>
      <c r="J100" s="94"/>
      <c r="K100" s="95"/>
      <c r="L100" s="96" t="s">
        <v>33</v>
      </c>
      <c r="M100" s="91" t="s">
        <v>523</v>
      </c>
      <c r="N100" s="91"/>
      <c r="O100" s="91"/>
      <c r="P100" s="91"/>
      <c r="Q100" s="91"/>
      <c r="R100" s="91" t="s">
        <v>707</v>
      </c>
      <c r="S100" s="18" t="s">
        <v>558</v>
      </c>
      <c r="T100" s="97">
        <v>45548</v>
      </c>
      <c r="U100" s="59" t="s">
        <v>691</v>
      </c>
      <c r="V100" s="59" t="s">
        <v>33</v>
      </c>
      <c r="W100" s="60" t="s">
        <v>836</v>
      </c>
    </row>
    <row r="101" spans="1:23" ht="36.75" customHeight="1" x14ac:dyDescent="0.25">
      <c r="A101" s="184">
        <v>136</v>
      </c>
      <c r="B101" s="91" t="s">
        <v>708</v>
      </c>
      <c r="C101" s="91" t="s">
        <v>8</v>
      </c>
      <c r="D101" s="18" t="s">
        <v>531</v>
      </c>
      <c r="E101" s="91"/>
      <c r="F101" s="98">
        <v>2024</v>
      </c>
      <c r="G101" s="91" t="s">
        <v>148</v>
      </c>
      <c r="H101" s="92" t="s">
        <v>709</v>
      </c>
      <c r="I101" s="250" t="s">
        <v>710</v>
      </c>
      <c r="J101" s="94"/>
      <c r="K101" s="95"/>
      <c r="L101" s="96" t="s">
        <v>33</v>
      </c>
      <c r="M101" s="91" t="s">
        <v>523</v>
      </c>
      <c r="N101" s="18" t="s">
        <v>524</v>
      </c>
      <c r="O101" s="91"/>
      <c r="P101" s="91"/>
      <c r="Q101" s="91"/>
      <c r="R101" s="18" t="s">
        <v>568</v>
      </c>
      <c r="S101" s="229" t="s">
        <v>203</v>
      </c>
      <c r="T101" s="97">
        <v>45548</v>
      </c>
      <c r="U101" s="59" t="s">
        <v>691</v>
      </c>
      <c r="V101" s="59" t="s">
        <v>33</v>
      </c>
      <c r="W101" s="60" t="s">
        <v>836</v>
      </c>
    </row>
    <row r="102" spans="1:23" ht="36.75" customHeight="1" x14ac:dyDescent="0.25">
      <c r="A102" s="184">
        <v>137</v>
      </c>
      <c r="B102" s="91" t="s">
        <v>711</v>
      </c>
      <c r="C102" s="91" t="s">
        <v>8</v>
      </c>
      <c r="D102" s="91" t="s">
        <v>546</v>
      </c>
      <c r="E102" s="91" t="s">
        <v>522</v>
      </c>
      <c r="F102" s="91">
        <v>2024</v>
      </c>
      <c r="G102" s="91" t="s">
        <v>148</v>
      </c>
      <c r="H102" s="92" t="s">
        <v>712</v>
      </c>
      <c r="I102" s="250" t="s">
        <v>713</v>
      </c>
      <c r="J102" s="94"/>
      <c r="K102" s="95"/>
      <c r="L102" s="96" t="s">
        <v>273</v>
      </c>
      <c r="M102" s="91" t="s">
        <v>18</v>
      </c>
      <c r="N102" s="91" t="s">
        <v>523</v>
      </c>
      <c r="O102" s="91" t="s">
        <v>6</v>
      </c>
      <c r="P102" s="91"/>
      <c r="Q102" s="91"/>
      <c r="R102" s="91" t="s">
        <v>707</v>
      </c>
      <c r="S102" s="229" t="s">
        <v>203</v>
      </c>
      <c r="T102" s="97">
        <v>45548</v>
      </c>
      <c r="U102" s="59" t="s">
        <v>691</v>
      </c>
      <c r="V102" s="59" t="s">
        <v>33</v>
      </c>
      <c r="W102" s="60" t="s">
        <v>836</v>
      </c>
    </row>
    <row r="103" spans="1:23" ht="36.75" customHeight="1" x14ac:dyDescent="0.25">
      <c r="A103" s="184">
        <v>138</v>
      </c>
      <c r="B103" s="91" t="s">
        <v>714</v>
      </c>
      <c r="C103" s="91" t="s">
        <v>8</v>
      </c>
      <c r="D103" s="91" t="s">
        <v>538</v>
      </c>
      <c r="E103" s="91" t="s">
        <v>522</v>
      </c>
      <c r="F103" s="98">
        <v>2024</v>
      </c>
      <c r="G103" s="91" t="s">
        <v>148</v>
      </c>
      <c r="H103" s="92" t="s">
        <v>715</v>
      </c>
      <c r="I103" s="250" t="s">
        <v>716</v>
      </c>
      <c r="J103" s="94"/>
      <c r="K103" s="95"/>
      <c r="L103" s="96" t="s">
        <v>33</v>
      </c>
      <c r="M103" s="91" t="s">
        <v>523</v>
      </c>
      <c r="N103" s="91"/>
      <c r="O103" s="91"/>
      <c r="P103" s="91"/>
      <c r="Q103" s="91"/>
      <c r="R103" s="18" t="s">
        <v>568</v>
      </c>
      <c r="S103" s="18" t="s">
        <v>558</v>
      </c>
      <c r="T103" s="97">
        <v>45548</v>
      </c>
      <c r="U103" s="59" t="s">
        <v>691</v>
      </c>
      <c r="V103" s="59" t="s">
        <v>33</v>
      </c>
      <c r="W103" s="60" t="s">
        <v>836</v>
      </c>
    </row>
    <row r="104" spans="1:23" ht="36.75" customHeight="1" x14ac:dyDescent="0.25">
      <c r="A104" s="184">
        <v>139</v>
      </c>
      <c r="B104" s="91" t="s">
        <v>717</v>
      </c>
      <c r="C104" s="91" t="s">
        <v>8</v>
      </c>
      <c r="D104" s="91" t="s">
        <v>538</v>
      </c>
      <c r="E104" s="91" t="s">
        <v>522</v>
      </c>
      <c r="F104" s="98">
        <v>2024</v>
      </c>
      <c r="G104" s="91" t="s">
        <v>148</v>
      </c>
      <c r="H104" s="92" t="s">
        <v>718</v>
      </c>
      <c r="I104" s="250" t="s">
        <v>719</v>
      </c>
      <c r="J104" s="94"/>
      <c r="K104" s="95"/>
      <c r="L104" s="96" t="s">
        <v>33</v>
      </c>
      <c r="M104" s="91" t="s">
        <v>523</v>
      </c>
      <c r="N104" s="91"/>
      <c r="O104" s="91"/>
      <c r="P104" s="91"/>
      <c r="Q104" s="91"/>
      <c r="R104" s="18" t="s">
        <v>568</v>
      </c>
      <c r="S104" s="18" t="s">
        <v>558</v>
      </c>
      <c r="T104" s="97">
        <v>45548</v>
      </c>
      <c r="U104" s="59" t="s">
        <v>691</v>
      </c>
      <c r="V104" s="59" t="s">
        <v>33</v>
      </c>
      <c r="W104" s="60" t="s">
        <v>836</v>
      </c>
    </row>
    <row r="105" spans="1:23" ht="36.75" customHeight="1" x14ac:dyDescent="0.25">
      <c r="A105" s="184">
        <v>140</v>
      </c>
      <c r="B105" s="91" t="s">
        <v>720</v>
      </c>
      <c r="C105" s="91" t="s">
        <v>8</v>
      </c>
      <c r="D105" s="91" t="s">
        <v>538</v>
      </c>
      <c r="E105" s="91" t="s">
        <v>522</v>
      </c>
      <c r="F105" s="98">
        <v>2024</v>
      </c>
      <c r="G105" s="91" t="s">
        <v>148</v>
      </c>
      <c r="H105" s="92" t="s">
        <v>721</v>
      </c>
      <c r="I105" s="250" t="s">
        <v>722</v>
      </c>
      <c r="J105" s="94"/>
      <c r="K105" s="95"/>
      <c r="L105" s="96" t="s">
        <v>33</v>
      </c>
      <c r="M105" s="91" t="s">
        <v>523</v>
      </c>
      <c r="N105" s="91"/>
      <c r="O105" s="91"/>
      <c r="P105" s="91"/>
      <c r="Q105" s="91"/>
      <c r="R105" s="91" t="s">
        <v>707</v>
      </c>
      <c r="S105" s="18" t="s">
        <v>558</v>
      </c>
      <c r="T105" s="97">
        <v>45548</v>
      </c>
      <c r="U105" s="59" t="s">
        <v>691</v>
      </c>
      <c r="V105" s="59" t="s">
        <v>33</v>
      </c>
      <c r="W105" s="60" t="s">
        <v>836</v>
      </c>
    </row>
    <row r="106" spans="1:23" ht="36.75" customHeight="1" x14ac:dyDescent="0.25">
      <c r="A106" s="184">
        <v>141</v>
      </c>
      <c r="B106" s="91" t="s">
        <v>723</v>
      </c>
      <c r="C106" s="91" t="s">
        <v>8</v>
      </c>
      <c r="D106" s="91" t="s">
        <v>370</v>
      </c>
      <c r="E106" s="91"/>
      <c r="F106" s="98">
        <v>2024</v>
      </c>
      <c r="G106" s="91" t="s">
        <v>148</v>
      </c>
      <c r="H106" s="92" t="s">
        <v>724</v>
      </c>
      <c r="I106" s="250" t="s">
        <v>725</v>
      </c>
      <c r="J106" s="94"/>
      <c r="K106" s="95"/>
      <c r="L106" s="96" t="s">
        <v>33</v>
      </c>
      <c r="M106" s="91" t="s">
        <v>527</v>
      </c>
      <c r="N106" s="91"/>
      <c r="O106" s="91"/>
      <c r="P106" s="91"/>
      <c r="Q106" s="91"/>
      <c r="R106" s="18" t="s">
        <v>568</v>
      </c>
      <c r="S106" s="18" t="s">
        <v>558</v>
      </c>
      <c r="T106" s="97">
        <v>45548</v>
      </c>
      <c r="U106" s="59" t="s">
        <v>691</v>
      </c>
      <c r="V106" s="59" t="s">
        <v>33</v>
      </c>
      <c r="W106" s="60" t="s">
        <v>836</v>
      </c>
    </row>
    <row r="107" spans="1:23" ht="36.75" customHeight="1" x14ac:dyDescent="0.25">
      <c r="A107" s="184">
        <v>142</v>
      </c>
      <c r="B107" s="91" t="s">
        <v>726</v>
      </c>
      <c r="C107" s="91" t="s">
        <v>8</v>
      </c>
      <c r="D107" s="91" t="s">
        <v>370</v>
      </c>
      <c r="E107" s="91"/>
      <c r="F107" s="98">
        <v>2024</v>
      </c>
      <c r="G107" s="91" t="s">
        <v>148</v>
      </c>
      <c r="H107" s="92" t="s">
        <v>727</v>
      </c>
      <c r="I107" s="250" t="s">
        <v>728</v>
      </c>
      <c r="J107" s="94"/>
      <c r="K107" s="95"/>
      <c r="L107" s="96" t="s">
        <v>33</v>
      </c>
      <c r="M107" s="91" t="s">
        <v>527</v>
      </c>
      <c r="N107" s="91"/>
      <c r="O107" s="91"/>
      <c r="P107" s="91"/>
      <c r="Q107" s="91"/>
      <c r="R107" s="18" t="s">
        <v>568</v>
      </c>
      <c r="S107" s="18" t="s">
        <v>558</v>
      </c>
      <c r="T107" s="97">
        <v>45548</v>
      </c>
      <c r="U107" s="59" t="s">
        <v>691</v>
      </c>
      <c r="V107" s="59" t="s">
        <v>33</v>
      </c>
      <c r="W107" s="60" t="s">
        <v>836</v>
      </c>
    </row>
    <row r="108" spans="1:23" ht="36.75" customHeight="1" x14ac:dyDescent="0.25">
      <c r="A108" s="184">
        <v>143</v>
      </c>
      <c r="B108" s="91" t="s">
        <v>729</v>
      </c>
      <c r="C108" s="91" t="s">
        <v>8</v>
      </c>
      <c r="D108" s="91" t="s">
        <v>370</v>
      </c>
      <c r="E108" s="91" t="s">
        <v>522</v>
      </c>
      <c r="F108" s="98">
        <v>2024</v>
      </c>
      <c r="G108" s="91" t="s">
        <v>148</v>
      </c>
      <c r="H108" s="92" t="s">
        <v>730</v>
      </c>
      <c r="I108" s="250" t="s">
        <v>731</v>
      </c>
      <c r="J108" s="94"/>
      <c r="K108" s="95"/>
      <c r="L108" s="96" t="s">
        <v>33</v>
      </c>
      <c r="M108" s="91" t="s">
        <v>523</v>
      </c>
      <c r="N108" s="91"/>
      <c r="O108" s="91"/>
      <c r="P108" s="91"/>
      <c r="Q108" s="91"/>
      <c r="R108" s="18" t="s">
        <v>568</v>
      </c>
      <c r="S108" s="18" t="s">
        <v>558</v>
      </c>
      <c r="T108" s="97">
        <v>45548</v>
      </c>
      <c r="U108" s="59" t="s">
        <v>691</v>
      </c>
      <c r="V108" s="59" t="s">
        <v>33</v>
      </c>
      <c r="W108" s="60" t="s">
        <v>836</v>
      </c>
    </row>
    <row r="109" spans="1:23" ht="36.75" customHeight="1" x14ac:dyDescent="0.25">
      <c r="A109" s="184">
        <v>144</v>
      </c>
      <c r="B109" s="91" t="s">
        <v>732</v>
      </c>
      <c r="C109" s="91" t="s">
        <v>8</v>
      </c>
      <c r="D109" s="91" t="s">
        <v>529</v>
      </c>
      <c r="E109" s="91"/>
      <c r="F109" s="98">
        <v>2024</v>
      </c>
      <c r="G109" s="91" t="s">
        <v>148</v>
      </c>
      <c r="H109" s="92" t="s">
        <v>733</v>
      </c>
      <c r="I109" s="250" t="s">
        <v>734</v>
      </c>
      <c r="J109" s="94"/>
      <c r="K109" s="95"/>
      <c r="L109" s="96" t="s">
        <v>33</v>
      </c>
      <c r="M109" s="91" t="s">
        <v>523</v>
      </c>
      <c r="N109" s="91" t="s">
        <v>524</v>
      </c>
      <c r="O109" s="91"/>
      <c r="P109" s="91"/>
      <c r="Q109" s="91"/>
      <c r="R109" s="18" t="s">
        <v>58</v>
      </c>
      <c r="S109" s="18" t="s">
        <v>558</v>
      </c>
      <c r="T109" s="97">
        <v>45548</v>
      </c>
      <c r="U109" s="59" t="s">
        <v>691</v>
      </c>
      <c r="V109" s="59" t="s">
        <v>33</v>
      </c>
      <c r="W109" s="60" t="s">
        <v>836</v>
      </c>
    </row>
    <row r="110" spans="1:23" ht="36.75" customHeight="1" x14ac:dyDescent="0.25">
      <c r="A110" s="184">
        <v>145</v>
      </c>
      <c r="B110" s="91" t="s">
        <v>735</v>
      </c>
      <c r="C110" s="91" t="s">
        <v>8</v>
      </c>
      <c r="D110" s="91" t="s">
        <v>538</v>
      </c>
      <c r="E110" s="91" t="s">
        <v>522</v>
      </c>
      <c r="F110" s="98">
        <v>2024</v>
      </c>
      <c r="G110" s="91" t="s">
        <v>148</v>
      </c>
      <c r="H110" s="92" t="s">
        <v>736</v>
      </c>
      <c r="I110" s="250" t="s">
        <v>737</v>
      </c>
      <c r="J110" s="94"/>
      <c r="K110" s="95"/>
      <c r="L110" s="96" t="s">
        <v>33</v>
      </c>
      <c r="M110" s="91" t="s">
        <v>523</v>
      </c>
      <c r="N110" s="91" t="s">
        <v>524</v>
      </c>
      <c r="O110" s="91"/>
      <c r="P110" s="91"/>
      <c r="Q110" s="91"/>
      <c r="R110" s="18" t="s">
        <v>568</v>
      </c>
      <c r="S110" s="18" t="s">
        <v>558</v>
      </c>
      <c r="T110" s="97">
        <v>45548</v>
      </c>
      <c r="U110" s="59" t="s">
        <v>691</v>
      </c>
      <c r="V110" s="59" t="s">
        <v>33</v>
      </c>
      <c r="W110" s="60" t="s">
        <v>836</v>
      </c>
    </row>
    <row r="111" spans="1:23" ht="36.75" customHeight="1" x14ac:dyDescent="0.25">
      <c r="A111" s="184">
        <v>146</v>
      </c>
      <c r="B111" s="91" t="s">
        <v>738</v>
      </c>
      <c r="C111" s="91" t="s">
        <v>8</v>
      </c>
      <c r="D111" s="91" t="s">
        <v>538</v>
      </c>
      <c r="E111" s="91" t="s">
        <v>522</v>
      </c>
      <c r="F111" s="98">
        <v>2024</v>
      </c>
      <c r="G111" s="91" t="s">
        <v>148</v>
      </c>
      <c r="H111" s="92" t="s">
        <v>739</v>
      </c>
      <c r="I111" s="250" t="s">
        <v>740</v>
      </c>
      <c r="J111" s="94"/>
      <c r="K111" s="95"/>
      <c r="L111" s="96" t="s">
        <v>33</v>
      </c>
      <c r="M111" s="91" t="s">
        <v>523</v>
      </c>
      <c r="N111" s="91" t="s">
        <v>524</v>
      </c>
      <c r="O111" s="91"/>
      <c r="P111" s="91"/>
      <c r="Q111" s="91"/>
      <c r="R111" s="18" t="s">
        <v>568</v>
      </c>
      <c r="S111" s="18" t="s">
        <v>558</v>
      </c>
      <c r="T111" s="97">
        <v>45548</v>
      </c>
      <c r="U111" s="59" t="s">
        <v>691</v>
      </c>
      <c r="V111" s="59" t="s">
        <v>33</v>
      </c>
      <c r="W111" s="60" t="s">
        <v>836</v>
      </c>
    </row>
    <row r="112" spans="1:23" ht="36.75" customHeight="1" x14ac:dyDescent="0.25">
      <c r="A112" s="184">
        <v>147</v>
      </c>
      <c r="B112" s="91" t="s">
        <v>741</v>
      </c>
      <c r="C112" s="91" t="s">
        <v>8</v>
      </c>
      <c r="D112" s="18" t="s">
        <v>531</v>
      </c>
      <c r="E112" s="91"/>
      <c r="F112" s="98">
        <v>2024</v>
      </c>
      <c r="G112" s="91" t="s">
        <v>148</v>
      </c>
      <c r="H112" s="92" t="s">
        <v>742</v>
      </c>
      <c r="I112" s="250" t="s">
        <v>743</v>
      </c>
      <c r="J112" s="94"/>
      <c r="K112" s="95"/>
      <c r="L112" s="96" t="s">
        <v>33</v>
      </c>
      <c r="M112" s="91" t="s">
        <v>523</v>
      </c>
      <c r="N112" s="91" t="s">
        <v>524</v>
      </c>
      <c r="O112" s="91"/>
      <c r="P112" s="91"/>
      <c r="Q112" s="91"/>
      <c r="R112" s="18" t="s">
        <v>568</v>
      </c>
      <c r="S112" s="18" t="s">
        <v>558</v>
      </c>
      <c r="T112" s="97">
        <v>45548</v>
      </c>
      <c r="U112" s="59" t="s">
        <v>691</v>
      </c>
      <c r="V112" s="59" t="s">
        <v>33</v>
      </c>
      <c r="W112" s="60" t="s">
        <v>836</v>
      </c>
    </row>
    <row r="113" spans="1:23" ht="36.75" customHeight="1" x14ac:dyDescent="0.25">
      <c r="A113" s="184">
        <v>148</v>
      </c>
      <c r="B113" s="91" t="s">
        <v>744</v>
      </c>
      <c r="C113" s="91" t="s">
        <v>8</v>
      </c>
      <c r="D113" s="91" t="s">
        <v>534</v>
      </c>
      <c r="E113" s="91"/>
      <c r="F113" s="98">
        <v>2024</v>
      </c>
      <c r="G113" s="91" t="s">
        <v>148</v>
      </c>
      <c r="H113" s="92" t="s">
        <v>745</v>
      </c>
      <c r="I113" s="250" t="s">
        <v>746</v>
      </c>
      <c r="J113" s="94"/>
      <c r="K113" s="95"/>
      <c r="L113" s="96" t="s">
        <v>33</v>
      </c>
      <c r="M113" s="91" t="s">
        <v>18</v>
      </c>
      <c r="N113" s="91" t="s">
        <v>524</v>
      </c>
      <c r="O113" s="91"/>
      <c r="P113" s="91"/>
      <c r="Q113" s="91"/>
      <c r="R113" s="18" t="s">
        <v>58</v>
      </c>
      <c r="S113" s="18" t="s">
        <v>558</v>
      </c>
      <c r="T113" s="97">
        <v>45548</v>
      </c>
      <c r="U113" s="59" t="s">
        <v>691</v>
      </c>
      <c r="V113" s="59" t="s">
        <v>33</v>
      </c>
      <c r="W113" s="60" t="s">
        <v>836</v>
      </c>
    </row>
    <row r="114" spans="1:23" ht="36.75" customHeight="1" x14ac:dyDescent="0.25">
      <c r="A114" s="184">
        <v>149</v>
      </c>
      <c r="B114" s="229" t="s">
        <v>1656</v>
      </c>
      <c r="C114" s="91" t="s">
        <v>8</v>
      </c>
      <c r="D114" s="18" t="s">
        <v>522</v>
      </c>
      <c r="E114" s="91"/>
      <c r="F114" s="98">
        <v>2024</v>
      </c>
      <c r="G114" s="91" t="s">
        <v>148</v>
      </c>
      <c r="H114" s="92" t="s">
        <v>748</v>
      </c>
      <c r="I114" s="250" t="s">
        <v>749</v>
      </c>
      <c r="J114" s="94"/>
      <c r="K114" s="95"/>
      <c r="L114" s="96" t="s">
        <v>33</v>
      </c>
      <c r="M114" s="91" t="s">
        <v>523</v>
      </c>
      <c r="N114" s="91" t="s">
        <v>750</v>
      </c>
      <c r="O114" s="91"/>
      <c r="P114" s="91"/>
      <c r="Q114" s="91"/>
      <c r="R114" s="91" t="s">
        <v>707</v>
      </c>
      <c r="S114" s="18" t="s">
        <v>558</v>
      </c>
      <c r="T114" s="97">
        <v>45548</v>
      </c>
      <c r="U114" s="59" t="s">
        <v>691</v>
      </c>
      <c r="V114" s="59" t="s">
        <v>33</v>
      </c>
      <c r="W114" s="60" t="s">
        <v>836</v>
      </c>
    </row>
    <row r="115" spans="1:23" ht="36.75" customHeight="1" x14ac:dyDescent="0.25">
      <c r="A115" s="184">
        <v>150</v>
      </c>
      <c r="B115" s="91" t="s">
        <v>418</v>
      </c>
      <c r="C115" s="91" t="s">
        <v>439</v>
      </c>
      <c r="D115" s="91" t="s">
        <v>538</v>
      </c>
      <c r="E115" s="91" t="s">
        <v>522</v>
      </c>
      <c r="F115" s="98">
        <v>2024</v>
      </c>
      <c r="G115" s="91" t="s">
        <v>148</v>
      </c>
      <c r="H115" s="92" t="s">
        <v>751</v>
      </c>
      <c r="I115" s="250" t="s">
        <v>752</v>
      </c>
      <c r="J115" s="94"/>
      <c r="K115" s="95"/>
      <c r="L115" s="96" t="s">
        <v>33</v>
      </c>
      <c r="M115" s="91" t="s">
        <v>523</v>
      </c>
      <c r="N115" s="91" t="s">
        <v>524</v>
      </c>
      <c r="O115" s="91"/>
      <c r="P115" s="91"/>
      <c r="Q115" s="91"/>
      <c r="R115" s="18" t="s">
        <v>568</v>
      </c>
      <c r="S115" s="18" t="s">
        <v>558</v>
      </c>
      <c r="T115" s="97">
        <v>45548</v>
      </c>
      <c r="U115" s="59" t="s">
        <v>691</v>
      </c>
      <c r="V115" s="59" t="s">
        <v>33</v>
      </c>
      <c r="W115" s="60" t="s">
        <v>836</v>
      </c>
    </row>
    <row r="116" spans="1:23" ht="36.75" customHeight="1" x14ac:dyDescent="0.25">
      <c r="A116" s="184">
        <v>151</v>
      </c>
      <c r="B116" s="91" t="s">
        <v>753</v>
      </c>
      <c r="C116" s="91" t="s">
        <v>8</v>
      </c>
      <c r="D116" s="91" t="s">
        <v>538</v>
      </c>
      <c r="E116" s="91" t="s">
        <v>522</v>
      </c>
      <c r="F116" s="98">
        <v>2024</v>
      </c>
      <c r="G116" s="91" t="s">
        <v>148</v>
      </c>
      <c r="H116" s="92" t="s">
        <v>754</v>
      </c>
      <c r="I116" s="250" t="s">
        <v>755</v>
      </c>
      <c r="J116" s="94"/>
      <c r="K116" s="95"/>
      <c r="L116" s="96" t="s">
        <v>33</v>
      </c>
      <c r="M116" s="91" t="s">
        <v>523</v>
      </c>
      <c r="N116" s="91" t="s">
        <v>524</v>
      </c>
      <c r="O116" s="91"/>
      <c r="P116" s="91"/>
      <c r="Q116" s="91"/>
      <c r="R116" s="91" t="s">
        <v>707</v>
      </c>
      <c r="S116" s="18" t="s">
        <v>558</v>
      </c>
      <c r="T116" s="97">
        <v>45548</v>
      </c>
      <c r="U116" s="59" t="s">
        <v>691</v>
      </c>
      <c r="V116" s="59" t="s">
        <v>33</v>
      </c>
      <c r="W116" s="60" t="s">
        <v>836</v>
      </c>
    </row>
    <row r="117" spans="1:23" ht="36.75" customHeight="1" x14ac:dyDescent="0.25">
      <c r="A117" s="184">
        <v>152</v>
      </c>
      <c r="B117" s="91" t="s">
        <v>756</v>
      </c>
      <c r="C117" s="91" t="s">
        <v>439</v>
      </c>
      <c r="D117" s="91" t="s">
        <v>534</v>
      </c>
      <c r="E117" s="91"/>
      <c r="F117" s="98">
        <v>2024</v>
      </c>
      <c r="G117" s="91" t="s">
        <v>148</v>
      </c>
      <c r="H117" s="92" t="s">
        <v>757</v>
      </c>
      <c r="I117" s="250" t="s">
        <v>758</v>
      </c>
      <c r="J117" s="94"/>
      <c r="K117" s="95"/>
      <c r="L117" s="96" t="s">
        <v>33</v>
      </c>
      <c r="M117" s="91" t="s">
        <v>18</v>
      </c>
      <c r="N117" s="91"/>
      <c r="O117" s="91"/>
      <c r="P117" s="91"/>
      <c r="Q117" s="91"/>
      <c r="R117" s="91" t="s">
        <v>707</v>
      </c>
      <c r="S117" s="18" t="s">
        <v>558</v>
      </c>
      <c r="T117" s="97">
        <v>45548</v>
      </c>
      <c r="U117" s="59" t="s">
        <v>691</v>
      </c>
      <c r="V117" s="59" t="s">
        <v>33</v>
      </c>
      <c r="W117" s="60" t="s">
        <v>836</v>
      </c>
    </row>
    <row r="118" spans="1:23" ht="36.75" customHeight="1" x14ac:dyDescent="0.25">
      <c r="A118" s="184">
        <v>153</v>
      </c>
      <c r="B118" s="91" t="s">
        <v>759</v>
      </c>
      <c r="C118" s="91" t="s">
        <v>439</v>
      </c>
      <c r="D118" s="18" t="s">
        <v>531</v>
      </c>
      <c r="E118" s="91"/>
      <c r="F118" s="98">
        <v>2024</v>
      </c>
      <c r="G118" s="91" t="s">
        <v>148</v>
      </c>
      <c r="H118" s="92" t="s">
        <v>760</v>
      </c>
      <c r="I118" s="250" t="s">
        <v>761</v>
      </c>
      <c r="J118" s="94"/>
      <c r="K118" s="95"/>
      <c r="L118" s="96" t="s">
        <v>33</v>
      </c>
      <c r="M118" s="91" t="s">
        <v>523</v>
      </c>
      <c r="N118" s="91" t="s">
        <v>524</v>
      </c>
      <c r="O118" s="91"/>
      <c r="P118" s="91"/>
      <c r="Q118" s="91"/>
      <c r="R118" s="91" t="s">
        <v>707</v>
      </c>
      <c r="S118" s="18" t="s">
        <v>558</v>
      </c>
      <c r="T118" s="97">
        <v>45548</v>
      </c>
      <c r="U118" s="59" t="s">
        <v>691</v>
      </c>
      <c r="V118" s="59" t="s">
        <v>33</v>
      </c>
      <c r="W118" s="60" t="s">
        <v>836</v>
      </c>
    </row>
    <row r="119" spans="1:23" ht="36.75" customHeight="1" x14ac:dyDescent="0.25">
      <c r="A119" s="184">
        <v>154</v>
      </c>
      <c r="B119" s="91" t="s">
        <v>762</v>
      </c>
      <c r="C119" s="91" t="s">
        <v>439</v>
      </c>
      <c r="D119" s="91" t="s">
        <v>538</v>
      </c>
      <c r="E119" s="91" t="s">
        <v>522</v>
      </c>
      <c r="F119" s="98">
        <v>2024</v>
      </c>
      <c r="G119" s="91" t="s">
        <v>148</v>
      </c>
      <c r="H119" s="92" t="s">
        <v>763</v>
      </c>
      <c r="I119" s="250" t="s">
        <v>764</v>
      </c>
      <c r="J119" s="94"/>
      <c r="K119" s="95"/>
      <c r="L119" s="96" t="s">
        <v>33</v>
      </c>
      <c r="M119" s="91" t="s">
        <v>523</v>
      </c>
      <c r="N119" s="91"/>
      <c r="O119" s="91"/>
      <c r="P119" s="91"/>
      <c r="Q119" s="91"/>
      <c r="R119" s="18" t="s">
        <v>568</v>
      </c>
      <c r="S119" s="18" t="s">
        <v>558</v>
      </c>
      <c r="T119" s="97">
        <v>45548</v>
      </c>
      <c r="U119" s="59" t="s">
        <v>691</v>
      </c>
      <c r="V119" s="59" t="s">
        <v>33</v>
      </c>
      <c r="W119" s="60" t="s">
        <v>836</v>
      </c>
    </row>
    <row r="120" spans="1:23" ht="36.75" customHeight="1" x14ac:dyDescent="0.25">
      <c r="A120" s="184">
        <v>155</v>
      </c>
      <c r="B120" s="229" t="s">
        <v>1657</v>
      </c>
      <c r="C120" s="91" t="s">
        <v>439</v>
      </c>
      <c r="D120" s="91" t="s">
        <v>370</v>
      </c>
      <c r="E120" s="91"/>
      <c r="F120" s="98">
        <v>2024</v>
      </c>
      <c r="G120" s="91" t="s">
        <v>148</v>
      </c>
      <c r="H120" s="92" t="s">
        <v>766</v>
      </c>
      <c r="I120" s="250" t="s">
        <v>767</v>
      </c>
      <c r="J120" s="94"/>
      <c r="K120" s="95"/>
      <c r="L120" s="96" t="s">
        <v>33</v>
      </c>
      <c r="M120" s="91" t="s">
        <v>523</v>
      </c>
      <c r="N120" s="91"/>
      <c r="O120" s="91"/>
      <c r="P120" s="91"/>
      <c r="Q120" s="91"/>
      <c r="R120" s="18" t="s">
        <v>568</v>
      </c>
      <c r="S120" s="18" t="s">
        <v>558</v>
      </c>
      <c r="T120" s="97">
        <v>45548</v>
      </c>
      <c r="U120" s="59" t="s">
        <v>691</v>
      </c>
      <c r="V120" s="59" t="s">
        <v>33</v>
      </c>
      <c r="W120" s="60" t="s">
        <v>836</v>
      </c>
    </row>
    <row r="121" spans="1:23" ht="36.75" customHeight="1" x14ac:dyDescent="0.25">
      <c r="A121" s="184">
        <v>156</v>
      </c>
      <c r="B121" s="91" t="s">
        <v>768</v>
      </c>
      <c r="C121" s="91" t="s">
        <v>439</v>
      </c>
      <c r="D121" s="18" t="s">
        <v>531</v>
      </c>
      <c r="E121" s="91"/>
      <c r="F121" s="98">
        <v>2024</v>
      </c>
      <c r="G121" s="91" t="s">
        <v>148</v>
      </c>
      <c r="H121" s="92" t="s">
        <v>769</v>
      </c>
      <c r="I121" s="250" t="s">
        <v>770</v>
      </c>
      <c r="J121" s="94"/>
      <c r="K121" s="95"/>
      <c r="L121" s="96" t="s">
        <v>33</v>
      </c>
      <c r="M121" s="91" t="s">
        <v>523</v>
      </c>
      <c r="N121" s="91"/>
      <c r="O121" s="91"/>
      <c r="P121" s="91"/>
      <c r="Q121" s="91"/>
      <c r="R121" s="91" t="s">
        <v>707</v>
      </c>
      <c r="S121" s="18" t="s">
        <v>558</v>
      </c>
      <c r="T121" s="97">
        <v>45548</v>
      </c>
      <c r="U121" s="59" t="s">
        <v>691</v>
      </c>
      <c r="V121" s="59" t="s">
        <v>33</v>
      </c>
      <c r="W121" s="60" t="s">
        <v>836</v>
      </c>
    </row>
    <row r="122" spans="1:23" ht="36.75" customHeight="1" x14ac:dyDescent="0.25">
      <c r="A122" s="184">
        <v>157</v>
      </c>
      <c r="B122" s="91" t="s">
        <v>771</v>
      </c>
      <c r="C122" s="91" t="s">
        <v>439</v>
      </c>
      <c r="D122" s="91" t="s">
        <v>529</v>
      </c>
      <c r="E122" s="91"/>
      <c r="F122" s="98">
        <v>2024</v>
      </c>
      <c r="G122" s="91" t="s">
        <v>148</v>
      </c>
      <c r="H122" s="92" t="s">
        <v>772</v>
      </c>
      <c r="I122" s="250" t="s">
        <v>773</v>
      </c>
      <c r="J122" s="94"/>
      <c r="K122" s="95"/>
      <c r="L122" s="96" t="s">
        <v>33</v>
      </c>
      <c r="M122" s="91" t="s">
        <v>523</v>
      </c>
      <c r="N122" s="91"/>
      <c r="O122" s="91"/>
      <c r="P122" s="91"/>
      <c r="Q122" s="91"/>
      <c r="R122" s="18" t="s">
        <v>58</v>
      </c>
      <c r="S122" s="18" t="s">
        <v>558</v>
      </c>
      <c r="T122" s="97">
        <v>45548</v>
      </c>
      <c r="U122" s="59" t="s">
        <v>691</v>
      </c>
      <c r="V122" s="59" t="s">
        <v>33</v>
      </c>
      <c r="W122" s="60" t="s">
        <v>836</v>
      </c>
    </row>
    <row r="123" spans="1:23" ht="36.75" customHeight="1" x14ac:dyDescent="0.25">
      <c r="A123" s="184">
        <v>158</v>
      </c>
      <c r="B123" s="91" t="s">
        <v>774</v>
      </c>
      <c r="C123" s="91" t="s">
        <v>8</v>
      </c>
      <c r="D123" s="91" t="s">
        <v>370</v>
      </c>
      <c r="E123" s="91" t="s">
        <v>538</v>
      </c>
      <c r="F123" s="98">
        <v>2024</v>
      </c>
      <c r="G123" s="91" t="s">
        <v>148</v>
      </c>
      <c r="H123" s="92" t="s">
        <v>775</v>
      </c>
      <c r="I123" s="250" t="s">
        <v>776</v>
      </c>
      <c r="J123" s="94"/>
      <c r="K123" s="95"/>
      <c r="L123" s="96" t="s">
        <v>33</v>
      </c>
      <c r="M123" s="91" t="s">
        <v>523</v>
      </c>
      <c r="N123" s="91"/>
      <c r="O123" s="91"/>
      <c r="P123" s="91"/>
      <c r="Q123" s="91"/>
      <c r="R123" s="18" t="s">
        <v>568</v>
      </c>
      <c r="S123" s="18" t="s">
        <v>558</v>
      </c>
      <c r="T123" s="97">
        <v>45548</v>
      </c>
      <c r="U123" s="59" t="s">
        <v>691</v>
      </c>
      <c r="V123" s="59" t="s">
        <v>33</v>
      </c>
      <c r="W123" s="60" t="s">
        <v>836</v>
      </c>
    </row>
    <row r="124" spans="1:23" ht="36.75" customHeight="1" x14ac:dyDescent="0.25">
      <c r="A124" s="184">
        <v>159</v>
      </c>
      <c r="B124" s="91" t="s">
        <v>777</v>
      </c>
      <c r="C124" s="91" t="s">
        <v>439</v>
      </c>
      <c r="D124" s="91" t="s">
        <v>534</v>
      </c>
      <c r="E124" s="91" t="s">
        <v>522</v>
      </c>
      <c r="F124" s="98">
        <v>2024</v>
      </c>
      <c r="G124" s="91" t="s">
        <v>148</v>
      </c>
      <c r="H124" s="92" t="s">
        <v>778</v>
      </c>
      <c r="I124" s="250" t="s">
        <v>779</v>
      </c>
      <c r="J124" s="94"/>
      <c r="K124" s="95"/>
      <c r="L124" s="96" t="s">
        <v>33</v>
      </c>
      <c r="M124" s="91" t="s">
        <v>523</v>
      </c>
      <c r="N124" s="91" t="s">
        <v>18</v>
      </c>
      <c r="O124" s="91" t="s">
        <v>6</v>
      </c>
      <c r="P124" s="91"/>
      <c r="Q124" s="91"/>
      <c r="R124" s="91" t="s">
        <v>707</v>
      </c>
      <c r="S124" s="18" t="s">
        <v>558</v>
      </c>
      <c r="T124" s="97">
        <v>45548</v>
      </c>
      <c r="U124" s="59" t="s">
        <v>691</v>
      </c>
      <c r="V124" s="59" t="s">
        <v>33</v>
      </c>
      <c r="W124" s="60" t="s">
        <v>836</v>
      </c>
    </row>
    <row r="125" spans="1:23" ht="36.75" customHeight="1" x14ac:dyDescent="0.25">
      <c r="A125" s="184">
        <v>160</v>
      </c>
      <c r="B125" s="91" t="s">
        <v>780</v>
      </c>
      <c r="C125" s="91" t="s">
        <v>8</v>
      </c>
      <c r="D125" s="91" t="s">
        <v>538</v>
      </c>
      <c r="E125" s="91"/>
      <c r="F125" s="98">
        <v>2024</v>
      </c>
      <c r="G125" s="91" t="s">
        <v>148</v>
      </c>
      <c r="H125" s="92" t="s">
        <v>781</v>
      </c>
      <c r="I125" s="250" t="s">
        <v>782</v>
      </c>
      <c r="J125" s="94"/>
      <c r="K125" s="95"/>
      <c r="L125" s="96" t="s">
        <v>33</v>
      </c>
      <c r="M125" s="91" t="s">
        <v>523</v>
      </c>
      <c r="N125" s="91"/>
      <c r="O125" s="91"/>
      <c r="P125" s="91"/>
      <c r="Q125" s="91"/>
      <c r="R125" s="91" t="s">
        <v>707</v>
      </c>
      <c r="S125" s="18" t="s">
        <v>558</v>
      </c>
      <c r="T125" s="97">
        <v>45548</v>
      </c>
      <c r="U125" s="59" t="s">
        <v>691</v>
      </c>
      <c r="V125" s="59" t="s">
        <v>33</v>
      </c>
      <c r="W125" s="60" t="s">
        <v>836</v>
      </c>
    </row>
    <row r="126" spans="1:23" ht="36.75" customHeight="1" x14ac:dyDescent="0.25">
      <c r="A126" s="184">
        <v>161</v>
      </c>
      <c r="B126" s="30" t="s">
        <v>783</v>
      </c>
      <c r="C126" s="18" t="s">
        <v>60</v>
      </c>
      <c r="D126" s="18" t="s">
        <v>365</v>
      </c>
      <c r="E126" s="91" t="s">
        <v>538</v>
      </c>
      <c r="F126" s="18">
        <v>2019</v>
      </c>
      <c r="G126" s="18" t="s">
        <v>74</v>
      </c>
      <c r="H126" s="18" t="s">
        <v>784</v>
      </c>
      <c r="I126" s="136" t="s">
        <v>785</v>
      </c>
      <c r="J126" s="64" t="s">
        <v>786</v>
      </c>
      <c r="K126" s="64"/>
      <c r="L126" s="44" t="s">
        <v>273</v>
      </c>
      <c r="M126" s="18" t="s">
        <v>523</v>
      </c>
      <c r="N126" s="18" t="s">
        <v>18</v>
      </c>
      <c r="O126" s="18"/>
      <c r="P126" s="18"/>
      <c r="Q126" s="18"/>
      <c r="R126" s="18" t="s">
        <v>58</v>
      </c>
      <c r="S126" s="18" t="s">
        <v>7</v>
      </c>
      <c r="T126" s="58"/>
      <c r="U126" s="59" t="s">
        <v>207</v>
      </c>
      <c r="V126" s="59"/>
      <c r="W126" s="60" t="s">
        <v>836</v>
      </c>
    </row>
    <row r="127" spans="1:23" ht="36.75" customHeight="1" x14ac:dyDescent="0.25">
      <c r="A127" s="185">
        <v>162</v>
      </c>
      <c r="B127" s="18" t="s">
        <v>787</v>
      </c>
      <c r="C127" s="18" t="s">
        <v>8</v>
      </c>
      <c r="D127" s="18" t="s">
        <v>529</v>
      </c>
      <c r="E127" s="18"/>
      <c r="F127" s="18">
        <v>2023</v>
      </c>
      <c r="G127" s="18" t="s">
        <v>181</v>
      </c>
      <c r="H127" s="18" t="s">
        <v>788</v>
      </c>
      <c r="I127" s="136" t="s">
        <v>789</v>
      </c>
      <c r="J127" s="69"/>
      <c r="K127" s="69"/>
      <c r="L127" s="44" t="s">
        <v>33</v>
      </c>
      <c r="M127" s="18" t="s">
        <v>524</v>
      </c>
      <c r="N127" s="18" t="s">
        <v>18</v>
      </c>
      <c r="O127" s="18"/>
      <c r="P127" s="18"/>
      <c r="Q127" s="18"/>
      <c r="R127" s="18" t="s">
        <v>58</v>
      </c>
      <c r="S127" s="18" t="s">
        <v>7</v>
      </c>
      <c r="T127" s="58">
        <v>44973</v>
      </c>
      <c r="U127" s="59" t="s">
        <v>207</v>
      </c>
      <c r="V127" s="59"/>
      <c r="W127" s="60" t="s">
        <v>836</v>
      </c>
    </row>
    <row r="128" spans="1:23" ht="36.75" customHeight="1" x14ac:dyDescent="0.25">
      <c r="A128" s="185">
        <v>163</v>
      </c>
      <c r="B128" s="100" t="s">
        <v>790</v>
      </c>
      <c r="C128" s="18" t="s">
        <v>8</v>
      </c>
      <c r="D128" s="18" t="s">
        <v>529</v>
      </c>
      <c r="E128" s="18" t="s">
        <v>538</v>
      </c>
      <c r="F128" s="18">
        <v>2018</v>
      </c>
      <c r="G128" s="18" t="s">
        <v>193</v>
      </c>
      <c r="H128" s="136" t="s">
        <v>1132</v>
      </c>
      <c r="I128" s="136" t="s">
        <v>1133</v>
      </c>
      <c r="J128" s="64" t="s">
        <v>791</v>
      </c>
      <c r="K128" s="65"/>
      <c r="L128" s="44" t="s">
        <v>33</v>
      </c>
      <c r="M128" s="18" t="s">
        <v>523</v>
      </c>
      <c r="N128" s="18" t="s">
        <v>524</v>
      </c>
      <c r="O128" s="18"/>
      <c r="P128" s="18"/>
      <c r="Q128" s="18"/>
      <c r="R128" s="18" t="s">
        <v>58</v>
      </c>
      <c r="S128" s="18" t="s">
        <v>558</v>
      </c>
      <c r="T128" s="97">
        <v>45706</v>
      </c>
      <c r="U128" s="59" t="s">
        <v>207</v>
      </c>
      <c r="V128" s="59"/>
      <c r="W128" s="60" t="s">
        <v>1134</v>
      </c>
    </row>
    <row r="129" spans="1:24" ht="36.75" customHeight="1" x14ac:dyDescent="0.25">
      <c r="A129" s="185">
        <v>164</v>
      </c>
      <c r="B129" s="18" t="s">
        <v>792</v>
      </c>
      <c r="C129" s="18" t="s">
        <v>8</v>
      </c>
      <c r="D129" s="18" t="s">
        <v>538</v>
      </c>
      <c r="E129" s="18" t="s">
        <v>365</v>
      </c>
      <c r="F129" s="18">
        <v>2019</v>
      </c>
      <c r="G129" s="18" t="s">
        <v>193</v>
      </c>
      <c r="H129" s="18" t="s">
        <v>1135</v>
      </c>
      <c r="I129" s="136" t="s">
        <v>1136</v>
      </c>
      <c r="J129" s="64" t="s">
        <v>793</v>
      </c>
      <c r="K129" s="65"/>
      <c r="L129" s="44" t="s">
        <v>33</v>
      </c>
      <c r="M129" s="18" t="s">
        <v>523</v>
      </c>
      <c r="N129" s="18"/>
      <c r="O129" s="18"/>
      <c r="P129" s="18"/>
      <c r="Q129" s="18"/>
      <c r="R129" s="18" t="s">
        <v>58</v>
      </c>
      <c r="S129" s="18" t="s">
        <v>558</v>
      </c>
      <c r="T129" s="97">
        <v>45706</v>
      </c>
      <c r="U129" s="59" t="s">
        <v>207</v>
      </c>
      <c r="V129" s="59"/>
      <c r="W129" s="60" t="s">
        <v>1134</v>
      </c>
    </row>
    <row r="130" spans="1:24" ht="36.75" customHeight="1" x14ac:dyDescent="0.25">
      <c r="A130" s="185">
        <v>165</v>
      </c>
      <c r="B130" s="18" t="s">
        <v>794</v>
      </c>
      <c r="C130" s="18" t="s">
        <v>60</v>
      </c>
      <c r="D130" s="18" t="s">
        <v>546</v>
      </c>
      <c r="E130" s="18"/>
      <c r="F130" s="18">
        <v>2021</v>
      </c>
      <c r="G130" s="18" t="s">
        <v>193</v>
      </c>
      <c r="H130" s="18" t="s">
        <v>795</v>
      </c>
      <c r="I130" s="136" t="s">
        <v>1137</v>
      </c>
      <c r="J130" s="64" t="s">
        <v>796</v>
      </c>
      <c r="K130" s="65"/>
      <c r="L130" s="44" t="s">
        <v>33</v>
      </c>
      <c r="M130" s="18" t="s">
        <v>18</v>
      </c>
      <c r="N130" s="18" t="s">
        <v>524</v>
      </c>
      <c r="O130" s="18"/>
      <c r="P130" s="18"/>
      <c r="Q130" s="18"/>
      <c r="R130" s="18" t="s">
        <v>58</v>
      </c>
      <c r="S130" s="18" t="s">
        <v>7</v>
      </c>
      <c r="T130" s="97">
        <v>45706</v>
      </c>
      <c r="U130" s="59" t="s">
        <v>207</v>
      </c>
      <c r="V130" s="59"/>
      <c r="W130" s="60" t="s">
        <v>1134</v>
      </c>
    </row>
    <row r="131" spans="1:24" ht="36.75" customHeight="1" x14ac:dyDescent="0.25">
      <c r="A131" s="185">
        <v>167</v>
      </c>
      <c r="B131" s="18" t="s">
        <v>797</v>
      </c>
      <c r="C131" s="18" t="s">
        <v>8</v>
      </c>
      <c r="D131" s="18" t="s">
        <v>546</v>
      </c>
      <c r="E131" s="18"/>
      <c r="F131" s="18">
        <v>2017</v>
      </c>
      <c r="G131" s="18" t="s">
        <v>193</v>
      </c>
      <c r="H131" s="18" t="s">
        <v>1138</v>
      </c>
      <c r="I131" s="136" t="s">
        <v>1139</v>
      </c>
      <c r="J131" s="64" t="s">
        <v>798</v>
      </c>
      <c r="K131" s="65"/>
      <c r="L131" s="44" t="s">
        <v>33</v>
      </c>
      <c r="M131" s="18" t="s">
        <v>18</v>
      </c>
      <c r="N131" s="18" t="s">
        <v>524</v>
      </c>
      <c r="O131" s="18"/>
      <c r="P131" s="18"/>
      <c r="Q131" s="18"/>
      <c r="R131" s="18" t="s">
        <v>58</v>
      </c>
      <c r="S131" s="18" t="s">
        <v>7</v>
      </c>
      <c r="T131" s="97">
        <v>45706</v>
      </c>
      <c r="U131" s="59" t="s">
        <v>207</v>
      </c>
      <c r="V131" s="59"/>
      <c r="W131" s="60" t="s">
        <v>1134</v>
      </c>
    </row>
    <row r="132" spans="1:24" ht="36.75" customHeight="1" x14ac:dyDescent="0.25">
      <c r="A132" s="185">
        <v>169</v>
      </c>
      <c r="B132" s="137" t="s">
        <v>1140</v>
      </c>
      <c r="C132" s="91" t="s">
        <v>8</v>
      </c>
      <c r="D132" s="91" t="s">
        <v>534</v>
      </c>
      <c r="E132" s="91" t="s">
        <v>538</v>
      </c>
      <c r="F132" s="91">
        <v>2023</v>
      </c>
      <c r="G132" s="91" t="s">
        <v>80</v>
      </c>
      <c r="H132" s="92" t="s">
        <v>1141</v>
      </c>
      <c r="I132" s="250" t="s">
        <v>1142</v>
      </c>
      <c r="J132" s="138" t="s">
        <v>1143</v>
      </c>
      <c r="K132" s="139" t="s">
        <v>1144</v>
      </c>
      <c r="L132" s="96" t="s">
        <v>22</v>
      </c>
      <c r="M132" s="18" t="s">
        <v>18</v>
      </c>
      <c r="N132" s="91" t="s">
        <v>523</v>
      </c>
      <c r="O132" s="91" t="s">
        <v>6</v>
      </c>
      <c r="P132" s="91"/>
      <c r="Q132" s="91"/>
      <c r="R132" s="18" t="s">
        <v>58</v>
      </c>
      <c r="S132" s="91" t="s">
        <v>5</v>
      </c>
      <c r="T132" s="97">
        <v>45706</v>
      </c>
      <c r="U132" s="140" t="s">
        <v>23</v>
      </c>
      <c r="V132" s="18"/>
      <c r="W132" s="140" t="s">
        <v>1134</v>
      </c>
    </row>
    <row r="133" spans="1:24" ht="36.75" customHeight="1" x14ac:dyDescent="0.25">
      <c r="A133" s="185">
        <v>171</v>
      </c>
      <c r="B133" s="91" t="s">
        <v>1145</v>
      </c>
      <c r="C133" s="91" t="s">
        <v>8</v>
      </c>
      <c r="D133" s="91" t="s">
        <v>534</v>
      </c>
      <c r="E133" s="91" t="s">
        <v>538</v>
      </c>
      <c r="F133" s="91">
        <v>2023</v>
      </c>
      <c r="G133" s="91" t="s">
        <v>80</v>
      </c>
      <c r="H133" s="92" t="s">
        <v>1146</v>
      </c>
      <c r="I133" s="250" t="s">
        <v>1147</v>
      </c>
      <c r="J133" s="138" t="s">
        <v>1148</v>
      </c>
      <c r="K133" s="141" t="s">
        <v>1144</v>
      </c>
      <c r="L133" s="96" t="s">
        <v>22</v>
      </c>
      <c r="M133" s="18" t="s">
        <v>18</v>
      </c>
      <c r="N133" s="91" t="s">
        <v>523</v>
      </c>
      <c r="O133" s="91" t="s">
        <v>6</v>
      </c>
      <c r="P133" s="91"/>
      <c r="Q133" s="91"/>
      <c r="R133" s="18" t="s">
        <v>58</v>
      </c>
      <c r="S133" s="91" t="s">
        <v>5</v>
      </c>
      <c r="T133" s="97">
        <v>45706</v>
      </c>
      <c r="U133" s="140" t="s">
        <v>23</v>
      </c>
      <c r="V133" s="18"/>
      <c r="W133" s="140" t="s">
        <v>1134</v>
      </c>
    </row>
    <row r="134" spans="1:24" ht="36.75" customHeight="1" x14ac:dyDescent="0.25">
      <c r="A134" s="185">
        <v>173</v>
      </c>
      <c r="B134" s="137" t="s">
        <v>1149</v>
      </c>
      <c r="C134" s="91" t="s">
        <v>8</v>
      </c>
      <c r="D134" s="91" t="s">
        <v>534</v>
      </c>
      <c r="E134" s="91" t="s">
        <v>538</v>
      </c>
      <c r="F134" s="91">
        <v>2023</v>
      </c>
      <c r="G134" s="91" t="s">
        <v>80</v>
      </c>
      <c r="H134" s="92" t="s">
        <v>1150</v>
      </c>
      <c r="I134" s="250" t="s">
        <v>1151</v>
      </c>
      <c r="J134" s="138" t="s">
        <v>1152</v>
      </c>
      <c r="K134" s="139" t="s">
        <v>1144</v>
      </c>
      <c r="L134" s="96" t="s">
        <v>22</v>
      </c>
      <c r="M134" s="18" t="s">
        <v>18</v>
      </c>
      <c r="N134" s="91" t="s">
        <v>523</v>
      </c>
      <c r="O134" s="91" t="s">
        <v>6</v>
      </c>
      <c r="P134" s="91"/>
      <c r="Q134" s="91"/>
      <c r="R134" s="18" t="s">
        <v>58</v>
      </c>
      <c r="S134" s="91" t="s">
        <v>5</v>
      </c>
      <c r="T134" s="97">
        <v>45706</v>
      </c>
      <c r="U134" s="140" t="s">
        <v>23</v>
      </c>
      <c r="V134" s="18"/>
      <c r="W134" s="140" t="s">
        <v>1134</v>
      </c>
    </row>
    <row r="135" spans="1:24" ht="36.75" customHeight="1" x14ac:dyDescent="0.25">
      <c r="A135" s="185">
        <v>175</v>
      </c>
      <c r="B135" s="91" t="s">
        <v>1153</v>
      </c>
      <c r="C135" s="91" t="s">
        <v>8</v>
      </c>
      <c r="D135" s="91" t="s">
        <v>534</v>
      </c>
      <c r="E135" s="91" t="s">
        <v>538</v>
      </c>
      <c r="F135" s="91">
        <v>2023</v>
      </c>
      <c r="G135" s="91" t="s">
        <v>80</v>
      </c>
      <c r="H135" s="92" t="s">
        <v>1154</v>
      </c>
      <c r="I135" s="250" t="s">
        <v>1155</v>
      </c>
      <c r="J135" s="138" t="s">
        <v>1156</v>
      </c>
      <c r="K135" s="141" t="s">
        <v>1144</v>
      </c>
      <c r="L135" s="96" t="s">
        <v>22</v>
      </c>
      <c r="M135" s="18" t="s">
        <v>18</v>
      </c>
      <c r="N135" s="91" t="s">
        <v>523</v>
      </c>
      <c r="O135" s="91" t="s">
        <v>6</v>
      </c>
      <c r="P135" s="91"/>
      <c r="Q135" s="91"/>
      <c r="R135" s="18" t="s">
        <v>58</v>
      </c>
      <c r="S135" s="91" t="s">
        <v>5</v>
      </c>
      <c r="T135" s="97">
        <v>45706</v>
      </c>
      <c r="U135" s="140" t="s">
        <v>23</v>
      </c>
      <c r="V135" s="18"/>
      <c r="W135" s="140" t="s">
        <v>1134</v>
      </c>
    </row>
    <row r="136" spans="1:24" ht="36.75" customHeight="1" x14ac:dyDescent="0.25">
      <c r="A136" s="185">
        <v>177</v>
      </c>
      <c r="B136" s="91" t="s">
        <v>1157</v>
      </c>
      <c r="C136" s="91" t="s">
        <v>8</v>
      </c>
      <c r="D136" s="91" t="s">
        <v>534</v>
      </c>
      <c r="E136" s="91" t="s">
        <v>538</v>
      </c>
      <c r="F136" s="91">
        <v>2022</v>
      </c>
      <c r="G136" s="91" t="s">
        <v>80</v>
      </c>
      <c r="H136" s="92" t="s">
        <v>1158</v>
      </c>
      <c r="I136" s="250" t="s">
        <v>1159</v>
      </c>
      <c r="J136" s="138" t="s">
        <v>1160</v>
      </c>
      <c r="K136" s="141" t="s">
        <v>1144</v>
      </c>
      <c r="L136" s="96" t="s">
        <v>22</v>
      </c>
      <c r="M136" s="18" t="s">
        <v>18</v>
      </c>
      <c r="N136" s="91" t="s">
        <v>523</v>
      </c>
      <c r="O136" s="91" t="s">
        <v>6</v>
      </c>
      <c r="P136" s="91"/>
      <c r="Q136" s="91"/>
      <c r="R136" s="18" t="s">
        <v>58</v>
      </c>
      <c r="S136" s="91" t="s">
        <v>5</v>
      </c>
      <c r="T136" s="97">
        <v>45706</v>
      </c>
      <c r="U136" s="140" t="s">
        <v>23</v>
      </c>
      <c r="V136" s="18"/>
      <c r="W136" s="140" t="s">
        <v>1134</v>
      </c>
    </row>
    <row r="137" spans="1:24" ht="36.75" customHeight="1" x14ac:dyDescent="0.25">
      <c r="A137" s="185">
        <v>179</v>
      </c>
      <c r="B137" s="91" t="s">
        <v>1161</v>
      </c>
      <c r="C137" s="91" t="s">
        <v>8</v>
      </c>
      <c r="D137" s="91" t="s">
        <v>534</v>
      </c>
      <c r="E137" s="91" t="s">
        <v>538</v>
      </c>
      <c r="F137" s="91">
        <v>2024</v>
      </c>
      <c r="G137" s="91" t="s">
        <v>76</v>
      </c>
      <c r="H137" s="92" t="s">
        <v>1162</v>
      </c>
      <c r="I137" s="250" t="s">
        <v>1163</v>
      </c>
      <c r="J137" s="138" t="s">
        <v>1164</v>
      </c>
      <c r="K137" s="141" t="s">
        <v>1144</v>
      </c>
      <c r="L137" s="96" t="s">
        <v>22</v>
      </c>
      <c r="M137" s="18" t="s">
        <v>18</v>
      </c>
      <c r="N137" s="91" t="s">
        <v>523</v>
      </c>
      <c r="O137" s="91" t="s">
        <v>6</v>
      </c>
      <c r="P137" s="91"/>
      <c r="Q137" s="91"/>
      <c r="R137" s="18" t="s">
        <v>58</v>
      </c>
      <c r="S137" s="91" t="s">
        <v>5</v>
      </c>
      <c r="T137" s="97">
        <v>45706</v>
      </c>
      <c r="U137" s="140" t="s">
        <v>23</v>
      </c>
      <c r="V137" s="18"/>
      <c r="W137" s="140" t="s">
        <v>1134</v>
      </c>
    </row>
    <row r="138" spans="1:24" ht="36.75" customHeight="1" x14ac:dyDescent="0.25">
      <c r="A138" s="185">
        <v>181</v>
      </c>
      <c r="B138" s="91" t="s">
        <v>1165</v>
      </c>
      <c r="C138" s="91" t="s">
        <v>8</v>
      </c>
      <c r="D138" s="91" t="s">
        <v>534</v>
      </c>
      <c r="E138" s="91" t="s">
        <v>538</v>
      </c>
      <c r="F138" s="91">
        <v>2024</v>
      </c>
      <c r="G138" s="91" t="s">
        <v>193</v>
      </c>
      <c r="H138" s="92" t="s">
        <v>1166</v>
      </c>
      <c r="I138" s="250" t="s">
        <v>1167</v>
      </c>
      <c r="J138" s="138" t="s">
        <v>1168</v>
      </c>
      <c r="K138" s="141" t="s">
        <v>1144</v>
      </c>
      <c r="L138" s="96" t="s">
        <v>22</v>
      </c>
      <c r="M138" s="18" t="s">
        <v>18</v>
      </c>
      <c r="N138" s="91" t="s">
        <v>523</v>
      </c>
      <c r="O138" s="91" t="s">
        <v>6</v>
      </c>
      <c r="P138" s="91"/>
      <c r="Q138" s="91"/>
      <c r="R138" s="18" t="s">
        <v>58</v>
      </c>
      <c r="S138" s="91" t="s">
        <v>5</v>
      </c>
      <c r="T138" s="97">
        <v>45706</v>
      </c>
      <c r="U138" s="140" t="s">
        <v>23</v>
      </c>
      <c r="V138" s="18"/>
      <c r="W138" s="140" t="s">
        <v>1134</v>
      </c>
    </row>
    <row r="139" spans="1:24" ht="36.75" customHeight="1" x14ac:dyDescent="0.25">
      <c r="A139" s="185">
        <v>183</v>
      </c>
      <c r="B139" s="91" t="s">
        <v>1169</v>
      </c>
      <c r="C139" s="91" t="s">
        <v>8</v>
      </c>
      <c r="D139" s="91" t="s">
        <v>534</v>
      </c>
      <c r="E139" s="91" t="s">
        <v>538</v>
      </c>
      <c r="F139" s="91">
        <v>2025</v>
      </c>
      <c r="G139" s="91" t="s">
        <v>80</v>
      </c>
      <c r="H139" s="92" t="s">
        <v>1170</v>
      </c>
      <c r="I139" s="250" t="s">
        <v>1171</v>
      </c>
      <c r="J139" s="138" t="s">
        <v>1172</v>
      </c>
      <c r="K139" s="141" t="s">
        <v>1144</v>
      </c>
      <c r="L139" s="96" t="s">
        <v>22</v>
      </c>
      <c r="M139" s="18" t="s">
        <v>18</v>
      </c>
      <c r="N139" s="91" t="s">
        <v>523</v>
      </c>
      <c r="O139" s="91" t="s">
        <v>6</v>
      </c>
      <c r="P139" s="91"/>
      <c r="Q139" s="91"/>
      <c r="R139" s="18" t="s">
        <v>58</v>
      </c>
      <c r="S139" s="91" t="s">
        <v>5</v>
      </c>
      <c r="T139" s="97">
        <v>45706</v>
      </c>
      <c r="U139" s="140" t="s">
        <v>23</v>
      </c>
      <c r="V139" s="18"/>
      <c r="W139" s="140" t="s">
        <v>1134</v>
      </c>
    </row>
    <row r="140" spans="1:24" ht="36.75" customHeight="1" x14ac:dyDescent="0.25">
      <c r="A140" s="184">
        <v>184</v>
      </c>
      <c r="B140" s="91" t="s">
        <v>1173</v>
      </c>
      <c r="C140" s="91" t="s">
        <v>8</v>
      </c>
      <c r="D140" s="91" t="s">
        <v>538</v>
      </c>
      <c r="E140" s="91"/>
      <c r="F140" s="91">
        <v>2025</v>
      </c>
      <c r="G140" s="91" t="s">
        <v>148</v>
      </c>
      <c r="H140" s="92" t="s">
        <v>1174</v>
      </c>
      <c r="I140" s="250" t="s">
        <v>1175</v>
      </c>
      <c r="J140" s="138" t="s">
        <v>1176</v>
      </c>
      <c r="K140" s="142"/>
      <c r="L140" s="96" t="s">
        <v>33</v>
      </c>
      <c r="M140" s="91" t="s">
        <v>523</v>
      </c>
      <c r="N140" s="91"/>
      <c r="O140" s="91"/>
      <c r="P140" s="91"/>
      <c r="Q140" s="91"/>
      <c r="R140" s="18" t="s">
        <v>707</v>
      </c>
      <c r="S140" s="91" t="s">
        <v>7</v>
      </c>
      <c r="T140" s="97">
        <v>45721</v>
      </c>
      <c r="U140" s="140" t="s">
        <v>23</v>
      </c>
      <c r="V140" s="18"/>
      <c r="W140" s="18" t="s">
        <v>1134</v>
      </c>
      <c r="X140" t="s">
        <v>1177</v>
      </c>
    </row>
    <row r="141" spans="1:24" ht="36.75" customHeight="1" x14ac:dyDescent="0.25">
      <c r="A141" s="184">
        <v>185</v>
      </c>
      <c r="B141" s="91" t="s">
        <v>1178</v>
      </c>
      <c r="C141" s="91" t="s">
        <v>8</v>
      </c>
      <c r="D141" s="91" t="s">
        <v>538</v>
      </c>
      <c r="E141" s="91"/>
      <c r="F141" s="91">
        <v>2025</v>
      </c>
      <c r="G141" s="91" t="s">
        <v>410</v>
      </c>
      <c r="H141" s="92" t="s">
        <v>1179</v>
      </c>
      <c r="I141" s="250" t="s">
        <v>1180</v>
      </c>
      <c r="J141" s="174" t="s">
        <v>1373</v>
      </c>
      <c r="K141" s="142"/>
      <c r="L141" s="96" t="s">
        <v>33</v>
      </c>
      <c r="M141" s="91" t="s">
        <v>523</v>
      </c>
      <c r="N141" s="91"/>
      <c r="O141" s="91"/>
      <c r="P141" s="91"/>
      <c r="Q141" s="91"/>
      <c r="R141" s="18" t="s">
        <v>58</v>
      </c>
      <c r="S141" s="91" t="s">
        <v>7</v>
      </c>
      <c r="T141" s="97">
        <v>45723</v>
      </c>
      <c r="U141" s="140" t="s">
        <v>23</v>
      </c>
      <c r="V141" s="18"/>
      <c r="W141" s="18" t="s">
        <v>1134</v>
      </c>
      <c r="X141" t="s">
        <v>1181</v>
      </c>
    </row>
    <row r="142" spans="1:24" ht="36.75" customHeight="1" x14ac:dyDescent="0.25">
      <c r="A142" s="184">
        <v>186</v>
      </c>
      <c r="B142" s="91" t="s">
        <v>799</v>
      </c>
      <c r="C142" s="91" t="s">
        <v>8</v>
      </c>
      <c r="D142" s="91" t="s">
        <v>529</v>
      </c>
      <c r="E142" s="91"/>
      <c r="F142" s="91">
        <v>2023</v>
      </c>
      <c r="G142" s="91" t="s">
        <v>154</v>
      </c>
      <c r="H142" s="92" t="s">
        <v>1208</v>
      </c>
      <c r="I142" s="250" t="s">
        <v>1209</v>
      </c>
      <c r="J142" s="174" t="s">
        <v>1373</v>
      </c>
      <c r="K142" s="142"/>
      <c r="L142" s="96" t="s">
        <v>33</v>
      </c>
      <c r="M142" s="91" t="s">
        <v>523</v>
      </c>
      <c r="N142" s="91" t="s">
        <v>524</v>
      </c>
      <c r="O142" s="91"/>
      <c r="P142" s="91"/>
      <c r="Q142" s="91"/>
      <c r="R142" s="18" t="s">
        <v>568</v>
      </c>
      <c r="S142" s="91" t="s">
        <v>7</v>
      </c>
      <c r="T142" s="97">
        <v>44953</v>
      </c>
      <c r="U142" s="145" t="s">
        <v>207</v>
      </c>
      <c r="V142" s="18"/>
      <c r="W142" s="145" t="s">
        <v>1210</v>
      </c>
      <c r="X142" s="6" t="s">
        <v>1211</v>
      </c>
    </row>
    <row r="143" spans="1:24" ht="36.75" customHeight="1" x14ac:dyDescent="0.25">
      <c r="A143" s="184">
        <v>187</v>
      </c>
      <c r="B143" s="91" t="s">
        <v>1212</v>
      </c>
      <c r="C143" s="91" t="s">
        <v>8</v>
      </c>
      <c r="D143" s="18" t="s">
        <v>531</v>
      </c>
      <c r="E143" s="91"/>
      <c r="F143" s="91">
        <v>2023</v>
      </c>
      <c r="G143" s="91" t="s">
        <v>181</v>
      </c>
      <c r="H143" s="92" t="s">
        <v>1213</v>
      </c>
      <c r="I143" s="250" t="s">
        <v>1214</v>
      </c>
      <c r="J143" s="174" t="s">
        <v>1373</v>
      </c>
      <c r="K143" s="142"/>
      <c r="L143" s="96" t="s">
        <v>33</v>
      </c>
      <c r="M143" s="91" t="s">
        <v>523</v>
      </c>
      <c r="N143" s="91" t="s">
        <v>524</v>
      </c>
      <c r="O143" s="91"/>
      <c r="P143" s="91"/>
      <c r="Q143" s="91"/>
      <c r="R143" s="18" t="s">
        <v>568</v>
      </c>
      <c r="S143" s="91" t="s">
        <v>7</v>
      </c>
      <c r="T143" s="97">
        <v>44973</v>
      </c>
      <c r="U143" s="145" t="s">
        <v>207</v>
      </c>
      <c r="V143" s="18"/>
      <c r="W143" s="145" t="s">
        <v>1210</v>
      </c>
      <c r="X143" s="6" t="s">
        <v>1211</v>
      </c>
    </row>
    <row r="144" spans="1:24" ht="36.75" customHeight="1" x14ac:dyDescent="0.25">
      <c r="A144" s="184">
        <v>188</v>
      </c>
      <c r="B144" s="91" t="s">
        <v>1215</v>
      </c>
      <c r="C144" s="91" t="s">
        <v>8</v>
      </c>
      <c r="D144" s="18" t="s">
        <v>531</v>
      </c>
      <c r="E144" s="91"/>
      <c r="F144" s="147" t="s">
        <v>1207</v>
      </c>
      <c r="G144" s="91" t="s">
        <v>183</v>
      </c>
      <c r="H144" s="92" t="s">
        <v>1216</v>
      </c>
      <c r="I144" s="250" t="s">
        <v>1217</v>
      </c>
      <c r="J144" s="174" t="s">
        <v>1373</v>
      </c>
      <c r="K144" s="142"/>
      <c r="L144" s="96" t="s">
        <v>33</v>
      </c>
      <c r="M144" s="91" t="s">
        <v>523</v>
      </c>
      <c r="N144" s="91" t="s">
        <v>524</v>
      </c>
      <c r="O144" s="91"/>
      <c r="P144" s="91"/>
      <c r="Q144" s="91"/>
      <c r="R144" s="264" t="s">
        <v>58</v>
      </c>
      <c r="S144" s="91" t="s">
        <v>7</v>
      </c>
      <c r="T144" s="97">
        <v>45780</v>
      </c>
      <c r="U144" s="145" t="s">
        <v>23</v>
      </c>
      <c r="V144" s="18"/>
      <c r="W144" s="145" t="s">
        <v>1210</v>
      </c>
      <c r="X144" s="128"/>
    </row>
    <row r="145" spans="1:24" ht="36.75" customHeight="1" x14ac:dyDescent="0.25">
      <c r="A145" s="184">
        <v>189</v>
      </c>
      <c r="B145" s="91" t="s">
        <v>1218</v>
      </c>
      <c r="C145" s="91" t="s">
        <v>8</v>
      </c>
      <c r="D145" s="18" t="s">
        <v>531</v>
      </c>
      <c r="E145" s="91"/>
      <c r="F145" s="147" t="s">
        <v>1207</v>
      </c>
      <c r="G145" s="91" t="s">
        <v>183</v>
      </c>
      <c r="H145" s="92" t="s">
        <v>1219</v>
      </c>
      <c r="I145" s="250" t="s">
        <v>1220</v>
      </c>
      <c r="J145" s="174" t="s">
        <v>1373</v>
      </c>
      <c r="K145" s="142"/>
      <c r="L145" s="96" t="s">
        <v>33</v>
      </c>
      <c r="M145" s="91" t="s">
        <v>523</v>
      </c>
      <c r="N145" s="91" t="s">
        <v>524</v>
      </c>
      <c r="O145" s="91"/>
      <c r="P145" s="91"/>
      <c r="Q145" s="91"/>
      <c r="R145" s="264" t="s">
        <v>58</v>
      </c>
      <c r="S145" s="91" t="s">
        <v>7</v>
      </c>
      <c r="T145" s="97">
        <v>45780</v>
      </c>
      <c r="U145" s="145" t="s">
        <v>23</v>
      </c>
      <c r="V145" s="18"/>
      <c r="W145" s="145" t="s">
        <v>1210</v>
      </c>
      <c r="X145" s="128"/>
    </row>
    <row r="146" spans="1:24" ht="36.75" customHeight="1" x14ac:dyDescent="0.25">
      <c r="A146" s="184">
        <v>190</v>
      </c>
      <c r="B146" s="91" t="s">
        <v>1221</v>
      </c>
      <c r="C146" s="91" t="s">
        <v>8</v>
      </c>
      <c r="D146" s="18" t="s">
        <v>531</v>
      </c>
      <c r="E146" s="91"/>
      <c r="F146" s="147" t="s">
        <v>1207</v>
      </c>
      <c r="G146" s="91" t="s">
        <v>183</v>
      </c>
      <c r="H146" s="92" t="s">
        <v>1222</v>
      </c>
      <c r="I146" s="250" t="s">
        <v>1223</v>
      </c>
      <c r="J146" s="174" t="s">
        <v>1373</v>
      </c>
      <c r="K146" s="142"/>
      <c r="L146" s="96" t="s">
        <v>33</v>
      </c>
      <c r="M146" s="91" t="s">
        <v>523</v>
      </c>
      <c r="N146" s="91" t="s">
        <v>524</v>
      </c>
      <c r="O146" s="91"/>
      <c r="P146" s="91"/>
      <c r="Q146" s="91"/>
      <c r="R146" s="264" t="s">
        <v>58</v>
      </c>
      <c r="S146" s="91" t="s">
        <v>7</v>
      </c>
      <c r="T146" s="97">
        <v>45780</v>
      </c>
      <c r="U146" s="145" t="s">
        <v>23</v>
      </c>
      <c r="V146" s="18"/>
      <c r="W146" s="145" t="s">
        <v>1210</v>
      </c>
      <c r="X146" s="128"/>
    </row>
    <row r="147" spans="1:24" ht="36.75" customHeight="1" x14ac:dyDescent="0.25">
      <c r="A147" s="184">
        <v>191</v>
      </c>
      <c r="B147" s="91" t="s">
        <v>1202</v>
      </c>
      <c r="C147" s="91" t="s">
        <v>8</v>
      </c>
      <c r="D147" s="91" t="s">
        <v>370</v>
      </c>
      <c r="E147" s="91" t="s">
        <v>538</v>
      </c>
      <c r="F147" s="147" t="s">
        <v>1207</v>
      </c>
      <c r="G147" s="91" t="s">
        <v>183</v>
      </c>
      <c r="H147" s="92" t="s">
        <v>1224</v>
      </c>
      <c r="I147" s="250" t="s">
        <v>1225</v>
      </c>
      <c r="J147" s="174" t="s">
        <v>1373</v>
      </c>
      <c r="K147" s="142"/>
      <c r="L147" s="96" t="s">
        <v>33</v>
      </c>
      <c r="M147" s="91" t="s">
        <v>523</v>
      </c>
      <c r="N147" s="91" t="s">
        <v>524</v>
      </c>
      <c r="O147" s="91"/>
      <c r="P147" s="91"/>
      <c r="Q147" s="91"/>
      <c r="R147" s="264" t="s">
        <v>58</v>
      </c>
      <c r="S147" s="91" t="s">
        <v>7</v>
      </c>
      <c r="T147" s="97">
        <v>45780</v>
      </c>
      <c r="U147" s="145" t="s">
        <v>23</v>
      </c>
      <c r="V147" s="18"/>
      <c r="W147" s="145" t="s">
        <v>1210</v>
      </c>
      <c r="X147" s="128"/>
    </row>
    <row r="148" spans="1:24" ht="36.75" customHeight="1" x14ac:dyDescent="0.25">
      <c r="A148" s="184">
        <v>192</v>
      </c>
      <c r="B148" s="91" t="s">
        <v>1203</v>
      </c>
      <c r="C148" s="91" t="s">
        <v>8</v>
      </c>
      <c r="D148" s="91" t="s">
        <v>370</v>
      </c>
      <c r="E148" s="91" t="s">
        <v>538</v>
      </c>
      <c r="F148" s="147" t="s">
        <v>1207</v>
      </c>
      <c r="G148" s="91" t="s">
        <v>183</v>
      </c>
      <c r="H148" s="92" t="s">
        <v>1226</v>
      </c>
      <c r="I148" s="250" t="s">
        <v>1227</v>
      </c>
      <c r="J148" s="174" t="s">
        <v>1373</v>
      </c>
      <c r="K148" s="142"/>
      <c r="L148" s="96" t="s">
        <v>33</v>
      </c>
      <c r="M148" s="91" t="s">
        <v>523</v>
      </c>
      <c r="N148" s="91"/>
      <c r="O148" s="91"/>
      <c r="P148" s="91"/>
      <c r="Q148" s="91"/>
      <c r="R148" s="264" t="s">
        <v>58</v>
      </c>
      <c r="S148" s="91" t="s">
        <v>7</v>
      </c>
      <c r="T148" s="97">
        <v>45780</v>
      </c>
      <c r="U148" s="145" t="s">
        <v>23</v>
      </c>
      <c r="V148" s="18"/>
      <c r="W148" s="145" t="s">
        <v>1210</v>
      </c>
      <c r="X148" s="128"/>
    </row>
    <row r="149" spans="1:24" ht="36.75" customHeight="1" x14ac:dyDescent="0.25">
      <c r="A149" s="184">
        <v>193</v>
      </c>
      <c r="B149" s="91" t="s">
        <v>1204</v>
      </c>
      <c r="C149" s="91" t="s">
        <v>8</v>
      </c>
      <c r="D149" s="91" t="s">
        <v>370</v>
      </c>
      <c r="E149" s="91" t="s">
        <v>538</v>
      </c>
      <c r="F149" s="147" t="s">
        <v>1207</v>
      </c>
      <c r="G149" s="91" t="s">
        <v>183</v>
      </c>
      <c r="H149" s="92" t="s">
        <v>1228</v>
      </c>
      <c r="I149" s="250" t="s">
        <v>1229</v>
      </c>
      <c r="J149" s="174" t="s">
        <v>1373</v>
      </c>
      <c r="K149" s="142"/>
      <c r="L149" s="96" t="s">
        <v>33</v>
      </c>
      <c r="M149" s="91" t="s">
        <v>523</v>
      </c>
      <c r="N149" s="91"/>
      <c r="O149" s="91"/>
      <c r="P149" s="91"/>
      <c r="Q149" s="91"/>
      <c r="R149" s="264" t="s">
        <v>58</v>
      </c>
      <c r="S149" s="91" t="s">
        <v>7</v>
      </c>
      <c r="T149" s="97">
        <v>45780</v>
      </c>
      <c r="U149" s="145" t="s">
        <v>23</v>
      </c>
      <c r="V149" s="18"/>
      <c r="W149" s="145" t="s">
        <v>1210</v>
      </c>
      <c r="X149" s="128"/>
    </row>
    <row r="150" spans="1:24" ht="36.75" customHeight="1" x14ac:dyDescent="0.25">
      <c r="A150" s="184">
        <v>194</v>
      </c>
      <c r="B150" s="91" t="s">
        <v>1205</v>
      </c>
      <c r="C150" s="91" t="s">
        <v>8</v>
      </c>
      <c r="D150" s="91" t="s">
        <v>370</v>
      </c>
      <c r="E150" s="91" t="s">
        <v>538</v>
      </c>
      <c r="F150" s="147" t="s">
        <v>1207</v>
      </c>
      <c r="G150" s="91" t="s">
        <v>183</v>
      </c>
      <c r="H150" s="92" t="s">
        <v>1230</v>
      </c>
      <c r="I150" s="250" t="s">
        <v>1231</v>
      </c>
      <c r="J150" s="174" t="s">
        <v>1373</v>
      </c>
      <c r="K150" s="142"/>
      <c r="L150" s="96" t="s">
        <v>33</v>
      </c>
      <c r="M150" s="91" t="s">
        <v>523</v>
      </c>
      <c r="N150" s="91"/>
      <c r="O150" s="91"/>
      <c r="P150" s="91"/>
      <c r="Q150" s="91"/>
      <c r="R150" s="264" t="s">
        <v>58</v>
      </c>
      <c r="S150" s="91" t="s">
        <v>7</v>
      </c>
      <c r="T150" s="97">
        <v>45780</v>
      </c>
      <c r="U150" s="145" t="s">
        <v>23</v>
      </c>
      <c r="V150" s="18"/>
      <c r="W150" s="145" t="s">
        <v>1210</v>
      </c>
      <c r="X150" s="128"/>
    </row>
    <row r="151" spans="1:24" ht="36.75" customHeight="1" x14ac:dyDescent="0.25">
      <c r="A151" s="184">
        <v>195</v>
      </c>
      <c r="B151" s="91" t="s">
        <v>1206</v>
      </c>
      <c r="C151" s="91" t="s">
        <v>8</v>
      </c>
      <c r="D151" s="91" t="s">
        <v>370</v>
      </c>
      <c r="E151" s="91" t="s">
        <v>538</v>
      </c>
      <c r="F151" s="147" t="s">
        <v>1207</v>
      </c>
      <c r="G151" s="91" t="s">
        <v>183</v>
      </c>
      <c r="H151" s="92" t="s">
        <v>1232</v>
      </c>
      <c r="I151" s="250" t="s">
        <v>1233</v>
      </c>
      <c r="J151" s="174" t="s">
        <v>1373</v>
      </c>
      <c r="K151" s="142"/>
      <c r="L151" s="96" t="s">
        <v>33</v>
      </c>
      <c r="M151" s="91" t="s">
        <v>523</v>
      </c>
      <c r="N151" s="91"/>
      <c r="O151" s="91"/>
      <c r="P151" s="91"/>
      <c r="Q151" s="91"/>
      <c r="R151" s="264" t="s">
        <v>58</v>
      </c>
      <c r="S151" s="91" t="s">
        <v>7</v>
      </c>
      <c r="T151" s="97">
        <v>45780</v>
      </c>
      <c r="U151" s="145" t="s">
        <v>23</v>
      </c>
      <c r="V151" s="18"/>
      <c r="W151" s="145" t="s">
        <v>1210</v>
      </c>
      <c r="X151" s="128"/>
    </row>
    <row r="152" spans="1:24" ht="36.75" customHeight="1" x14ac:dyDescent="0.25">
      <c r="A152" s="184">
        <v>196</v>
      </c>
      <c r="B152" s="91" t="s">
        <v>1234</v>
      </c>
      <c r="C152" s="91" t="s">
        <v>8</v>
      </c>
      <c r="D152" s="91" t="s">
        <v>534</v>
      </c>
      <c r="E152" s="91" t="s">
        <v>538</v>
      </c>
      <c r="F152" s="147" t="s">
        <v>1207</v>
      </c>
      <c r="G152" s="91" t="s">
        <v>183</v>
      </c>
      <c r="H152" s="92" t="s">
        <v>1235</v>
      </c>
      <c r="I152" s="250" t="s">
        <v>1236</v>
      </c>
      <c r="J152" s="174" t="s">
        <v>1373</v>
      </c>
      <c r="K152" s="142"/>
      <c r="L152" s="96" t="s">
        <v>33</v>
      </c>
      <c r="M152" s="91" t="s">
        <v>523</v>
      </c>
      <c r="N152" s="91"/>
      <c r="O152" s="91"/>
      <c r="P152" s="91"/>
      <c r="Q152" s="91"/>
      <c r="R152" s="264" t="s">
        <v>58</v>
      </c>
      <c r="S152" s="91" t="s">
        <v>7</v>
      </c>
      <c r="T152" s="97">
        <v>45780</v>
      </c>
      <c r="U152" s="145" t="s">
        <v>23</v>
      </c>
      <c r="V152" s="18"/>
      <c r="W152" s="145" t="s">
        <v>1210</v>
      </c>
      <c r="X152" s="128"/>
    </row>
    <row r="153" spans="1:24" ht="36.75" customHeight="1" x14ac:dyDescent="0.25">
      <c r="A153" s="184">
        <v>197</v>
      </c>
      <c r="B153" s="91" t="s">
        <v>1237</v>
      </c>
      <c r="C153" s="91" t="s">
        <v>8</v>
      </c>
      <c r="D153" s="91" t="s">
        <v>534</v>
      </c>
      <c r="E153" s="91" t="s">
        <v>538</v>
      </c>
      <c r="F153" s="147" t="s">
        <v>1207</v>
      </c>
      <c r="G153" s="91" t="s">
        <v>183</v>
      </c>
      <c r="H153" s="92" t="s">
        <v>1238</v>
      </c>
      <c r="I153" s="250" t="s">
        <v>1239</v>
      </c>
      <c r="J153" s="146" t="s">
        <v>1240</v>
      </c>
      <c r="K153" s="142"/>
      <c r="L153" s="96" t="s">
        <v>33</v>
      </c>
      <c r="M153" s="91" t="s">
        <v>18</v>
      </c>
      <c r="N153" s="91"/>
      <c r="O153" s="91"/>
      <c r="P153" s="91"/>
      <c r="Q153" s="91"/>
      <c r="R153" s="264" t="s">
        <v>58</v>
      </c>
      <c r="S153" s="91" t="s">
        <v>7</v>
      </c>
      <c r="T153" s="97">
        <v>45780</v>
      </c>
      <c r="U153" s="145" t="s">
        <v>23</v>
      </c>
      <c r="V153" s="18"/>
      <c r="W153" s="145" t="s">
        <v>1210</v>
      </c>
      <c r="X153" s="128"/>
    </row>
    <row r="154" spans="1:24" ht="36.75" customHeight="1" x14ac:dyDescent="0.25">
      <c r="A154" s="184">
        <v>198</v>
      </c>
      <c r="B154" s="91" t="s">
        <v>1241</v>
      </c>
      <c r="C154" s="91" t="s">
        <v>8</v>
      </c>
      <c r="D154" s="91" t="s">
        <v>534</v>
      </c>
      <c r="E154" s="91" t="s">
        <v>538</v>
      </c>
      <c r="F154" s="147" t="s">
        <v>1207</v>
      </c>
      <c r="G154" s="91" t="s">
        <v>183</v>
      </c>
      <c r="H154" s="92" t="s">
        <v>1242</v>
      </c>
      <c r="I154" s="250" t="s">
        <v>1243</v>
      </c>
      <c r="J154" s="146" t="s">
        <v>1240</v>
      </c>
      <c r="K154" s="142"/>
      <c r="L154" s="96" t="s">
        <v>33</v>
      </c>
      <c r="M154" s="91" t="s">
        <v>18</v>
      </c>
      <c r="N154" s="91"/>
      <c r="O154" s="91"/>
      <c r="P154" s="91"/>
      <c r="Q154" s="91"/>
      <c r="R154" s="264" t="s">
        <v>58</v>
      </c>
      <c r="S154" s="91" t="s">
        <v>7</v>
      </c>
      <c r="T154" s="97">
        <v>45780</v>
      </c>
      <c r="U154" s="145" t="s">
        <v>23</v>
      </c>
      <c r="V154" s="18"/>
      <c r="W154" s="145" t="s">
        <v>1210</v>
      </c>
      <c r="X154" s="128"/>
    </row>
    <row r="155" spans="1:24" ht="36.75" customHeight="1" x14ac:dyDescent="0.25">
      <c r="A155" s="184">
        <v>199</v>
      </c>
      <c r="B155" s="91" t="s">
        <v>1244</v>
      </c>
      <c r="C155" s="91" t="s">
        <v>8</v>
      </c>
      <c r="D155" s="91" t="s">
        <v>534</v>
      </c>
      <c r="E155" s="91" t="s">
        <v>538</v>
      </c>
      <c r="F155" s="147" t="s">
        <v>1207</v>
      </c>
      <c r="G155" s="91" t="s">
        <v>183</v>
      </c>
      <c r="H155" s="92" t="s">
        <v>1245</v>
      </c>
      <c r="I155" s="250" t="s">
        <v>1246</v>
      </c>
      <c r="J155" s="174" t="s">
        <v>1373</v>
      </c>
      <c r="K155" s="142"/>
      <c r="L155" s="96" t="s">
        <v>33</v>
      </c>
      <c r="M155" s="91" t="s">
        <v>18</v>
      </c>
      <c r="N155" s="91"/>
      <c r="O155" s="91"/>
      <c r="P155" s="91"/>
      <c r="Q155" s="91"/>
      <c r="R155" s="264" t="s">
        <v>58</v>
      </c>
      <c r="S155" s="91" t="s">
        <v>7</v>
      </c>
      <c r="T155" s="97">
        <v>45780</v>
      </c>
      <c r="U155" s="145" t="s">
        <v>23</v>
      </c>
      <c r="V155" s="18"/>
      <c r="W155" s="145" t="s">
        <v>1210</v>
      </c>
      <c r="X155" s="128"/>
    </row>
    <row r="156" spans="1:24" ht="36.75" customHeight="1" x14ac:dyDescent="0.25">
      <c r="A156" s="184">
        <v>200</v>
      </c>
      <c r="B156" s="91" t="s">
        <v>1247</v>
      </c>
      <c r="C156" s="91" t="s">
        <v>8</v>
      </c>
      <c r="D156" s="91" t="s">
        <v>534</v>
      </c>
      <c r="E156" s="91" t="s">
        <v>538</v>
      </c>
      <c r="F156" s="147" t="s">
        <v>1207</v>
      </c>
      <c r="G156" s="91" t="s">
        <v>183</v>
      </c>
      <c r="H156" s="92" t="s">
        <v>1248</v>
      </c>
      <c r="I156" s="250" t="s">
        <v>1249</v>
      </c>
      <c r="J156" s="146" t="s">
        <v>1240</v>
      </c>
      <c r="K156" s="142"/>
      <c r="L156" s="96" t="s">
        <v>33</v>
      </c>
      <c r="M156" s="91" t="s">
        <v>18</v>
      </c>
      <c r="N156" s="91"/>
      <c r="O156" s="91"/>
      <c r="P156" s="91"/>
      <c r="Q156" s="91"/>
      <c r="R156" s="264" t="s">
        <v>58</v>
      </c>
      <c r="S156" s="91" t="s">
        <v>7</v>
      </c>
      <c r="T156" s="97">
        <v>45780</v>
      </c>
      <c r="U156" s="145" t="s">
        <v>23</v>
      </c>
      <c r="V156" s="18"/>
      <c r="W156" s="145" t="s">
        <v>1210</v>
      </c>
      <c r="X156" s="128"/>
    </row>
    <row r="157" spans="1:24" ht="36.75" customHeight="1" x14ac:dyDescent="0.25">
      <c r="A157" s="184">
        <v>201</v>
      </c>
      <c r="B157" s="91" t="s">
        <v>1250</v>
      </c>
      <c r="C157" s="91" t="s">
        <v>8</v>
      </c>
      <c r="D157" s="91" t="s">
        <v>534</v>
      </c>
      <c r="E157" s="91" t="s">
        <v>538</v>
      </c>
      <c r="F157" s="147" t="s">
        <v>1207</v>
      </c>
      <c r="G157" s="91" t="s">
        <v>183</v>
      </c>
      <c r="H157" s="92" t="s">
        <v>1251</v>
      </c>
      <c r="I157" s="250" t="s">
        <v>1252</v>
      </c>
      <c r="J157" s="174" t="s">
        <v>1373</v>
      </c>
      <c r="K157" s="142"/>
      <c r="L157" s="96" t="s">
        <v>33</v>
      </c>
      <c r="M157" s="91" t="s">
        <v>18</v>
      </c>
      <c r="N157" s="91"/>
      <c r="O157" s="91"/>
      <c r="P157" s="91"/>
      <c r="Q157" s="91"/>
      <c r="R157" s="264" t="s">
        <v>58</v>
      </c>
      <c r="S157" s="91" t="s">
        <v>7</v>
      </c>
      <c r="T157" s="97">
        <v>45780</v>
      </c>
      <c r="U157" s="145" t="s">
        <v>23</v>
      </c>
      <c r="V157" s="18"/>
      <c r="W157" s="145" t="s">
        <v>1210</v>
      </c>
      <c r="X157" s="128"/>
    </row>
    <row r="158" spans="1:24" ht="36.75" customHeight="1" x14ac:dyDescent="0.25">
      <c r="A158" s="184">
        <v>202</v>
      </c>
      <c r="B158" s="91" t="s">
        <v>1253</v>
      </c>
      <c r="C158" s="91" t="s">
        <v>8</v>
      </c>
      <c r="D158" s="18" t="s">
        <v>522</v>
      </c>
      <c r="E158" s="91"/>
      <c r="F158" s="147" t="s">
        <v>1207</v>
      </c>
      <c r="G158" s="91" t="s">
        <v>183</v>
      </c>
      <c r="H158" s="92" t="s">
        <v>1254</v>
      </c>
      <c r="I158" s="250" t="s">
        <v>1255</v>
      </c>
      <c r="J158" s="174" t="s">
        <v>1373</v>
      </c>
      <c r="K158" s="142"/>
      <c r="L158" s="96" t="s">
        <v>33</v>
      </c>
      <c r="M158" s="91" t="s">
        <v>524</v>
      </c>
      <c r="N158" s="91"/>
      <c r="O158" s="91"/>
      <c r="P158" s="91"/>
      <c r="Q158" s="91"/>
      <c r="R158" s="264" t="s">
        <v>58</v>
      </c>
      <c r="S158" s="91" t="s">
        <v>7</v>
      </c>
      <c r="T158" s="97">
        <v>45780</v>
      </c>
      <c r="U158" s="145" t="s">
        <v>23</v>
      </c>
      <c r="V158" s="18"/>
      <c r="W158" s="145" t="s">
        <v>1210</v>
      </c>
      <c r="X158" s="128"/>
    </row>
    <row r="159" spans="1:24" ht="36.75" customHeight="1" x14ac:dyDescent="0.25">
      <c r="A159" s="184">
        <v>203</v>
      </c>
      <c r="B159" s="91" t="s">
        <v>1256</v>
      </c>
      <c r="C159" s="91" t="s">
        <v>8</v>
      </c>
      <c r="D159" s="18" t="s">
        <v>522</v>
      </c>
      <c r="E159" s="91"/>
      <c r="F159" s="147" t="s">
        <v>1207</v>
      </c>
      <c r="G159" s="91" t="s">
        <v>183</v>
      </c>
      <c r="H159" s="92" t="s">
        <v>1257</v>
      </c>
      <c r="I159" s="250" t="s">
        <v>1258</v>
      </c>
      <c r="J159" s="174" t="s">
        <v>1373</v>
      </c>
      <c r="K159" s="142"/>
      <c r="L159" s="96" t="s">
        <v>33</v>
      </c>
      <c r="M159" s="91" t="s">
        <v>524</v>
      </c>
      <c r="N159" s="91"/>
      <c r="O159" s="91"/>
      <c r="P159" s="91"/>
      <c r="Q159" s="91"/>
      <c r="R159" s="264" t="s">
        <v>58</v>
      </c>
      <c r="S159" s="91" t="s">
        <v>7</v>
      </c>
      <c r="T159" s="97">
        <v>45780</v>
      </c>
      <c r="U159" s="145" t="s">
        <v>23</v>
      </c>
      <c r="V159" s="18"/>
      <c r="W159" s="145" t="s">
        <v>1210</v>
      </c>
      <c r="X159" s="128"/>
    </row>
    <row r="160" spans="1:24" ht="36.75" customHeight="1" x14ac:dyDescent="0.25">
      <c r="A160" s="184">
        <v>204</v>
      </c>
      <c r="B160" s="91" t="s">
        <v>1259</v>
      </c>
      <c r="C160" s="91" t="s">
        <v>8</v>
      </c>
      <c r="D160" s="18" t="s">
        <v>522</v>
      </c>
      <c r="E160" s="91"/>
      <c r="F160" s="147" t="s">
        <v>1207</v>
      </c>
      <c r="G160" s="91" t="s">
        <v>183</v>
      </c>
      <c r="H160" s="92" t="s">
        <v>1260</v>
      </c>
      <c r="I160" s="250" t="s">
        <v>1261</v>
      </c>
      <c r="J160" s="146" t="s">
        <v>1262</v>
      </c>
      <c r="K160" s="142"/>
      <c r="L160" s="96" t="s">
        <v>33</v>
      </c>
      <c r="M160" s="91" t="s">
        <v>524</v>
      </c>
      <c r="N160" s="91" t="s">
        <v>523</v>
      </c>
      <c r="O160" s="91" t="s">
        <v>6</v>
      </c>
      <c r="P160" s="91" t="s">
        <v>527</v>
      </c>
      <c r="Q160" s="91"/>
      <c r="R160" s="264" t="s">
        <v>58</v>
      </c>
      <c r="S160" s="91" t="s">
        <v>7</v>
      </c>
      <c r="T160" s="97">
        <v>45780</v>
      </c>
      <c r="U160" s="145" t="s">
        <v>23</v>
      </c>
      <c r="V160" s="18"/>
      <c r="W160" s="145" t="s">
        <v>1210</v>
      </c>
      <c r="X160" s="128"/>
    </row>
    <row r="161" spans="1:24" ht="36.75" customHeight="1" x14ac:dyDescent="0.25">
      <c r="A161" s="184">
        <v>205</v>
      </c>
      <c r="B161" s="91" t="s">
        <v>1263</v>
      </c>
      <c r="C161" s="91" t="s">
        <v>8</v>
      </c>
      <c r="D161" s="18" t="s">
        <v>522</v>
      </c>
      <c r="E161" s="91"/>
      <c r="F161" s="147" t="s">
        <v>1207</v>
      </c>
      <c r="G161" s="91" t="s">
        <v>183</v>
      </c>
      <c r="H161" s="92" t="s">
        <v>1264</v>
      </c>
      <c r="I161" s="250" t="s">
        <v>1265</v>
      </c>
      <c r="J161" s="174" t="s">
        <v>1373</v>
      </c>
      <c r="K161" s="142"/>
      <c r="L161" s="96" t="s">
        <v>33</v>
      </c>
      <c r="M161" s="91" t="s">
        <v>524</v>
      </c>
      <c r="N161" s="91" t="s">
        <v>523</v>
      </c>
      <c r="O161" s="91" t="s">
        <v>6</v>
      </c>
      <c r="P161" s="91" t="s">
        <v>527</v>
      </c>
      <c r="Q161" s="91"/>
      <c r="R161" s="264" t="s">
        <v>58</v>
      </c>
      <c r="S161" s="91" t="s">
        <v>7</v>
      </c>
      <c r="T161" s="97">
        <v>45780</v>
      </c>
      <c r="U161" s="145" t="s">
        <v>23</v>
      </c>
      <c r="V161" s="18"/>
      <c r="W161" s="145" t="s">
        <v>1210</v>
      </c>
      <c r="X161" s="128"/>
    </row>
    <row r="162" spans="1:24" ht="36.75" customHeight="1" x14ac:dyDescent="0.25">
      <c r="A162" s="184">
        <v>206</v>
      </c>
      <c r="B162" s="91" t="s">
        <v>1266</v>
      </c>
      <c r="C162" s="91" t="s">
        <v>8</v>
      </c>
      <c r="D162" s="18" t="s">
        <v>522</v>
      </c>
      <c r="E162" s="91"/>
      <c r="F162" s="147" t="s">
        <v>1207</v>
      </c>
      <c r="G162" s="91" t="s">
        <v>183</v>
      </c>
      <c r="H162" s="92" t="s">
        <v>1267</v>
      </c>
      <c r="I162" s="250" t="s">
        <v>1268</v>
      </c>
      <c r="J162" s="174" t="s">
        <v>1373</v>
      </c>
      <c r="K162" s="142"/>
      <c r="L162" s="96" t="s">
        <v>33</v>
      </c>
      <c r="M162" s="91" t="s">
        <v>524</v>
      </c>
      <c r="N162" s="91" t="s">
        <v>523</v>
      </c>
      <c r="O162" s="91"/>
      <c r="P162" s="91"/>
      <c r="Q162" s="91"/>
      <c r="R162" s="264" t="s">
        <v>58</v>
      </c>
      <c r="S162" s="91" t="s">
        <v>7</v>
      </c>
      <c r="T162" s="97">
        <v>45780</v>
      </c>
      <c r="U162" s="145" t="s">
        <v>23</v>
      </c>
      <c r="V162" s="18"/>
      <c r="W162" s="145" t="s">
        <v>1210</v>
      </c>
      <c r="X162" s="128"/>
    </row>
    <row r="163" spans="1:24" ht="36.75" customHeight="1" x14ac:dyDescent="0.25">
      <c r="A163" s="184">
        <v>207</v>
      </c>
      <c r="B163" s="91" t="s">
        <v>1269</v>
      </c>
      <c r="C163" s="91" t="s">
        <v>8</v>
      </c>
      <c r="D163" s="18" t="s">
        <v>531</v>
      </c>
      <c r="E163" s="91"/>
      <c r="F163" s="147" t="s">
        <v>1207</v>
      </c>
      <c r="G163" s="91" t="s">
        <v>183</v>
      </c>
      <c r="H163" s="92" t="s">
        <v>1270</v>
      </c>
      <c r="I163" s="250" t="s">
        <v>1271</v>
      </c>
      <c r="J163" s="146" t="s">
        <v>1272</v>
      </c>
      <c r="K163" s="142"/>
      <c r="L163" s="96" t="s">
        <v>33</v>
      </c>
      <c r="M163" s="91" t="s">
        <v>6</v>
      </c>
      <c r="N163" s="91" t="s">
        <v>18</v>
      </c>
      <c r="O163" s="91"/>
      <c r="P163" s="91"/>
      <c r="Q163" s="91"/>
      <c r="R163" s="264" t="s">
        <v>58</v>
      </c>
      <c r="S163" s="91" t="s">
        <v>7</v>
      </c>
      <c r="T163" s="97">
        <v>45780</v>
      </c>
      <c r="U163" s="145" t="s">
        <v>23</v>
      </c>
      <c r="V163" s="18"/>
      <c r="W163" s="145" t="s">
        <v>1210</v>
      </c>
      <c r="X163" s="128"/>
    </row>
    <row r="164" spans="1:24" ht="36.75" customHeight="1" x14ac:dyDescent="0.25">
      <c r="A164" s="184">
        <v>208</v>
      </c>
      <c r="B164" s="91" t="s">
        <v>1273</v>
      </c>
      <c r="C164" s="91" t="s">
        <v>8</v>
      </c>
      <c r="D164" s="91" t="s">
        <v>534</v>
      </c>
      <c r="E164" s="91"/>
      <c r="F164" s="147" t="s">
        <v>1207</v>
      </c>
      <c r="G164" s="91" t="s">
        <v>183</v>
      </c>
      <c r="H164" s="92" t="s">
        <v>1274</v>
      </c>
      <c r="I164" s="250" t="s">
        <v>1275</v>
      </c>
      <c r="J164" s="146" t="s">
        <v>1272</v>
      </c>
      <c r="K164" s="142"/>
      <c r="L164" s="96" t="s">
        <v>33</v>
      </c>
      <c r="M164" s="91" t="s">
        <v>6</v>
      </c>
      <c r="N164" s="91" t="s">
        <v>18</v>
      </c>
      <c r="O164" s="91"/>
      <c r="P164" s="91"/>
      <c r="Q164" s="91"/>
      <c r="R164" s="264" t="s">
        <v>58</v>
      </c>
      <c r="S164" s="91" t="s">
        <v>7</v>
      </c>
      <c r="T164" s="97">
        <v>45780</v>
      </c>
      <c r="U164" s="145" t="s">
        <v>23</v>
      </c>
      <c r="V164" s="18"/>
      <c r="W164" s="145" t="s">
        <v>1210</v>
      </c>
      <c r="X164" s="128"/>
    </row>
    <row r="165" spans="1:24" ht="36.75" customHeight="1" x14ac:dyDescent="0.25">
      <c r="A165" s="184">
        <v>209</v>
      </c>
      <c r="B165" s="91" t="s">
        <v>1276</v>
      </c>
      <c r="C165" s="91" t="s">
        <v>8</v>
      </c>
      <c r="D165" s="91" t="s">
        <v>534</v>
      </c>
      <c r="E165" s="91"/>
      <c r="F165" s="147" t="s">
        <v>1207</v>
      </c>
      <c r="G165" s="91" t="s">
        <v>183</v>
      </c>
      <c r="H165" s="92" t="s">
        <v>1277</v>
      </c>
      <c r="I165" s="250" t="s">
        <v>1278</v>
      </c>
      <c r="J165" s="146" t="s">
        <v>1272</v>
      </c>
      <c r="K165" s="142"/>
      <c r="L165" s="96" t="s">
        <v>33</v>
      </c>
      <c r="M165" s="91" t="s">
        <v>6</v>
      </c>
      <c r="N165" s="91" t="s">
        <v>18</v>
      </c>
      <c r="O165" s="91"/>
      <c r="P165" s="91"/>
      <c r="Q165" s="91"/>
      <c r="R165" s="264" t="s">
        <v>58</v>
      </c>
      <c r="S165" s="91" t="s">
        <v>7</v>
      </c>
      <c r="T165" s="97">
        <v>45780</v>
      </c>
      <c r="U165" s="145" t="s">
        <v>23</v>
      </c>
      <c r="V165" s="18"/>
      <c r="W165" s="145" t="s">
        <v>1210</v>
      </c>
      <c r="X165" s="128"/>
    </row>
    <row r="166" spans="1:24" ht="36.75" customHeight="1" x14ac:dyDescent="0.25">
      <c r="A166" s="184">
        <v>210</v>
      </c>
      <c r="B166" s="91" t="s">
        <v>1279</v>
      </c>
      <c r="C166" s="91" t="s">
        <v>8</v>
      </c>
      <c r="D166" s="91" t="s">
        <v>534</v>
      </c>
      <c r="E166" s="91"/>
      <c r="F166" s="147" t="s">
        <v>1207</v>
      </c>
      <c r="G166" s="91" t="s">
        <v>183</v>
      </c>
      <c r="H166" s="92" t="s">
        <v>1280</v>
      </c>
      <c r="I166" s="250" t="s">
        <v>1281</v>
      </c>
      <c r="J166" s="146" t="s">
        <v>1272</v>
      </c>
      <c r="K166" s="142"/>
      <c r="L166" s="96" t="s">
        <v>33</v>
      </c>
      <c r="M166" s="91" t="s">
        <v>6</v>
      </c>
      <c r="N166" s="91" t="s">
        <v>18</v>
      </c>
      <c r="O166" s="91"/>
      <c r="P166" s="91"/>
      <c r="Q166" s="91"/>
      <c r="R166" s="264" t="s">
        <v>58</v>
      </c>
      <c r="S166" s="91" t="s">
        <v>7</v>
      </c>
      <c r="T166" s="97">
        <v>45780</v>
      </c>
      <c r="U166" s="145" t="s">
        <v>23</v>
      </c>
      <c r="V166" s="18"/>
      <c r="W166" s="145" t="s">
        <v>1210</v>
      </c>
      <c r="X166" s="128"/>
    </row>
    <row r="167" spans="1:24" ht="36.75" customHeight="1" x14ac:dyDescent="0.25">
      <c r="A167" s="184">
        <v>211</v>
      </c>
      <c r="B167" s="91" t="s">
        <v>1282</v>
      </c>
      <c r="C167" s="91" t="s">
        <v>8</v>
      </c>
      <c r="D167" s="18" t="s">
        <v>531</v>
      </c>
      <c r="E167" s="91"/>
      <c r="F167" s="147" t="s">
        <v>1207</v>
      </c>
      <c r="G167" s="91" t="s">
        <v>183</v>
      </c>
      <c r="H167" s="92" t="s">
        <v>1283</v>
      </c>
      <c r="I167" s="250" t="s">
        <v>1284</v>
      </c>
      <c r="J167" s="146" t="s">
        <v>1272</v>
      </c>
      <c r="K167" s="142"/>
      <c r="L167" s="96" t="s">
        <v>33</v>
      </c>
      <c r="M167" s="91" t="s">
        <v>6</v>
      </c>
      <c r="N167" s="91" t="s">
        <v>18</v>
      </c>
      <c r="O167" s="91"/>
      <c r="P167" s="91"/>
      <c r="Q167" s="91"/>
      <c r="R167" s="264" t="s">
        <v>58</v>
      </c>
      <c r="S167" s="91" t="s">
        <v>7</v>
      </c>
      <c r="T167" s="97">
        <v>45780</v>
      </c>
      <c r="U167" s="145" t="s">
        <v>23</v>
      </c>
      <c r="V167" s="18"/>
      <c r="W167" s="145" t="s">
        <v>1210</v>
      </c>
      <c r="X167" s="128"/>
    </row>
    <row r="168" spans="1:24" ht="36.75" customHeight="1" x14ac:dyDescent="0.25">
      <c r="A168" s="184">
        <v>212</v>
      </c>
      <c r="B168" s="91" t="s">
        <v>1285</v>
      </c>
      <c r="C168" s="91" t="s">
        <v>8</v>
      </c>
      <c r="D168" s="91" t="s">
        <v>370</v>
      </c>
      <c r="E168" s="91"/>
      <c r="F168" s="147" t="s">
        <v>1286</v>
      </c>
      <c r="G168" s="91" t="s">
        <v>189</v>
      </c>
      <c r="H168" s="92" t="s">
        <v>1287</v>
      </c>
      <c r="I168" s="250" t="s">
        <v>1288</v>
      </c>
      <c r="J168" s="146" t="s">
        <v>1289</v>
      </c>
      <c r="K168" s="142"/>
      <c r="L168" s="96" t="s">
        <v>33</v>
      </c>
      <c r="M168" s="91" t="s">
        <v>6</v>
      </c>
      <c r="N168" s="91" t="s">
        <v>18</v>
      </c>
      <c r="O168" s="91"/>
      <c r="P168" s="91"/>
      <c r="Q168" s="91"/>
      <c r="R168" s="264" t="s">
        <v>58</v>
      </c>
      <c r="S168" s="91" t="s">
        <v>7</v>
      </c>
      <c r="T168" s="97">
        <v>45780</v>
      </c>
      <c r="U168" s="145" t="s">
        <v>23</v>
      </c>
      <c r="V168" s="18"/>
      <c r="W168" s="145" t="s">
        <v>1210</v>
      </c>
      <c r="X168" s="128"/>
    </row>
    <row r="169" spans="1:24" ht="36.75" customHeight="1" x14ac:dyDescent="0.25">
      <c r="A169" s="186">
        <v>213</v>
      </c>
      <c r="B169" s="149" t="s">
        <v>1290</v>
      </c>
      <c r="C169" s="149" t="s">
        <v>8</v>
      </c>
      <c r="D169" s="149" t="s">
        <v>529</v>
      </c>
      <c r="E169" s="150" t="s">
        <v>538</v>
      </c>
      <c r="F169" s="151">
        <v>2025</v>
      </c>
      <c r="G169" s="149" t="s">
        <v>187</v>
      </c>
      <c r="H169" s="152" t="s">
        <v>1291</v>
      </c>
      <c r="I169" s="252" t="s">
        <v>1292</v>
      </c>
      <c r="J169" s="154" t="s">
        <v>1293</v>
      </c>
      <c r="K169" s="155"/>
      <c r="L169" s="156" t="s">
        <v>33</v>
      </c>
      <c r="M169" s="150" t="s">
        <v>523</v>
      </c>
      <c r="N169" s="150" t="s">
        <v>524</v>
      </c>
      <c r="O169" s="150"/>
      <c r="P169" s="150"/>
      <c r="Q169" s="150"/>
      <c r="R169" s="41" t="s">
        <v>58</v>
      </c>
      <c r="S169" s="150" t="s">
        <v>7</v>
      </c>
      <c r="T169" s="157">
        <v>45780</v>
      </c>
      <c r="U169" s="158" t="s">
        <v>23</v>
      </c>
      <c r="V169" s="41"/>
      <c r="W169" s="158" t="s">
        <v>1210</v>
      </c>
      <c r="X169" s="159"/>
    </row>
    <row r="170" spans="1:24" ht="36.75" customHeight="1" x14ac:dyDescent="0.25">
      <c r="A170" s="187">
        <v>214</v>
      </c>
      <c r="B170" s="91" t="s">
        <v>1323</v>
      </c>
      <c r="C170" s="91" t="s">
        <v>8</v>
      </c>
      <c r="D170" s="91" t="s">
        <v>538</v>
      </c>
      <c r="E170" s="91"/>
      <c r="F170" s="91">
        <v>2025</v>
      </c>
      <c r="G170" s="91" t="s">
        <v>183</v>
      </c>
      <c r="H170" s="160" t="s">
        <v>1324</v>
      </c>
      <c r="I170" s="253" t="s">
        <v>1325</v>
      </c>
      <c r="J170" s="174" t="s">
        <v>1373</v>
      </c>
      <c r="K170" s="161"/>
      <c r="L170" s="91" t="s">
        <v>33</v>
      </c>
      <c r="M170" s="91" t="s">
        <v>523</v>
      </c>
      <c r="N170" s="91" t="s">
        <v>527</v>
      </c>
      <c r="O170" s="91" t="s">
        <v>18</v>
      </c>
      <c r="P170" s="91"/>
      <c r="Q170" s="91"/>
      <c r="R170" s="106" t="s">
        <v>568</v>
      </c>
      <c r="S170" s="91" t="s">
        <v>7</v>
      </c>
      <c r="T170" s="162">
        <v>45909</v>
      </c>
      <c r="U170" s="106" t="s">
        <v>207</v>
      </c>
      <c r="V170" s="106"/>
      <c r="W170" s="106" t="s">
        <v>1326</v>
      </c>
    </row>
    <row r="171" spans="1:24" ht="36.75" customHeight="1" x14ac:dyDescent="0.25">
      <c r="A171" s="187">
        <v>215</v>
      </c>
      <c r="B171" s="91" t="s">
        <v>1327</v>
      </c>
      <c r="C171" s="91" t="s">
        <v>8</v>
      </c>
      <c r="D171" s="91" t="s">
        <v>534</v>
      </c>
      <c r="E171" s="91"/>
      <c r="F171" s="91">
        <v>2025</v>
      </c>
      <c r="G171" s="91" t="s">
        <v>183</v>
      </c>
      <c r="H171" s="160" t="s">
        <v>1328</v>
      </c>
      <c r="I171" s="253" t="s">
        <v>1329</v>
      </c>
      <c r="J171" s="174" t="s">
        <v>1373</v>
      </c>
      <c r="K171" s="161"/>
      <c r="L171" s="91" t="s">
        <v>33</v>
      </c>
      <c r="M171" s="91" t="s">
        <v>523</v>
      </c>
      <c r="N171" s="91" t="s">
        <v>18</v>
      </c>
      <c r="O171" s="91" t="s">
        <v>6</v>
      </c>
      <c r="P171" s="91"/>
      <c r="Q171" s="91"/>
      <c r="R171" s="106" t="s">
        <v>568</v>
      </c>
      <c r="S171" s="91" t="s">
        <v>7</v>
      </c>
      <c r="T171" s="162">
        <v>45909</v>
      </c>
      <c r="U171" s="106" t="s">
        <v>207</v>
      </c>
      <c r="V171" s="106"/>
      <c r="W171" s="106" t="s">
        <v>1326</v>
      </c>
    </row>
    <row r="172" spans="1:24" ht="36.75" customHeight="1" x14ac:dyDescent="0.25">
      <c r="A172" s="187">
        <v>216</v>
      </c>
      <c r="B172" s="91" t="s">
        <v>1330</v>
      </c>
      <c r="C172" s="91" t="s">
        <v>8</v>
      </c>
      <c r="D172" s="30" t="s">
        <v>531</v>
      </c>
      <c r="E172" s="91" t="s">
        <v>365</v>
      </c>
      <c r="F172" s="91">
        <v>2025</v>
      </c>
      <c r="G172" s="91" t="s">
        <v>134</v>
      </c>
      <c r="H172" s="160" t="s">
        <v>1331</v>
      </c>
      <c r="I172" s="253" t="s">
        <v>1332</v>
      </c>
      <c r="J172" s="174" t="s">
        <v>1373</v>
      </c>
      <c r="K172" s="161"/>
      <c r="L172" s="91" t="s">
        <v>33</v>
      </c>
      <c r="M172" s="91" t="s">
        <v>18</v>
      </c>
      <c r="N172" s="91" t="s">
        <v>6</v>
      </c>
      <c r="O172" s="91" t="s">
        <v>523</v>
      </c>
      <c r="P172" s="91"/>
      <c r="Q172" s="91"/>
      <c r="R172" s="18" t="s">
        <v>707</v>
      </c>
      <c r="S172" s="91" t="s">
        <v>7</v>
      </c>
      <c r="T172" s="162">
        <v>45943</v>
      </c>
      <c r="U172" s="110" t="s">
        <v>207</v>
      </c>
      <c r="V172" s="106"/>
      <c r="W172" s="106" t="s">
        <v>1326</v>
      </c>
    </row>
    <row r="173" spans="1:24" ht="36.75" customHeight="1" x14ac:dyDescent="0.25">
      <c r="A173" s="187">
        <v>217</v>
      </c>
      <c r="B173" s="91" t="s">
        <v>1333</v>
      </c>
      <c r="C173" s="91" t="s">
        <v>8</v>
      </c>
      <c r="D173" s="91" t="s">
        <v>534</v>
      </c>
      <c r="E173" s="91"/>
      <c r="F173" s="91">
        <v>2025</v>
      </c>
      <c r="G173" s="91" t="s">
        <v>134</v>
      </c>
      <c r="H173" s="160" t="s">
        <v>1334</v>
      </c>
      <c r="I173" s="253" t="s">
        <v>1335</v>
      </c>
      <c r="J173" s="174" t="s">
        <v>1373</v>
      </c>
      <c r="K173" s="161"/>
      <c r="L173" s="91" t="s">
        <v>33</v>
      </c>
      <c r="M173" s="91" t="s">
        <v>18</v>
      </c>
      <c r="N173" s="91" t="s">
        <v>523</v>
      </c>
      <c r="O173" s="91" t="s">
        <v>6</v>
      </c>
      <c r="P173" s="91"/>
      <c r="Q173" s="91"/>
      <c r="R173" s="18" t="s">
        <v>707</v>
      </c>
      <c r="S173" s="91" t="s">
        <v>7</v>
      </c>
      <c r="T173" s="162">
        <v>45943</v>
      </c>
      <c r="U173" s="110" t="s">
        <v>207</v>
      </c>
      <c r="V173" s="106"/>
      <c r="W173" s="106" t="s">
        <v>1326</v>
      </c>
    </row>
    <row r="174" spans="1:24" ht="36.75" customHeight="1" x14ac:dyDescent="0.25">
      <c r="A174" s="187">
        <v>218</v>
      </c>
      <c r="B174" s="91" t="s">
        <v>1336</v>
      </c>
      <c r="C174" s="91" t="s">
        <v>8</v>
      </c>
      <c r="D174" s="91" t="s">
        <v>538</v>
      </c>
      <c r="E174" s="91"/>
      <c r="F174" s="91">
        <v>2025</v>
      </c>
      <c r="G174" s="91" t="s">
        <v>134</v>
      </c>
      <c r="H174" s="160" t="s">
        <v>1337</v>
      </c>
      <c r="I174" s="253" t="s">
        <v>1338</v>
      </c>
      <c r="J174" s="174" t="s">
        <v>1373</v>
      </c>
      <c r="K174" s="161"/>
      <c r="L174" s="91" t="s">
        <v>33</v>
      </c>
      <c r="M174" s="91" t="s">
        <v>18</v>
      </c>
      <c r="N174" s="91" t="s">
        <v>523</v>
      </c>
      <c r="O174" s="91" t="s">
        <v>6</v>
      </c>
      <c r="P174" s="91" t="s">
        <v>527</v>
      </c>
      <c r="Q174" s="91"/>
      <c r="R174" s="18" t="s">
        <v>707</v>
      </c>
      <c r="S174" s="91" t="s">
        <v>7</v>
      </c>
      <c r="T174" s="162">
        <v>45943</v>
      </c>
      <c r="U174" s="110" t="s">
        <v>207</v>
      </c>
      <c r="V174" s="106"/>
      <c r="W174" s="106" t="s">
        <v>1326</v>
      </c>
    </row>
    <row r="175" spans="1:24" ht="36.75" customHeight="1" x14ac:dyDescent="0.25">
      <c r="A175" s="187">
        <v>219</v>
      </c>
      <c r="B175" s="150" t="s">
        <v>1339</v>
      </c>
      <c r="C175" s="150" t="s">
        <v>8</v>
      </c>
      <c r="D175" s="150" t="s">
        <v>538</v>
      </c>
      <c r="E175" s="150"/>
      <c r="F175" s="150">
        <v>2025</v>
      </c>
      <c r="G175" s="150" t="s">
        <v>134</v>
      </c>
      <c r="H175" s="163" t="s">
        <v>1340</v>
      </c>
      <c r="I175" s="254" t="s">
        <v>1341</v>
      </c>
      <c r="J175" s="174" t="s">
        <v>1373</v>
      </c>
      <c r="K175" s="164"/>
      <c r="L175" s="150" t="s">
        <v>33</v>
      </c>
      <c r="M175" s="150" t="s">
        <v>18</v>
      </c>
      <c r="N175" s="150" t="s">
        <v>523</v>
      </c>
      <c r="O175" s="150" t="s">
        <v>6</v>
      </c>
      <c r="P175" s="150" t="s">
        <v>527</v>
      </c>
      <c r="Q175" s="150"/>
      <c r="R175" s="18" t="s">
        <v>707</v>
      </c>
      <c r="S175" s="150" t="s">
        <v>7</v>
      </c>
      <c r="T175" s="166">
        <v>45943</v>
      </c>
      <c r="U175" s="167" t="s">
        <v>207</v>
      </c>
      <c r="V175" s="165"/>
      <c r="W175" s="106" t="s">
        <v>1326</v>
      </c>
    </row>
    <row r="176" spans="1:24" ht="36.75" customHeight="1" x14ac:dyDescent="0.25">
      <c r="A176" s="187">
        <v>220</v>
      </c>
      <c r="B176" s="150" t="s">
        <v>1342</v>
      </c>
      <c r="C176" s="150" t="s">
        <v>8</v>
      </c>
      <c r="D176" s="150" t="s">
        <v>546</v>
      </c>
      <c r="E176" s="150"/>
      <c r="F176" s="150">
        <v>2020</v>
      </c>
      <c r="G176" s="150" t="s">
        <v>416</v>
      </c>
      <c r="H176" s="163" t="s">
        <v>1343</v>
      </c>
      <c r="I176" s="254" t="s">
        <v>1344</v>
      </c>
      <c r="J176" s="168" t="s">
        <v>1345</v>
      </c>
      <c r="K176" s="169" t="s">
        <v>1346</v>
      </c>
      <c r="L176" s="150" t="s">
        <v>33</v>
      </c>
      <c r="M176" s="150" t="s">
        <v>18</v>
      </c>
      <c r="N176" s="150" t="s">
        <v>523</v>
      </c>
      <c r="O176" s="150"/>
      <c r="P176" s="150"/>
      <c r="Q176" s="150"/>
      <c r="R176" s="165" t="s">
        <v>58</v>
      </c>
      <c r="S176" s="150" t="s">
        <v>7</v>
      </c>
      <c r="T176" s="166">
        <v>45946</v>
      </c>
      <c r="U176" s="167" t="s">
        <v>207</v>
      </c>
      <c r="V176" s="165"/>
      <c r="W176" s="106" t="s">
        <v>1326</v>
      </c>
    </row>
    <row r="177" spans="1:24" ht="36.75" customHeight="1" x14ac:dyDescent="0.25">
      <c r="A177" s="187">
        <v>221</v>
      </c>
      <c r="B177" s="165" t="s">
        <v>1333</v>
      </c>
      <c r="C177" s="165" t="s">
        <v>8</v>
      </c>
      <c r="D177" s="91" t="s">
        <v>534</v>
      </c>
      <c r="E177" s="165"/>
      <c r="F177" s="165">
        <v>2025</v>
      </c>
      <c r="G177" s="165" t="s">
        <v>1347</v>
      </c>
      <c r="H177" s="170" t="s">
        <v>1348</v>
      </c>
      <c r="I177" s="254" t="s">
        <v>1349</v>
      </c>
      <c r="J177" s="171" t="s">
        <v>1350</v>
      </c>
      <c r="K177" s="172" t="s">
        <v>1351</v>
      </c>
      <c r="L177" s="165"/>
      <c r="M177" s="165" t="s">
        <v>18</v>
      </c>
      <c r="N177" s="165"/>
      <c r="O177" s="165"/>
      <c r="P177" s="165"/>
      <c r="Q177" s="165"/>
      <c r="R177" s="165" t="s">
        <v>58</v>
      </c>
      <c r="S177" s="165" t="s">
        <v>7</v>
      </c>
      <c r="T177" s="173">
        <v>45946</v>
      </c>
      <c r="U177" s="167" t="s">
        <v>207</v>
      </c>
      <c r="V177" s="165"/>
      <c r="W177" s="106" t="s">
        <v>1326</v>
      </c>
    </row>
    <row r="178" spans="1:24" ht="36.75" customHeight="1" x14ac:dyDescent="0.25">
      <c r="A178" s="187">
        <v>222</v>
      </c>
      <c r="B178" s="150" t="s">
        <v>1352</v>
      </c>
      <c r="C178" s="150" t="s">
        <v>8</v>
      </c>
      <c r="D178" s="150" t="s">
        <v>538</v>
      </c>
      <c r="E178" s="150"/>
      <c r="F178" s="150">
        <v>2010</v>
      </c>
      <c r="G178" s="150" t="s">
        <v>77</v>
      </c>
      <c r="H178" s="163" t="s">
        <v>1353</v>
      </c>
      <c r="I178" s="254" t="s">
        <v>1354</v>
      </c>
      <c r="J178" s="168" t="s">
        <v>1355</v>
      </c>
      <c r="K178" s="164"/>
      <c r="L178" s="150" t="s">
        <v>33</v>
      </c>
      <c r="M178" s="150" t="s">
        <v>18</v>
      </c>
      <c r="N178" s="150" t="s">
        <v>523</v>
      </c>
      <c r="O178" s="150"/>
      <c r="P178" s="150"/>
      <c r="Q178" s="150"/>
      <c r="R178" s="165" t="s">
        <v>58</v>
      </c>
      <c r="S178" s="150" t="s">
        <v>7</v>
      </c>
      <c r="T178" s="166">
        <v>45946</v>
      </c>
      <c r="U178" s="167" t="s">
        <v>207</v>
      </c>
      <c r="V178" s="165"/>
      <c r="W178" s="106" t="s">
        <v>1326</v>
      </c>
    </row>
    <row r="179" spans="1:24" ht="36.75" customHeight="1" x14ac:dyDescent="0.25">
      <c r="A179" s="187">
        <v>223</v>
      </c>
      <c r="B179" s="150" t="s">
        <v>1356</v>
      </c>
      <c r="C179" s="150" t="s">
        <v>60</v>
      </c>
      <c r="D179" s="91" t="s">
        <v>534</v>
      </c>
      <c r="E179" s="150"/>
      <c r="F179" s="150">
        <v>2021</v>
      </c>
      <c r="G179" s="150" t="s">
        <v>77</v>
      </c>
      <c r="H179" s="163" t="s">
        <v>1357</v>
      </c>
      <c r="I179" s="254" t="s">
        <v>1358</v>
      </c>
      <c r="J179" s="168" t="s">
        <v>1359</v>
      </c>
      <c r="K179" s="164"/>
      <c r="L179" s="150" t="s">
        <v>33</v>
      </c>
      <c r="M179" s="150" t="s">
        <v>523</v>
      </c>
      <c r="N179" s="150" t="s">
        <v>18</v>
      </c>
      <c r="O179" s="150"/>
      <c r="P179" s="150"/>
      <c r="Q179" s="150"/>
      <c r="R179" s="165" t="s">
        <v>58</v>
      </c>
      <c r="S179" s="150" t="s">
        <v>7</v>
      </c>
      <c r="T179" s="166">
        <v>45946</v>
      </c>
      <c r="U179" s="167" t="s">
        <v>207</v>
      </c>
      <c r="V179" s="165"/>
      <c r="W179" s="106" t="s">
        <v>1326</v>
      </c>
    </row>
    <row r="180" spans="1:24" ht="36.75" customHeight="1" x14ac:dyDescent="0.25">
      <c r="A180" s="187">
        <v>224</v>
      </c>
      <c r="B180" s="150" t="s">
        <v>1360</v>
      </c>
      <c r="C180" s="150" t="s">
        <v>60</v>
      </c>
      <c r="D180" s="150" t="s">
        <v>538</v>
      </c>
      <c r="E180" s="150"/>
      <c r="F180" s="150">
        <v>2013</v>
      </c>
      <c r="G180" s="150" t="s">
        <v>77</v>
      </c>
      <c r="H180" s="163" t="s">
        <v>1361</v>
      </c>
      <c r="I180" s="254" t="s">
        <v>1362</v>
      </c>
      <c r="J180" s="168" t="s">
        <v>1363</v>
      </c>
      <c r="K180" s="164"/>
      <c r="L180" s="150" t="s">
        <v>33</v>
      </c>
      <c r="M180" s="150" t="s">
        <v>18</v>
      </c>
      <c r="N180" s="150" t="s">
        <v>523</v>
      </c>
      <c r="O180" s="150"/>
      <c r="P180" s="150"/>
      <c r="Q180" s="150"/>
      <c r="R180" s="165" t="s">
        <v>58</v>
      </c>
      <c r="S180" s="150" t="s">
        <v>7</v>
      </c>
      <c r="T180" s="166">
        <v>45946</v>
      </c>
      <c r="U180" s="167" t="s">
        <v>207</v>
      </c>
      <c r="V180" s="165"/>
      <c r="W180" s="106" t="s">
        <v>1326</v>
      </c>
    </row>
    <row r="181" spans="1:24" ht="36.75" customHeight="1" x14ac:dyDescent="0.25">
      <c r="A181" s="187">
        <v>225</v>
      </c>
      <c r="B181" s="150" t="s">
        <v>1364</v>
      </c>
      <c r="C181" s="150" t="s">
        <v>60</v>
      </c>
      <c r="D181" s="150" t="s">
        <v>538</v>
      </c>
      <c r="E181" s="150"/>
      <c r="F181" s="150">
        <v>2025</v>
      </c>
      <c r="G181" s="150" t="s">
        <v>77</v>
      </c>
      <c r="H181" s="163" t="s">
        <v>1365</v>
      </c>
      <c r="I181" s="254" t="s">
        <v>1366</v>
      </c>
      <c r="J181" s="168" t="s">
        <v>1367</v>
      </c>
      <c r="K181" s="164"/>
      <c r="L181" s="150" t="s">
        <v>33</v>
      </c>
      <c r="M181" s="150" t="s">
        <v>524</v>
      </c>
      <c r="N181" s="150" t="s">
        <v>523</v>
      </c>
      <c r="O181" s="150" t="s">
        <v>527</v>
      </c>
      <c r="P181" s="150" t="s">
        <v>18</v>
      </c>
      <c r="Q181" s="150"/>
      <c r="R181" s="165" t="s">
        <v>58</v>
      </c>
      <c r="S181" s="150" t="s">
        <v>7</v>
      </c>
      <c r="T181" s="166">
        <v>45946</v>
      </c>
      <c r="U181" s="167" t="s">
        <v>207</v>
      </c>
      <c r="V181" s="165"/>
      <c r="W181" s="106" t="s">
        <v>1326</v>
      </c>
    </row>
    <row r="182" spans="1:24" ht="36.75" customHeight="1" x14ac:dyDescent="0.25">
      <c r="A182" s="187">
        <v>226</v>
      </c>
      <c r="B182" s="91" t="s">
        <v>1374</v>
      </c>
      <c r="C182" s="91" t="s">
        <v>8</v>
      </c>
      <c r="D182" s="91" t="s">
        <v>534</v>
      </c>
      <c r="E182" s="91"/>
      <c r="F182" s="93" t="s">
        <v>1371</v>
      </c>
      <c r="G182" s="150" t="s">
        <v>191</v>
      </c>
      <c r="H182" s="163" t="s">
        <v>1375</v>
      </c>
      <c r="I182" s="250" t="s">
        <v>1382</v>
      </c>
      <c r="J182" s="96" t="s">
        <v>1376</v>
      </c>
      <c r="K182" s="142"/>
      <c r="L182" s="91" t="s">
        <v>33</v>
      </c>
      <c r="M182" s="91" t="s">
        <v>524</v>
      </c>
      <c r="N182" s="91" t="s">
        <v>523</v>
      </c>
      <c r="O182" s="91"/>
      <c r="P182" s="91"/>
      <c r="Q182" s="91"/>
      <c r="R182" s="18" t="s">
        <v>568</v>
      </c>
      <c r="S182" s="91" t="s">
        <v>7</v>
      </c>
      <c r="T182" s="166">
        <v>45994</v>
      </c>
      <c r="U182" s="97" t="s">
        <v>1377</v>
      </c>
      <c r="V182" s="18"/>
      <c r="W182" s="106" t="s">
        <v>1326</v>
      </c>
    </row>
    <row r="183" spans="1:24" ht="36.75" customHeight="1" x14ac:dyDescent="0.25">
      <c r="A183" s="187">
        <v>227</v>
      </c>
      <c r="B183" s="91" t="s">
        <v>1378</v>
      </c>
      <c r="C183" s="91" t="s">
        <v>8</v>
      </c>
      <c r="D183" s="92" t="s">
        <v>529</v>
      </c>
      <c r="E183" s="91"/>
      <c r="F183" s="93" t="s">
        <v>1371</v>
      </c>
      <c r="G183" s="150" t="s">
        <v>191</v>
      </c>
      <c r="H183" s="163" t="s">
        <v>1379</v>
      </c>
      <c r="I183" s="250" t="s">
        <v>1383</v>
      </c>
      <c r="J183" s="96" t="s">
        <v>1376</v>
      </c>
      <c r="K183" s="142"/>
      <c r="L183" s="91" t="s">
        <v>33</v>
      </c>
      <c r="M183" s="91" t="s">
        <v>523</v>
      </c>
      <c r="N183" s="91"/>
      <c r="O183" s="91"/>
      <c r="P183" s="91"/>
      <c r="Q183" s="91"/>
      <c r="R183" s="18" t="s">
        <v>568</v>
      </c>
      <c r="S183" s="91" t="s">
        <v>7</v>
      </c>
      <c r="T183" s="166">
        <v>45994</v>
      </c>
      <c r="U183" s="97" t="s">
        <v>1377</v>
      </c>
      <c r="V183" s="18"/>
      <c r="W183" s="106" t="s">
        <v>1326</v>
      </c>
    </row>
    <row r="184" spans="1:24" ht="36.75" customHeight="1" x14ac:dyDescent="0.25">
      <c r="A184" s="187">
        <v>228</v>
      </c>
      <c r="B184" s="150" t="s">
        <v>1380</v>
      </c>
      <c r="C184" s="150" t="s">
        <v>8</v>
      </c>
      <c r="D184" s="18" t="s">
        <v>522</v>
      </c>
      <c r="E184" s="150"/>
      <c r="F184" s="153" t="s">
        <v>1371</v>
      </c>
      <c r="G184" s="150" t="s">
        <v>191</v>
      </c>
      <c r="H184" s="163" t="s">
        <v>1381</v>
      </c>
      <c r="I184" s="252" t="s">
        <v>1384</v>
      </c>
      <c r="J184" s="156" t="s">
        <v>1376</v>
      </c>
      <c r="K184" s="155"/>
      <c r="L184" s="150" t="s">
        <v>33</v>
      </c>
      <c r="M184" s="150" t="s">
        <v>523</v>
      </c>
      <c r="N184" s="150"/>
      <c r="O184" s="150"/>
      <c r="P184" s="150"/>
      <c r="Q184" s="150"/>
      <c r="R184" s="41" t="s">
        <v>568</v>
      </c>
      <c r="S184" s="150" t="s">
        <v>7</v>
      </c>
      <c r="T184" s="166">
        <v>45994</v>
      </c>
      <c r="U184" s="157" t="s">
        <v>1377</v>
      </c>
      <c r="V184" s="41"/>
      <c r="W184" s="106" t="s">
        <v>1326</v>
      </c>
    </row>
    <row r="185" spans="1:24" ht="36.75" customHeight="1" x14ac:dyDescent="0.25">
      <c r="A185" s="187">
        <v>229</v>
      </c>
      <c r="B185" s="91" t="s">
        <v>1385</v>
      </c>
      <c r="C185" s="91" t="s">
        <v>8</v>
      </c>
      <c r="D185" s="18" t="s">
        <v>531</v>
      </c>
      <c r="E185" s="91"/>
      <c r="F185" s="91">
        <v>2025</v>
      </c>
      <c r="G185" s="91" t="s">
        <v>77</v>
      </c>
      <c r="H185" s="92" t="s">
        <v>1386</v>
      </c>
      <c r="I185" s="255" t="s">
        <v>1387</v>
      </c>
      <c r="J185" s="146" t="s">
        <v>460</v>
      </c>
      <c r="K185" s="142"/>
      <c r="L185" s="96" t="s">
        <v>33</v>
      </c>
      <c r="M185" s="91" t="s">
        <v>523</v>
      </c>
      <c r="N185" s="91" t="s">
        <v>524</v>
      </c>
      <c r="O185" s="91"/>
      <c r="P185" s="91"/>
      <c r="Q185" s="91"/>
      <c r="R185" s="18" t="s">
        <v>568</v>
      </c>
      <c r="S185" s="176" t="s">
        <v>7</v>
      </c>
      <c r="T185" s="97">
        <v>45946</v>
      </c>
      <c r="U185" s="18" t="s">
        <v>207</v>
      </c>
      <c r="V185" s="18"/>
      <c r="W185" s="106" t="s">
        <v>1326</v>
      </c>
    </row>
    <row r="186" spans="1:24" ht="36.75" customHeight="1" x14ac:dyDescent="0.25">
      <c r="A186" s="187">
        <v>230</v>
      </c>
      <c r="B186" s="150" t="s">
        <v>1388</v>
      </c>
      <c r="C186" s="150" t="s">
        <v>60</v>
      </c>
      <c r="D186" s="150" t="s">
        <v>538</v>
      </c>
      <c r="E186" s="150" t="s">
        <v>522</v>
      </c>
      <c r="F186" s="150">
        <v>2012</v>
      </c>
      <c r="G186" s="150" t="s">
        <v>77</v>
      </c>
      <c r="H186" s="152" t="s">
        <v>1389</v>
      </c>
      <c r="I186" s="256" t="s">
        <v>1390</v>
      </c>
      <c r="J186" s="180" t="s">
        <v>1391</v>
      </c>
      <c r="K186" s="155"/>
      <c r="L186" s="156" t="s">
        <v>33</v>
      </c>
      <c r="M186" s="150" t="s">
        <v>523</v>
      </c>
      <c r="N186" s="150" t="s">
        <v>524</v>
      </c>
      <c r="O186" s="150"/>
      <c r="P186" s="150"/>
      <c r="Q186" s="150"/>
      <c r="R186" s="41" t="s">
        <v>58</v>
      </c>
      <c r="S186" s="177" t="s">
        <v>7</v>
      </c>
      <c r="T186" s="157">
        <v>45977</v>
      </c>
      <c r="U186" s="41" t="s">
        <v>207</v>
      </c>
      <c r="V186" s="41"/>
      <c r="W186" s="106" t="s">
        <v>1326</v>
      </c>
    </row>
    <row r="187" spans="1:24" ht="36.75" customHeight="1" x14ac:dyDescent="0.25">
      <c r="A187" s="90">
        <v>231</v>
      </c>
      <c r="B187" s="91" t="s">
        <v>1712</v>
      </c>
      <c r="C187" s="91" t="s">
        <v>60</v>
      </c>
      <c r="D187" s="91" t="s">
        <v>538</v>
      </c>
      <c r="E187" s="91"/>
      <c r="F187" s="91">
        <v>2018</v>
      </c>
      <c r="G187" s="91" t="s">
        <v>183</v>
      </c>
      <c r="H187" s="92" t="s">
        <v>1713</v>
      </c>
      <c r="I187" s="255" t="s">
        <v>1711</v>
      </c>
      <c r="J187" s="276" t="s">
        <v>1714</v>
      </c>
      <c r="K187" s="277" t="s">
        <v>1715</v>
      </c>
      <c r="L187" s="96" t="s">
        <v>33</v>
      </c>
      <c r="M187" s="91" t="s">
        <v>527</v>
      </c>
      <c r="N187" s="91" t="s">
        <v>523</v>
      </c>
      <c r="O187" s="91"/>
      <c r="P187" s="91"/>
      <c r="Q187" s="91"/>
      <c r="R187" s="18" t="s">
        <v>58</v>
      </c>
      <c r="S187" s="176" t="s">
        <v>7</v>
      </c>
      <c r="T187" s="97">
        <v>46051</v>
      </c>
      <c r="U187" s="18" t="s">
        <v>23</v>
      </c>
      <c r="V187" s="18"/>
      <c r="W187" s="18" t="s">
        <v>1429</v>
      </c>
    </row>
    <row r="188" spans="1:24" ht="225" x14ac:dyDescent="0.25">
      <c r="A188" s="148">
        <v>232</v>
      </c>
      <c r="B188" s="190" t="s">
        <v>1430</v>
      </c>
      <c r="C188" s="150" t="s">
        <v>8</v>
      </c>
      <c r="D188" s="150" t="s">
        <v>538</v>
      </c>
      <c r="E188" s="150" t="s">
        <v>534</v>
      </c>
      <c r="F188" s="150">
        <v>2025</v>
      </c>
      <c r="G188" s="150" t="s">
        <v>1409</v>
      </c>
      <c r="H188" s="152" t="s">
        <v>1411</v>
      </c>
      <c r="I188" s="252" t="s">
        <v>1412</v>
      </c>
      <c r="J188" s="180" t="s">
        <v>1410</v>
      </c>
      <c r="K188" s="155"/>
      <c r="L188" s="156" t="s">
        <v>273</v>
      </c>
      <c r="M188" s="150" t="s">
        <v>523</v>
      </c>
      <c r="N188" s="150" t="s">
        <v>6</v>
      </c>
      <c r="O188" s="150" t="s">
        <v>18</v>
      </c>
      <c r="P188" s="150"/>
      <c r="Q188" s="150"/>
      <c r="R188" s="41" t="s">
        <v>568</v>
      </c>
      <c r="S188" s="150" t="s">
        <v>5</v>
      </c>
      <c r="T188" s="157">
        <v>46001</v>
      </c>
      <c r="U188" s="178" t="s">
        <v>207</v>
      </c>
      <c r="V188" s="41"/>
      <c r="W188" s="41" t="s">
        <v>1429</v>
      </c>
      <c r="X188" s="179"/>
    </row>
    <row r="189" spans="1:24" ht="90" x14ac:dyDescent="0.25">
      <c r="A189" s="90">
        <v>233</v>
      </c>
      <c r="B189" s="190" t="s">
        <v>1431</v>
      </c>
      <c r="C189" s="150" t="s">
        <v>8</v>
      </c>
      <c r="D189" s="150" t="s">
        <v>538</v>
      </c>
      <c r="E189" s="150" t="s">
        <v>522</v>
      </c>
      <c r="F189" s="150">
        <v>2012</v>
      </c>
      <c r="G189" s="150" t="s">
        <v>77</v>
      </c>
      <c r="H189" s="152" t="s">
        <v>1414</v>
      </c>
      <c r="I189" s="252" t="s">
        <v>1415</v>
      </c>
      <c r="J189" s="180" t="s">
        <v>1413</v>
      </c>
      <c r="K189" s="155"/>
      <c r="L189" s="156" t="s">
        <v>33</v>
      </c>
      <c r="M189" s="150" t="s">
        <v>523</v>
      </c>
      <c r="N189" s="150" t="s">
        <v>18</v>
      </c>
      <c r="O189" s="150"/>
      <c r="P189" s="150"/>
      <c r="Q189" s="150"/>
      <c r="R189" s="41" t="s">
        <v>58</v>
      </c>
      <c r="S189" s="150" t="s">
        <v>7</v>
      </c>
      <c r="T189" s="157">
        <v>46001</v>
      </c>
      <c r="U189" s="178" t="s">
        <v>207</v>
      </c>
      <c r="V189" s="41"/>
      <c r="W189" s="41" t="s">
        <v>1429</v>
      </c>
      <c r="X189" s="179"/>
    </row>
    <row r="190" spans="1:24" ht="90" x14ac:dyDescent="0.25">
      <c r="A190" s="148">
        <v>234</v>
      </c>
      <c r="B190" s="190" t="s">
        <v>1432</v>
      </c>
      <c r="C190" s="150" t="s">
        <v>60</v>
      </c>
      <c r="D190" s="150" t="s">
        <v>522</v>
      </c>
      <c r="E190" s="150"/>
      <c r="F190" s="150">
        <v>2009</v>
      </c>
      <c r="G190" s="150" t="s">
        <v>77</v>
      </c>
      <c r="H190" s="152" t="s">
        <v>1416</v>
      </c>
      <c r="I190" s="252" t="s">
        <v>1418</v>
      </c>
      <c r="J190" s="180" t="s">
        <v>1417</v>
      </c>
      <c r="K190" s="155"/>
      <c r="L190" s="156" t="s">
        <v>33</v>
      </c>
      <c r="M190" s="150" t="s">
        <v>524</v>
      </c>
      <c r="N190" s="150"/>
      <c r="O190" s="150"/>
      <c r="P190" s="150"/>
      <c r="Q190" s="150"/>
      <c r="R190" s="41" t="s">
        <v>58</v>
      </c>
      <c r="S190" s="150" t="s">
        <v>7</v>
      </c>
      <c r="T190" s="157">
        <v>46001</v>
      </c>
      <c r="U190" s="178" t="s">
        <v>207</v>
      </c>
      <c r="V190" s="41"/>
      <c r="W190" s="41" t="s">
        <v>1429</v>
      </c>
      <c r="X190" s="179"/>
    </row>
    <row r="191" spans="1:24" ht="165" x14ac:dyDescent="0.25">
      <c r="A191" s="90">
        <v>235</v>
      </c>
      <c r="B191" s="190" t="s">
        <v>1433</v>
      </c>
      <c r="C191" s="150" t="s">
        <v>8</v>
      </c>
      <c r="D191" s="150" t="s">
        <v>538</v>
      </c>
      <c r="E191" s="150" t="s">
        <v>370</v>
      </c>
      <c r="F191" s="150">
        <v>2025</v>
      </c>
      <c r="G191" s="150" t="s">
        <v>74</v>
      </c>
      <c r="H191" s="152" t="s">
        <v>1419</v>
      </c>
      <c r="I191" s="252" t="s">
        <v>1420</v>
      </c>
      <c r="J191" s="180" t="s">
        <v>1421</v>
      </c>
      <c r="K191" s="155"/>
      <c r="L191" s="156" t="s">
        <v>273</v>
      </c>
      <c r="M191" s="150" t="s">
        <v>523</v>
      </c>
      <c r="N191" s="150" t="s">
        <v>6</v>
      </c>
      <c r="O191" s="150" t="s">
        <v>18</v>
      </c>
      <c r="P191" s="150"/>
      <c r="Q191" s="150"/>
      <c r="R191" s="41" t="s">
        <v>568</v>
      </c>
      <c r="S191" s="150" t="s">
        <v>7</v>
      </c>
      <c r="T191" s="157">
        <v>46001</v>
      </c>
      <c r="U191" s="178" t="s">
        <v>207</v>
      </c>
      <c r="V191" s="41"/>
      <c r="W191" s="41" t="s">
        <v>1429</v>
      </c>
      <c r="X191" s="179"/>
    </row>
    <row r="192" spans="1:24" ht="240" x14ac:dyDescent="0.25">
      <c r="A192" s="148">
        <v>236</v>
      </c>
      <c r="B192" s="190" t="s">
        <v>1424</v>
      </c>
      <c r="C192" s="150" t="s">
        <v>8</v>
      </c>
      <c r="D192" s="150" t="s">
        <v>534</v>
      </c>
      <c r="E192" s="150" t="s">
        <v>538</v>
      </c>
      <c r="F192" s="150">
        <v>2022</v>
      </c>
      <c r="G192" s="150" t="s">
        <v>820</v>
      </c>
      <c r="H192" s="152" t="s">
        <v>1426</v>
      </c>
      <c r="I192" s="252" t="s">
        <v>1427</v>
      </c>
      <c r="J192" s="180" t="s">
        <v>1425</v>
      </c>
      <c r="K192" s="155"/>
      <c r="L192" s="156" t="s">
        <v>33</v>
      </c>
      <c r="M192" s="150" t="s">
        <v>18</v>
      </c>
      <c r="N192" s="150" t="s">
        <v>523</v>
      </c>
      <c r="O192" s="150"/>
      <c r="P192" s="150"/>
      <c r="Q192" s="150"/>
      <c r="R192" s="41" t="s">
        <v>58</v>
      </c>
      <c r="S192" s="150" t="s">
        <v>7</v>
      </c>
      <c r="T192" s="157">
        <v>46002</v>
      </c>
      <c r="U192" s="178" t="s">
        <v>207</v>
      </c>
      <c r="V192" s="41"/>
      <c r="W192" s="41"/>
      <c r="X192" s="179"/>
    </row>
    <row r="195" spans="1:25" ht="36.75" customHeight="1" x14ac:dyDescent="0.25">
      <c r="A195" s="191">
        <v>236</v>
      </c>
      <c r="B195" s="183" t="s">
        <v>1428</v>
      </c>
      <c r="C195" s="150" t="s">
        <v>8</v>
      </c>
      <c r="D195" s="150"/>
      <c r="E195" s="150"/>
      <c r="F195" s="181" t="s">
        <v>1422</v>
      </c>
      <c r="G195" s="150" t="s">
        <v>74</v>
      </c>
      <c r="H195" s="182" t="s">
        <v>1423</v>
      </c>
      <c r="I195" s="252"/>
      <c r="J195" s="154"/>
      <c r="K195" s="155"/>
      <c r="L195" s="156" t="s">
        <v>273</v>
      </c>
      <c r="M195" s="150"/>
      <c r="N195" s="150"/>
      <c r="O195" s="150"/>
      <c r="P195" s="150"/>
      <c r="Q195" s="150"/>
      <c r="R195" s="41"/>
      <c r="S195" s="150"/>
      <c r="T195" s="157">
        <v>46001</v>
      </c>
      <c r="U195" s="178" t="s">
        <v>207</v>
      </c>
      <c r="V195" s="41"/>
      <c r="W195" s="41"/>
      <c r="X195" s="179"/>
    </row>
    <row r="196" spans="1:25" ht="105" x14ac:dyDescent="0.25">
      <c r="A196" s="192">
        <v>190</v>
      </c>
      <c r="B196" s="106" t="s">
        <v>1434</v>
      </c>
      <c r="C196" s="106" t="s">
        <v>1435</v>
      </c>
      <c r="D196" s="106" t="s">
        <v>8</v>
      </c>
      <c r="E196" s="106" t="s">
        <v>546</v>
      </c>
      <c r="F196" s="106"/>
      <c r="G196" s="106"/>
      <c r="H196" s="106" t="s">
        <v>181</v>
      </c>
      <c r="I196" s="257" t="s">
        <v>1436</v>
      </c>
      <c r="J196" s="193" t="s">
        <v>1437</v>
      </c>
      <c r="K196" s="105"/>
      <c r="L196" s="105"/>
      <c r="M196" s="106"/>
      <c r="N196" s="106" t="s">
        <v>524</v>
      </c>
      <c r="O196" s="106" t="s">
        <v>18</v>
      </c>
      <c r="P196" s="106"/>
      <c r="Q196" s="106"/>
      <c r="R196" s="106"/>
      <c r="S196" s="91" t="s">
        <v>707</v>
      </c>
      <c r="T196" s="106" t="s">
        <v>7</v>
      </c>
      <c r="U196" s="110">
        <v>44973</v>
      </c>
      <c r="V196" s="106" t="s">
        <v>207</v>
      </c>
      <c r="W196" s="106"/>
      <c r="X196" s="85"/>
      <c r="Y196" s="31"/>
    </row>
    <row r="197" spans="1:25" ht="255" x14ac:dyDescent="0.25">
      <c r="A197" s="194">
        <v>191</v>
      </c>
      <c r="B197" s="195" t="s">
        <v>1438</v>
      </c>
      <c r="C197" s="106" t="s">
        <v>1435</v>
      </c>
      <c r="D197" s="106" t="s">
        <v>8</v>
      </c>
      <c r="E197" s="106" t="s">
        <v>370</v>
      </c>
      <c r="F197" s="106"/>
      <c r="G197" s="106">
        <v>2020</v>
      </c>
      <c r="H197" s="106" t="s">
        <v>148</v>
      </c>
      <c r="I197" s="257" t="s">
        <v>1439</v>
      </c>
      <c r="J197" s="193" t="s">
        <v>1440</v>
      </c>
      <c r="K197" s="109" t="s">
        <v>426</v>
      </c>
      <c r="L197" s="109" t="s">
        <v>1441</v>
      </c>
      <c r="M197" s="106" t="s">
        <v>33</v>
      </c>
      <c r="N197" s="106" t="s">
        <v>527</v>
      </c>
      <c r="O197" s="106"/>
      <c r="P197" s="106"/>
      <c r="Q197" s="106"/>
      <c r="R197" s="106"/>
      <c r="S197" s="106" t="s">
        <v>568</v>
      </c>
      <c r="T197" s="106" t="s">
        <v>7</v>
      </c>
      <c r="U197" s="110"/>
      <c r="V197" s="110" t="s">
        <v>23</v>
      </c>
      <c r="W197" s="110"/>
      <c r="X197" s="85"/>
      <c r="Y197" s="81" t="s">
        <v>1211</v>
      </c>
    </row>
    <row r="198" spans="1:25" ht="195" x14ac:dyDescent="0.25">
      <c r="A198" s="192">
        <v>192</v>
      </c>
      <c r="B198" s="195" t="s">
        <v>1442</v>
      </c>
      <c r="C198" s="106" t="s">
        <v>1435</v>
      </c>
      <c r="D198" s="106" t="s">
        <v>8</v>
      </c>
      <c r="E198" s="106" t="s">
        <v>529</v>
      </c>
      <c r="F198" s="106"/>
      <c r="G198" s="196">
        <v>2022</v>
      </c>
      <c r="H198" s="106" t="s">
        <v>148</v>
      </c>
      <c r="I198" s="257" t="s">
        <v>1443</v>
      </c>
      <c r="J198" s="193" t="s">
        <v>1444</v>
      </c>
      <c r="K198" s="109" t="s">
        <v>801</v>
      </c>
      <c r="L198" s="108"/>
      <c r="M198" s="196" t="s">
        <v>33</v>
      </c>
      <c r="N198" s="106"/>
      <c r="O198" s="106"/>
      <c r="P198" s="106"/>
      <c r="Q198" s="106"/>
      <c r="R198" s="106"/>
      <c r="S198" s="196" t="s">
        <v>1445</v>
      </c>
      <c r="T198" s="106" t="s">
        <v>1446</v>
      </c>
      <c r="U198" s="110">
        <v>45264</v>
      </c>
      <c r="V198" s="106" t="s">
        <v>207</v>
      </c>
      <c r="W198" s="106"/>
      <c r="X198" s="85"/>
      <c r="Y198" s="31"/>
    </row>
    <row r="199" spans="1:25" ht="135" x14ac:dyDescent="0.25">
      <c r="A199" s="192">
        <v>193</v>
      </c>
      <c r="B199" s="106" t="s">
        <v>1447</v>
      </c>
      <c r="C199" s="106" t="s">
        <v>1435</v>
      </c>
      <c r="D199" s="106" t="s">
        <v>8</v>
      </c>
      <c r="E199" s="106" t="s">
        <v>534</v>
      </c>
      <c r="F199" s="106"/>
      <c r="G199" s="197"/>
      <c r="H199" s="106" t="s">
        <v>148</v>
      </c>
      <c r="I199" s="257" t="s">
        <v>1448</v>
      </c>
      <c r="J199" s="193" t="s">
        <v>1449</v>
      </c>
      <c r="K199" s="108" t="s">
        <v>801</v>
      </c>
      <c r="L199" s="108"/>
      <c r="M199" s="106" t="s">
        <v>33</v>
      </c>
      <c r="N199" s="195" t="s">
        <v>18</v>
      </c>
      <c r="O199" s="195" t="s">
        <v>523</v>
      </c>
      <c r="P199" s="195" t="s">
        <v>6</v>
      </c>
      <c r="Q199" s="106"/>
      <c r="R199" s="106"/>
      <c r="S199" s="91" t="s">
        <v>707</v>
      </c>
      <c r="T199" s="197"/>
      <c r="U199" s="110">
        <v>45264</v>
      </c>
      <c r="V199" s="106" t="s">
        <v>207</v>
      </c>
      <c r="W199" s="106"/>
      <c r="X199" s="85"/>
      <c r="Y199" s="31"/>
    </row>
    <row r="200" spans="1:25" ht="409.5" x14ac:dyDescent="0.25">
      <c r="A200" s="198">
        <v>195</v>
      </c>
      <c r="B200" s="106" t="s">
        <v>1450</v>
      </c>
      <c r="C200" s="106" t="s">
        <v>1435</v>
      </c>
      <c r="D200" s="106" t="s">
        <v>8</v>
      </c>
      <c r="E200" s="106" t="s">
        <v>534</v>
      </c>
      <c r="F200" s="106" t="s">
        <v>529</v>
      </c>
      <c r="G200" s="106">
        <v>2023</v>
      </c>
      <c r="H200" s="106" t="s">
        <v>174</v>
      </c>
      <c r="I200" s="257" t="s">
        <v>1452</v>
      </c>
      <c r="J200" s="193"/>
      <c r="K200" s="104" t="s">
        <v>1451</v>
      </c>
      <c r="L200" s="108"/>
      <c r="M200" s="106" t="s">
        <v>33</v>
      </c>
      <c r="N200" s="106" t="s">
        <v>18</v>
      </c>
      <c r="O200" s="195" t="s">
        <v>523</v>
      </c>
      <c r="P200" s="195" t="s">
        <v>6</v>
      </c>
      <c r="Q200" s="106"/>
      <c r="R200" s="106"/>
      <c r="S200" s="106" t="s">
        <v>568</v>
      </c>
      <c r="T200" s="106" t="s">
        <v>7</v>
      </c>
      <c r="U200" s="110">
        <v>45175</v>
      </c>
      <c r="V200" s="110" t="s">
        <v>207</v>
      </c>
      <c r="W200" s="110"/>
      <c r="X200" s="85"/>
      <c r="Y200" s="31"/>
    </row>
    <row r="201" spans="1:25" ht="195" x14ac:dyDescent="0.25">
      <c r="A201" s="192">
        <v>196</v>
      </c>
      <c r="B201" s="106" t="s">
        <v>1453</v>
      </c>
      <c r="C201" s="106" t="s">
        <v>1435</v>
      </c>
      <c r="D201" s="106" t="s">
        <v>8</v>
      </c>
      <c r="E201" s="106" t="s">
        <v>529</v>
      </c>
      <c r="F201" s="106"/>
      <c r="G201" s="106">
        <v>2022</v>
      </c>
      <c r="H201" s="106" t="s">
        <v>74</v>
      </c>
      <c r="I201" s="257" t="s">
        <v>1454</v>
      </c>
      <c r="J201" s="193" t="s">
        <v>1455</v>
      </c>
      <c r="K201" s="108" t="s">
        <v>1456</v>
      </c>
      <c r="L201" s="107"/>
      <c r="M201" s="106" t="s">
        <v>273</v>
      </c>
      <c r="N201" s="106" t="s">
        <v>18</v>
      </c>
      <c r="O201" s="106"/>
      <c r="P201" s="106"/>
      <c r="Q201" s="106"/>
      <c r="R201" s="106"/>
      <c r="S201" s="106" t="s">
        <v>58</v>
      </c>
      <c r="T201" s="106" t="s">
        <v>5</v>
      </c>
      <c r="U201" s="110">
        <v>44980</v>
      </c>
      <c r="V201" s="106" t="s">
        <v>207</v>
      </c>
      <c r="W201" s="106"/>
      <c r="X201" s="85"/>
      <c r="Y201" s="31"/>
    </row>
    <row r="202" spans="1:25" ht="180" x14ac:dyDescent="0.25">
      <c r="A202" s="192">
        <v>197</v>
      </c>
      <c r="B202" s="106" t="s">
        <v>1457</v>
      </c>
      <c r="C202" s="106" t="s">
        <v>1435</v>
      </c>
      <c r="D202" s="106" t="s">
        <v>8</v>
      </c>
      <c r="E202" s="106" t="s">
        <v>529</v>
      </c>
      <c r="F202" s="106"/>
      <c r="G202" s="106">
        <v>2022</v>
      </c>
      <c r="H202" s="106" t="s">
        <v>163</v>
      </c>
      <c r="I202" s="257" t="s">
        <v>1458</v>
      </c>
      <c r="J202" s="193" t="s">
        <v>1459</v>
      </c>
      <c r="K202" s="199" t="s">
        <v>1460</v>
      </c>
      <c r="L202" s="105"/>
      <c r="M202" s="106" t="s">
        <v>205</v>
      </c>
      <c r="N202" s="106" t="s">
        <v>523</v>
      </c>
      <c r="O202" s="106" t="s">
        <v>6</v>
      </c>
      <c r="P202" s="106" t="s">
        <v>527</v>
      </c>
      <c r="Q202" s="106" t="s">
        <v>18</v>
      </c>
      <c r="R202" s="106" t="s">
        <v>524</v>
      </c>
      <c r="S202" s="106" t="s">
        <v>568</v>
      </c>
      <c r="T202" s="106" t="s">
        <v>7</v>
      </c>
      <c r="U202" s="110">
        <v>44952</v>
      </c>
      <c r="V202" s="106" t="s">
        <v>207</v>
      </c>
      <c r="W202" s="106"/>
      <c r="X202" s="85"/>
      <c r="Y202" s="31"/>
    </row>
    <row r="203" spans="1:25" ht="165" x14ac:dyDescent="0.25">
      <c r="A203" s="192">
        <v>198</v>
      </c>
      <c r="B203" s="106" t="s">
        <v>1461</v>
      </c>
      <c r="C203" s="106" t="s">
        <v>1435</v>
      </c>
      <c r="D203" s="106" t="s">
        <v>8</v>
      </c>
      <c r="E203" s="106" t="s">
        <v>529</v>
      </c>
      <c r="F203" s="106"/>
      <c r="G203" s="197">
        <v>2025</v>
      </c>
      <c r="H203" s="106" t="s">
        <v>175</v>
      </c>
      <c r="I203" s="257" t="s">
        <v>1462</v>
      </c>
      <c r="J203" s="193" t="s">
        <v>1463</v>
      </c>
      <c r="K203" s="114" t="s">
        <v>1464</v>
      </c>
      <c r="L203" s="108"/>
      <c r="M203" s="106" t="s">
        <v>33</v>
      </c>
      <c r="N203" s="106" t="s">
        <v>523</v>
      </c>
      <c r="O203" s="106" t="s">
        <v>524</v>
      </c>
      <c r="P203" s="106"/>
      <c r="Q203" s="106"/>
      <c r="R203" s="106"/>
      <c r="S203" s="106" t="s">
        <v>568</v>
      </c>
      <c r="T203" s="106" t="s">
        <v>7</v>
      </c>
      <c r="U203" s="110">
        <v>44963</v>
      </c>
      <c r="V203" s="106" t="s">
        <v>207</v>
      </c>
      <c r="W203" s="106"/>
      <c r="X203" s="85"/>
      <c r="Y203" s="31"/>
    </row>
    <row r="204" spans="1:25" ht="150" x14ac:dyDescent="0.25">
      <c r="A204" s="192">
        <v>199</v>
      </c>
      <c r="B204" s="106" t="s">
        <v>1465</v>
      </c>
      <c r="C204" s="106" t="s">
        <v>1435</v>
      </c>
      <c r="D204" s="106" t="s">
        <v>8</v>
      </c>
      <c r="E204" s="106" t="s">
        <v>531</v>
      </c>
      <c r="F204" s="106"/>
      <c r="G204" s="106">
        <v>2023</v>
      </c>
      <c r="H204" s="106" t="s">
        <v>172</v>
      </c>
      <c r="I204" s="257" t="s">
        <v>1466</v>
      </c>
      <c r="J204" s="193" t="s">
        <v>1467</v>
      </c>
      <c r="K204" s="105"/>
      <c r="L204" s="105"/>
      <c r="M204" s="106"/>
      <c r="N204" s="106" t="s">
        <v>18</v>
      </c>
      <c r="O204" s="106" t="s">
        <v>6</v>
      </c>
      <c r="P204" s="106" t="s">
        <v>523</v>
      </c>
      <c r="Q204" s="106"/>
      <c r="R204" s="106"/>
      <c r="S204" s="91" t="s">
        <v>707</v>
      </c>
      <c r="T204" s="106" t="s">
        <v>7</v>
      </c>
      <c r="U204" s="110">
        <v>44976</v>
      </c>
      <c r="V204" s="106" t="s">
        <v>207</v>
      </c>
      <c r="W204" s="106"/>
      <c r="X204" s="85"/>
      <c r="Y204" s="31"/>
    </row>
    <row r="205" spans="1:25" ht="150" x14ac:dyDescent="0.25">
      <c r="A205" s="192">
        <v>200</v>
      </c>
      <c r="B205" s="106" t="s">
        <v>1468</v>
      </c>
      <c r="C205" s="106" t="s">
        <v>1435</v>
      </c>
      <c r="D205" s="106" t="s">
        <v>8</v>
      </c>
      <c r="E205" s="106" t="s">
        <v>529</v>
      </c>
      <c r="F205" s="106"/>
      <c r="G205" s="106">
        <v>2024</v>
      </c>
      <c r="H205" s="106" t="s">
        <v>172</v>
      </c>
      <c r="I205" s="258" t="s">
        <v>1469</v>
      </c>
      <c r="J205" s="193" t="s">
        <v>1470</v>
      </c>
      <c r="K205" s="105"/>
      <c r="L205" s="105"/>
      <c r="M205" s="106"/>
      <c r="N205" s="106" t="s">
        <v>524</v>
      </c>
      <c r="O205" s="106" t="s">
        <v>18</v>
      </c>
      <c r="P205" s="106"/>
      <c r="Q205" s="106"/>
      <c r="R205" s="106"/>
      <c r="S205" s="106" t="s">
        <v>568</v>
      </c>
      <c r="T205" s="106" t="s">
        <v>7</v>
      </c>
      <c r="U205" s="110">
        <v>44976</v>
      </c>
      <c r="V205" s="106" t="s">
        <v>207</v>
      </c>
      <c r="W205" s="106"/>
      <c r="X205" s="85"/>
      <c r="Y205" s="31"/>
    </row>
    <row r="206" spans="1:25" ht="135" x14ac:dyDescent="0.25">
      <c r="A206" s="192">
        <v>201</v>
      </c>
      <c r="B206" s="106" t="s">
        <v>1471</v>
      </c>
      <c r="C206" s="106" t="s">
        <v>1435</v>
      </c>
      <c r="D206" s="106" t="s">
        <v>8</v>
      </c>
      <c r="E206" s="106" t="s">
        <v>370</v>
      </c>
      <c r="F206" s="200" t="s">
        <v>534</v>
      </c>
      <c r="G206" s="106" t="s">
        <v>1472</v>
      </c>
      <c r="H206" s="106" t="s">
        <v>79</v>
      </c>
      <c r="I206" s="257" t="s">
        <v>1473</v>
      </c>
      <c r="J206" s="193" t="s">
        <v>1474</v>
      </c>
      <c r="K206" s="105"/>
      <c r="L206" s="105"/>
      <c r="M206" s="106" t="s">
        <v>33</v>
      </c>
      <c r="N206" s="106" t="s">
        <v>527</v>
      </c>
      <c r="O206" s="106"/>
      <c r="P206" s="106"/>
      <c r="Q206" s="106"/>
      <c r="R206" s="106"/>
      <c r="S206" s="106" t="s">
        <v>568</v>
      </c>
      <c r="T206" s="106" t="s">
        <v>7</v>
      </c>
      <c r="U206" s="110">
        <v>44976</v>
      </c>
      <c r="V206" s="106" t="s">
        <v>207</v>
      </c>
      <c r="W206" s="106"/>
      <c r="X206" s="85"/>
      <c r="Y206" s="31"/>
    </row>
    <row r="207" spans="1:25" ht="270" x14ac:dyDescent="0.25">
      <c r="A207" s="192">
        <v>202</v>
      </c>
      <c r="B207" s="195" t="s">
        <v>65</v>
      </c>
      <c r="C207" s="106" t="s">
        <v>1435</v>
      </c>
      <c r="D207" s="106" t="s">
        <v>8</v>
      </c>
      <c r="E207" s="106" t="s">
        <v>529</v>
      </c>
      <c r="F207" s="106"/>
      <c r="G207" s="106">
        <v>2022</v>
      </c>
      <c r="H207" s="106" t="s">
        <v>190</v>
      </c>
      <c r="I207" s="257" t="s">
        <v>1475</v>
      </c>
      <c r="J207" s="193" t="s">
        <v>1476</v>
      </c>
      <c r="K207" s="105"/>
      <c r="L207" s="105"/>
      <c r="M207" s="106" t="s">
        <v>33</v>
      </c>
      <c r="N207" s="106" t="s">
        <v>527</v>
      </c>
      <c r="O207" s="106" t="s">
        <v>523</v>
      </c>
      <c r="P207" s="106" t="s">
        <v>18</v>
      </c>
      <c r="Q207" s="106"/>
      <c r="R207" s="106"/>
      <c r="S207" s="106" t="s">
        <v>568</v>
      </c>
      <c r="T207" s="106" t="s">
        <v>7</v>
      </c>
      <c r="U207" s="110">
        <v>44976</v>
      </c>
      <c r="V207" s="106" t="s">
        <v>207</v>
      </c>
      <c r="W207" s="106"/>
      <c r="X207" s="85"/>
      <c r="Y207" s="31"/>
    </row>
    <row r="208" spans="1:25" ht="255" x14ac:dyDescent="0.25">
      <c r="A208" s="192">
        <v>203</v>
      </c>
      <c r="B208" s="106" t="s">
        <v>1477</v>
      </c>
      <c r="C208" s="106" t="s">
        <v>1435</v>
      </c>
      <c r="D208" s="106" t="s">
        <v>8</v>
      </c>
      <c r="E208" s="106" t="s">
        <v>370</v>
      </c>
      <c r="F208" s="106" t="s">
        <v>538</v>
      </c>
      <c r="G208" s="106">
        <v>2022</v>
      </c>
      <c r="H208" s="106" t="s">
        <v>190</v>
      </c>
      <c r="I208" s="258" t="s">
        <v>1478</v>
      </c>
      <c r="J208" s="193" t="s">
        <v>1479</v>
      </c>
      <c r="K208" s="105"/>
      <c r="L208" s="105"/>
      <c r="M208" s="106" t="s">
        <v>33</v>
      </c>
      <c r="N208" s="106" t="s">
        <v>524</v>
      </c>
      <c r="O208" s="106" t="s">
        <v>6</v>
      </c>
      <c r="P208" s="106" t="s">
        <v>18</v>
      </c>
      <c r="Q208" s="106"/>
      <c r="R208" s="106"/>
      <c r="S208" s="106" t="s">
        <v>568</v>
      </c>
      <c r="T208" s="106" t="s">
        <v>7</v>
      </c>
      <c r="U208" s="110">
        <v>44976</v>
      </c>
      <c r="V208" s="106" t="s">
        <v>207</v>
      </c>
      <c r="W208" s="106"/>
      <c r="X208" s="85"/>
      <c r="Y208" s="31"/>
    </row>
    <row r="209" spans="1:25" ht="330" x14ac:dyDescent="0.25">
      <c r="A209" s="192">
        <v>204</v>
      </c>
      <c r="B209" s="106" t="s">
        <v>680</v>
      </c>
      <c r="C209" s="106" t="s">
        <v>1435</v>
      </c>
      <c r="D209" s="106" t="s">
        <v>8</v>
      </c>
      <c r="E209" s="106" t="s">
        <v>538</v>
      </c>
      <c r="F209" s="106" t="s">
        <v>1480</v>
      </c>
      <c r="G209" s="106">
        <v>2022</v>
      </c>
      <c r="H209" s="106" t="s">
        <v>190</v>
      </c>
      <c r="I209" s="257" t="s">
        <v>1481</v>
      </c>
      <c r="J209" s="193" t="s">
        <v>1482</v>
      </c>
      <c r="K209" s="105"/>
      <c r="L209" s="105"/>
      <c r="M209" s="106" t="s">
        <v>33</v>
      </c>
      <c r="N209" s="106" t="s">
        <v>527</v>
      </c>
      <c r="O209" s="106"/>
      <c r="P209" s="106"/>
      <c r="Q209" s="106"/>
      <c r="R209" s="106"/>
      <c r="S209" s="106" t="s">
        <v>568</v>
      </c>
      <c r="T209" s="106" t="s">
        <v>7</v>
      </c>
      <c r="U209" s="110">
        <v>44976</v>
      </c>
      <c r="V209" s="106" t="s">
        <v>207</v>
      </c>
      <c r="W209" s="106"/>
      <c r="X209" s="85"/>
      <c r="Y209" s="31"/>
    </row>
    <row r="210" spans="1:25" ht="135" x14ac:dyDescent="0.25">
      <c r="A210" s="192">
        <v>205</v>
      </c>
      <c r="B210" s="106" t="s">
        <v>1483</v>
      </c>
      <c r="C210" s="106" t="s">
        <v>1435</v>
      </c>
      <c r="D210" s="106" t="s">
        <v>8</v>
      </c>
      <c r="E210" s="106" t="s">
        <v>529</v>
      </c>
      <c r="F210" s="106" t="s">
        <v>522</v>
      </c>
      <c r="G210" s="106">
        <v>2023</v>
      </c>
      <c r="H210" s="106" t="s">
        <v>191</v>
      </c>
      <c r="I210" s="257" t="s">
        <v>1484</v>
      </c>
      <c r="J210" s="193" t="s">
        <v>1485</v>
      </c>
      <c r="K210" s="105"/>
      <c r="L210" s="105"/>
      <c r="M210" s="106" t="s">
        <v>205</v>
      </c>
      <c r="N210" s="106" t="s">
        <v>18</v>
      </c>
      <c r="O210" s="106" t="s">
        <v>524</v>
      </c>
      <c r="P210" s="106"/>
      <c r="Q210" s="106"/>
      <c r="R210" s="106"/>
      <c r="S210" s="106" t="s">
        <v>568</v>
      </c>
      <c r="T210" s="106" t="s">
        <v>7</v>
      </c>
      <c r="U210" s="110">
        <v>44976</v>
      </c>
      <c r="V210" s="106" t="s">
        <v>207</v>
      </c>
      <c r="W210" s="106"/>
      <c r="X210" s="85"/>
      <c r="Y210" s="31"/>
    </row>
    <row r="211" spans="1:25" ht="409.5" x14ac:dyDescent="0.25">
      <c r="A211" s="192">
        <v>206</v>
      </c>
      <c r="B211" s="106" t="s">
        <v>1486</v>
      </c>
      <c r="C211" s="106" t="s">
        <v>1435</v>
      </c>
      <c r="D211" s="106" t="s">
        <v>8</v>
      </c>
      <c r="E211" s="106" t="s">
        <v>531</v>
      </c>
      <c r="F211" s="106"/>
      <c r="G211" s="106">
        <v>2023</v>
      </c>
      <c r="H211" s="106" t="s">
        <v>179</v>
      </c>
      <c r="I211" s="257" t="s">
        <v>1487</v>
      </c>
      <c r="J211" s="193" t="s">
        <v>1488</v>
      </c>
      <c r="K211" s="108" t="s">
        <v>1489</v>
      </c>
      <c r="L211" s="107"/>
      <c r="M211" s="106" t="s">
        <v>33</v>
      </c>
      <c r="N211" s="106" t="s">
        <v>18</v>
      </c>
      <c r="O211" s="106" t="s">
        <v>6</v>
      </c>
      <c r="P211" s="106" t="s">
        <v>523</v>
      </c>
      <c r="Q211" s="106"/>
      <c r="R211" s="106"/>
      <c r="S211" s="106" t="s">
        <v>568</v>
      </c>
      <c r="T211" s="106" t="s">
        <v>7</v>
      </c>
      <c r="U211" s="110">
        <v>44976</v>
      </c>
      <c r="V211" s="106" t="s">
        <v>207</v>
      </c>
      <c r="W211" s="106"/>
      <c r="X211" s="85"/>
      <c r="Y211" s="31"/>
    </row>
    <row r="212" spans="1:25" ht="120" x14ac:dyDescent="0.25">
      <c r="A212" s="192">
        <v>207</v>
      </c>
      <c r="B212" s="195" t="s">
        <v>65</v>
      </c>
      <c r="C212" s="106" t="s">
        <v>1435</v>
      </c>
      <c r="D212" s="106" t="s">
        <v>8</v>
      </c>
      <c r="E212" s="106" t="s">
        <v>529</v>
      </c>
      <c r="F212" s="106"/>
      <c r="G212" s="106">
        <v>2022</v>
      </c>
      <c r="H212" s="106" t="s">
        <v>179</v>
      </c>
      <c r="I212" s="257" t="s">
        <v>1490</v>
      </c>
      <c r="J212" s="193" t="s">
        <v>1491</v>
      </c>
      <c r="K212" s="108" t="s">
        <v>1492</v>
      </c>
      <c r="L212" s="107"/>
      <c r="M212" s="106" t="s">
        <v>33</v>
      </c>
      <c r="N212" s="106" t="s">
        <v>524</v>
      </c>
      <c r="O212" s="106" t="s">
        <v>523</v>
      </c>
      <c r="P212" s="106" t="s">
        <v>18</v>
      </c>
      <c r="Q212" s="106"/>
      <c r="R212" s="106"/>
      <c r="S212" s="106" t="s">
        <v>568</v>
      </c>
      <c r="T212" s="106" t="s">
        <v>7</v>
      </c>
      <c r="U212" s="110">
        <v>44976</v>
      </c>
      <c r="V212" s="106" t="s">
        <v>207</v>
      </c>
      <c r="W212" s="106"/>
      <c r="X212" s="85"/>
      <c r="Y212" s="31"/>
    </row>
    <row r="213" spans="1:25" ht="195" x14ac:dyDescent="0.25">
      <c r="A213" s="192">
        <v>208</v>
      </c>
      <c r="B213" s="106" t="s">
        <v>1493</v>
      </c>
      <c r="C213" s="106" t="s">
        <v>1435</v>
      </c>
      <c r="D213" s="106" t="s">
        <v>8</v>
      </c>
      <c r="E213" s="106" t="s">
        <v>538</v>
      </c>
      <c r="F213" s="106" t="s">
        <v>1480</v>
      </c>
      <c r="G213" s="106">
        <v>2022</v>
      </c>
      <c r="H213" s="106" t="s">
        <v>190</v>
      </c>
      <c r="I213" s="257" t="s">
        <v>1494</v>
      </c>
      <c r="J213" s="193" t="s">
        <v>1495</v>
      </c>
      <c r="K213" s="105"/>
      <c r="L213" s="105"/>
      <c r="M213" s="106" t="s">
        <v>33</v>
      </c>
      <c r="N213" s="106" t="s">
        <v>523</v>
      </c>
      <c r="O213" s="106"/>
      <c r="P213" s="106"/>
      <c r="Q213" s="106"/>
      <c r="R213" s="106"/>
      <c r="S213" s="106" t="s">
        <v>568</v>
      </c>
      <c r="T213" s="106" t="s">
        <v>7</v>
      </c>
      <c r="U213" s="110">
        <v>44976</v>
      </c>
      <c r="V213" s="106" t="s">
        <v>207</v>
      </c>
      <c r="W213" s="106"/>
      <c r="X213" s="85"/>
      <c r="Y213" s="31"/>
    </row>
    <row r="214" spans="1:25" ht="300" x14ac:dyDescent="0.25">
      <c r="A214" s="192">
        <v>209</v>
      </c>
      <c r="B214" s="201" t="s">
        <v>1496</v>
      </c>
      <c r="C214" s="201" t="s">
        <v>1435</v>
      </c>
      <c r="D214" s="106" t="s">
        <v>60</v>
      </c>
      <c r="E214" s="106" t="s">
        <v>1497</v>
      </c>
      <c r="F214" s="106"/>
      <c r="G214" s="106">
        <v>2021</v>
      </c>
      <c r="H214" s="106" t="s">
        <v>74</v>
      </c>
      <c r="I214" s="257" t="s">
        <v>1498</v>
      </c>
      <c r="J214" s="193" t="s">
        <v>1499</v>
      </c>
      <c r="K214" s="108" t="s">
        <v>1500</v>
      </c>
      <c r="L214" s="108"/>
      <c r="M214" s="106" t="s">
        <v>33</v>
      </c>
      <c r="N214" s="195" t="s">
        <v>18</v>
      </c>
      <c r="O214" s="195" t="s">
        <v>6</v>
      </c>
      <c r="P214" s="195" t="s">
        <v>523</v>
      </c>
      <c r="Q214" s="106"/>
      <c r="R214" s="106"/>
      <c r="S214" s="106" t="s">
        <v>58</v>
      </c>
      <c r="T214" s="106" t="s">
        <v>7</v>
      </c>
      <c r="U214" s="202">
        <v>44976</v>
      </c>
      <c r="V214" s="106" t="s">
        <v>207</v>
      </c>
      <c r="W214" s="106"/>
      <c r="X214" s="203" t="s">
        <v>1501</v>
      </c>
      <c r="Y214" s="31"/>
    </row>
    <row r="215" spans="1:25" ht="36.75" customHeight="1" x14ac:dyDescent="0.25">
      <c r="A215" s="192">
        <v>185</v>
      </c>
      <c r="B215" s="91" t="s">
        <v>1502</v>
      </c>
      <c r="C215" s="91" t="s">
        <v>1435</v>
      </c>
      <c r="D215" s="91" t="s">
        <v>8</v>
      </c>
      <c r="E215" s="91"/>
      <c r="F215" s="91"/>
      <c r="G215" s="91"/>
      <c r="H215" s="91" t="s">
        <v>200</v>
      </c>
      <c r="I215" s="253"/>
      <c r="J215" s="160"/>
      <c r="K215" s="204"/>
      <c r="L215" s="161"/>
      <c r="M215" s="91"/>
      <c r="N215" s="91"/>
      <c r="O215" s="91"/>
      <c r="P215" s="91"/>
      <c r="Q215" s="91"/>
      <c r="R215" s="91"/>
      <c r="S215" s="106"/>
      <c r="T215" s="91"/>
      <c r="U215" s="162"/>
      <c r="V215" s="106"/>
      <c r="W215" s="106"/>
      <c r="X215" s="106"/>
      <c r="Y215" s="31" t="s">
        <v>1503</v>
      </c>
    </row>
    <row r="216" spans="1:25" ht="36.75" customHeight="1" x14ac:dyDescent="0.25">
      <c r="A216" s="192">
        <v>186</v>
      </c>
      <c r="B216" s="91" t="s">
        <v>1504</v>
      </c>
      <c r="C216" s="91" t="s">
        <v>1435</v>
      </c>
      <c r="D216" s="91" t="s">
        <v>8</v>
      </c>
      <c r="E216" s="91"/>
      <c r="F216" s="91"/>
      <c r="G216" s="91"/>
      <c r="H216" s="91" t="s">
        <v>200</v>
      </c>
      <c r="I216" s="253"/>
      <c r="J216" s="160"/>
      <c r="K216" s="204"/>
      <c r="L216" s="161"/>
      <c r="M216" s="91"/>
      <c r="N216" s="91"/>
      <c r="O216" s="91"/>
      <c r="P216" s="91"/>
      <c r="Q216" s="91"/>
      <c r="R216" s="91"/>
      <c r="S216" s="106"/>
      <c r="T216" s="91"/>
      <c r="U216" s="162"/>
      <c r="V216" s="106"/>
      <c r="W216" s="106"/>
      <c r="X216" s="106"/>
      <c r="Y216" s="31" t="s">
        <v>1503</v>
      </c>
    </row>
    <row r="217" spans="1:25" ht="270" x14ac:dyDescent="0.25">
      <c r="A217" s="197">
        <v>166</v>
      </c>
      <c r="B217" s="195" t="s">
        <v>1505</v>
      </c>
      <c r="C217" s="106" t="s">
        <v>1435</v>
      </c>
      <c r="D217" s="106" t="s">
        <v>8</v>
      </c>
      <c r="E217" s="106" t="s">
        <v>534</v>
      </c>
      <c r="F217" s="106" t="s">
        <v>546</v>
      </c>
      <c r="G217" s="106">
        <v>2021</v>
      </c>
      <c r="H217" s="106" t="s">
        <v>193</v>
      </c>
      <c r="I217" s="257" t="s">
        <v>1506</v>
      </c>
      <c r="J217" s="193" t="s">
        <v>1507</v>
      </c>
      <c r="K217" s="205" t="s">
        <v>1508</v>
      </c>
      <c r="L217" s="205" t="s">
        <v>1509</v>
      </c>
      <c r="M217" s="106" t="s">
        <v>33</v>
      </c>
      <c r="N217" s="106" t="s">
        <v>18</v>
      </c>
      <c r="O217" s="195" t="s">
        <v>523</v>
      </c>
      <c r="P217" s="195" t="s">
        <v>6</v>
      </c>
      <c r="Q217" s="106"/>
      <c r="R217" s="106"/>
      <c r="S217" s="106" t="s">
        <v>58</v>
      </c>
      <c r="T217" s="106" t="s">
        <v>7</v>
      </c>
      <c r="U217" s="110">
        <v>45175</v>
      </c>
      <c r="V217" s="106" t="s">
        <v>207</v>
      </c>
      <c r="W217" s="106"/>
      <c r="X217" s="85"/>
      <c r="Y217" s="31"/>
    </row>
    <row r="218" spans="1:25" ht="390" x14ac:dyDescent="0.25">
      <c r="A218" s="197">
        <v>168</v>
      </c>
      <c r="B218" s="106" t="s">
        <v>1510</v>
      </c>
      <c r="C218" s="106" t="s">
        <v>1435</v>
      </c>
      <c r="D218" s="106" t="s">
        <v>8</v>
      </c>
      <c r="E218" s="106" t="s">
        <v>370</v>
      </c>
      <c r="F218" s="106"/>
      <c r="G218" s="106">
        <v>2019</v>
      </c>
      <c r="H218" s="106" t="s">
        <v>410</v>
      </c>
      <c r="I218" s="259" t="s">
        <v>1511</v>
      </c>
      <c r="J218" s="193" t="s">
        <v>1512</v>
      </c>
      <c r="K218" s="206" t="s">
        <v>543</v>
      </c>
      <c r="L218" s="107"/>
      <c r="M218" s="106" t="s">
        <v>33</v>
      </c>
      <c r="N218" s="106" t="s">
        <v>524</v>
      </c>
      <c r="O218" s="106" t="s">
        <v>523</v>
      </c>
      <c r="P218" s="106"/>
      <c r="Q218" s="106"/>
      <c r="R218" s="106"/>
      <c r="S218" s="106" t="s">
        <v>58</v>
      </c>
      <c r="T218" s="106"/>
      <c r="U218" s="110">
        <v>44979</v>
      </c>
      <c r="V218" s="106" t="s">
        <v>207</v>
      </c>
      <c r="W218" s="106"/>
      <c r="X218" s="85"/>
      <c r="Y218" s="31"/>
    </row>
    <row r="219" spans="1:25" ht="195" x14ac:dyDescent="0.25">
      <c r="A219" s="197">
        <v>169</v>
      </c>
      <c r="B219" s="207" t="s">
        <v>1513</v>
      </c>
      <c r="C219" s="207" t="s">
        <v>1435</v>
      </c>
      <c r="D219" s="106" t="s">
        <v>8</v>
      </c>
      <c r="E219" s="106" t="s">
        <v>522</v>
      </c>
      <c r="F219" s="106"/>
      <c r="G219" s="106">
        <v>2022</v>
      </c>
      <c r="H219" s="106" t="s">
        <v>190</v>
      </c>
      <c r="I219" s="257" t="s">
        <v>1514</v>
      </c>
      <c r="J219" s="193" t="s">
        <v>1515</v>
      </c>
      <c r="K219" s="208"/>
      <c r="L219" s="208"/>
      <c r="M219" s="106" t="s">
        <v>33</v>
      </c>
      <c r="N219" s="106" t="s">
        <v>18</v>
      </c>
      <c r="O219" s="106"/>
      <c r="P219" s="106"/>
      <c r="Q219" s="106"/>
      <c r="R219" s="106"/>
      <c r="S219" s="106" t="s">
        <v>58</v>
      </c>
      <c r="T219" s="106" t="s">
        <v>7</v>
      </c>
      <c r="U219" s="110">
        <v>44976</v>
      </c>
      <c r="V219" s="106" t="s">
        <v>207</v>
      </c>
      <c r="W219" s="106"/>
      <c r="X219" s="85"/>
      <c r="Y219" s="31"/>
    </row>
    <row r="220" spans="1:25" ht="285" x14ac:dyDescent="0.25">
      <c r="A220" s="197">
        <v>170</v>
      </c>
      <c r="B220" s="207" t="s">
        <v>1516</v>
      </c>
      <c r="C220" s="207" t="s">
        <v>1435</v>
      </c>
      <c r="D220" s="106" t="s">
        <v>8</v>
      </c>
      <c r="E220" s="106" t="s">
        <v>370</v>
      </c>
      <c r="F220" s="106" t="s">
        <v>538</v>
      </c>
      <c r="G220" s="106">
        <v>2022</v>
      </c>
      <c r="H220" s="106" t="s">
        <v>190</v>
      </c>
      <c r="I220" s="257" t="s">
        <v>1517</v>
      </c>
      <c r="J220" s="193" t="s">
        <v>1518</v>
      </c>
      <c r="K220" s="208"/>
      <c r="L220" s="208"/>
      <c r="M220" s="106" t="s">
        <v>33</v>
      </c>
      <c r="N220" s="106" t="s">
        <v>18</v>
      </c>
      <c r="O220" s="106"/>
      <c r="P220" s="106"/>
      <c r="Q220" s="106"/>
      <c r="R220" s="106"/>
      <c r="S220" s="106" t="s">
        <v>58</v>
      </c>
      <c r="T220" s="106" t="s">
        <v>7</v>
      </c>
      <c r="U220" s="110">
        <v>44976</v>
      </c>
      <c r="V220" s="106" t="s">
        <v>207</v>
      </c>
      <c r="W220" s="106"/>
      <c r="X220" s="85"/>
      <c r="Y220" s="31"/>
    </row>
    <row r="221" spans="1:25" ht="210" x14ac:dyDescent="0.25">
      <c r="A221" s="197">
        <v>171</v>
      </c>
      <c r="B221" s="207" t="s">
        <v>665</v>
      </c>
      <c r="C221" s="207" t="s">
        <v>1435</v>
      </c>
      <c r="D221" s="106" t="s">
        <v>8</v>
      </c>
      <c r="E221" s="106" t="s">
        <v>370</v>
      </c>
      <c r="F221" s="106"/>
      <c r="G221" s="106">
        <v>2022</v>
      </c>
      <c r="H221" s="106" t="s">
        <v>190</v>
      </c>
      <c r="I221" s="257" t="s">
        <v>1519</v>
      </c>
      <c r="J221" s="193" t="s">
        <v>1520</v>
      </c>
      <c r="K221" s="208"/>
      <c r="L221" s="208"/>
      <c r="M221" s="106" t="s">
        <v>33</v>
      </c>
      <c r="N221" s="106" t="s">
        <v>18</v>
      </c>
      <c r="O221" s="106"/>
      <c r="P221" s="106"/>
      <c r="Q221" s="106"/>
      <c r="R221" s="106"/>
      <c r="S221" s="106" t="s">
        <v>58</v>
      </c>
      <c r="T221" s="106" t="s">
        <v>7</v>
      </c>
      <c r="U221" s="110">
        <v>44976</v>
      </c>
      <c r="V221" s="106" t="s">
        <v>207</v>
      </c>
      <c r="W221" s="106"/>
      <c r="X221" s="85"/>
      <c r="Y221" s="31"/>
    </row>
    <row r="222" spans="1:25" ht="409.5" x14ac:dyDescent="0.25">
      <c r="A222" s="197">
        <v>172</v>
      </c>
      <c r="B222" s="106" t="s">
        <v>1521</v>
      </c>
      <c r="C222" s="106" t="s">
        <v>1435</v>
      </c>
      <c r="D222" s="106" t="s">
        <v>8</v>
      </c>
      <c r="E222" s="106"/>
      <c r="F222" s="106"/>
      <c r="G222" s="106">
        <v>2020</v>
      </c>
      <c r="H222" s="106" t="s">
        <v>74</v>
      </c>
      <c r="I222" s="257" t="s">
        <v>1522</v>
      </c>
      <c r="J222" s="193" t="s">
        <v>1523</v>
      </c>
      <c r="K222" s="108" t="s">
        <v>1524</v>
      </c>
      <c r="L222" s="107"/>
      <c r="M222" s="106"/>
      <c r="N222" s="106" t="s">
        <v>18</v>
      </c>
      <c r="O222" s="106"/>
      <c r="P222" s="106"/>
      <c r="Q222" s="106"/>
      <c r="R222" s="106"/>
      <c r="S222" s="106" t="s">
        <v>58</v>
      </c>
      <c r="T222" s="106" t="s">
        <v>5</v>
      </c>
      <c r="U222" s="110" t="s">
        <v>228</v>
      </c>
      <c r="V222" s="106" t="s">
        <v>207</v>
      </c>
      <c r="W222" s="106"/>
      <c r="X222" s="85"/>
      <c r="Y222" s="31"/>
    </row>
    <row r="223" spans="1:25" ht="36.75" customHeight="1" x14ac:dyDescent="0.25">
      <c r="A223" s="197">
        <v>173</v>
      </c>
      <c r="B223" s="106" t="s">
        <v>25</v>
      </c>
      <c r="C223" s="106" t="s">
        <v>1435</v>
      </c>
      <c r="D223" s="106" t="s">
        <v>8</v>
      </c>
      <c r="E223" s="106" t="s">
        <v>531</v>
      </c>
      <c r="F223" s="106"/>
      <c r="G223" s="197"/>
      <c r="H223" s="106" t="s">
        <v>130</v>
      </c>
      <c r="I223" s="260" t="s">
        <v>1525</v>
      </c>
      <c r="J223" s="209"/>
      <c r="K223" s="105"/>
      <c r="L223" s="105"/>
      <c r="M223" s="106"/>
      <c r="N223" s="106" t="s">
        <v>18</v>
      </c>
      <c r="O223" s="106" t="s">
        <v>6</v>
      </c>
      <c r="P223" s="195" t="s">
        <v>523</v>
      </c>
      <c r="Q223" s="106"/>
      <c r="R223" s="106"/>
      <c r="S223" s="91" t="s">
        <v>707</v>
      </c>
      <c r="T223" s="106" t="s">
        <v>7</v>
      </c>
      <c r="U223" s="110">
        <v>44956</v>
      </c>
      <c r="V223" s="106" t="s">
        <v>207</v>
      </c>
      <c r="W223" s="106"/>
      <c r="X223" s="85"/>
      <c r="Y223" s="31"/>
    </row>
    <row r="224" spans="1:25" ht="330" x14ac:dyDescent="0.25">
      <c r="A224" s="197">
        <v>177</v>
      </c>
      <c r="B224" s="106" t="s">
        <v>1526</v>
      </c>
      <c r="C224" s="106" t="s">
        <v>1435</v>
      </c>
      <c r="D224" s="106" t="s">
        <v>8</v>
      </c>
      <c r="E224" s="106" t="s">
        <v>529</v>
      </c>
      <c r="F224" s="106"/>
      <c r="G224" s="106">
        <v>2017</v>
      </c>
      <c r="H224" s="106" t="s">
        <v>74</v>
      </c>
      <c r="I224" s="257" t="s">
        <v>1527</v>
      </c>
      <c r="J224" s="193" t="s">
        <v>1528</v>
      </c>
      <c r="K224" s="108" t="s">
        <v>1529</v>
      </c>
      <c r="L224" s="108"/>
      <c r="M224" s="106"/>
      <c r="N224" s="106" t="s">
        <v>18</v>
      </c>
      <c r="O224" s="106" t="s">
        <v>523</v>
      </c>
      <c r="P224" s="106"/>
      <c r="Q224" s="106"/>
      <c r="R224" s="106"/>
      <c r="S224" s="106" t="s">
        <v>568</v>
      </c>
      <c r="T224" s="106" t="s">
        <v>7</v>
      </c>
      <c r="U224" s="110" t="s">
        <v>228</v>
      </c>
      <c r="V224" s="106" t="s">
        <v>207</v>
      </c>
      <c r="W224" s="106"/>
      <c r="X224" s="85"/>
      <c r="Y224" s="31"/>
    </row>
    <row r="225" spans="1:25" ht="90" x14ac:dyDescent="0.25">
      <c r="A225" s="197">
        <v>178</v>
      </c>
      <c r="B225" s="106" t="s">
        <v>1530</v>
      </c>
      <c r="C225" s="106" t="s">
        <v>1435</v>
      </c>
      <c r="D225" s="106" t="s">
        <v>8</v>
      </c>
      <c r="E225" s="106" t="s">
        <v>522</v>
      </c>
      <c r="F225" s="106"/>
      <c r="G225" s="197"/>
      <c r="H225" s="106" t="s">
        <v>410</v>
      </c>
      <c r="I225" s="257" t="s">
        <v>1531</v>
      </c>
      <c r="J225" s="193" t="s">
        <v>1532</v>
      </c>
      <c r="K225" s="105" t="s">
        <v>1533</v>
      </c>
      <c r="L225" s="105"/>
      <c r="M225" s="106"/>
      <c r="N225" s="106" t="s">
        <v>524</v>
      </c>
      <c r="O225" s="106" t="s">
        <v>18</v>
      </c>
      <c r="P225" s="106"/>
      <c r="Q225" s="106"/>
      <c r="R225" s="106"/>
      <c r="S225" s="106" t="s">
        <v>58</v>
      </c>
      <c r="T225" s="106" t="s">
        <v>558</v>
      </c>
      <c r="U225" s="110">
        <v>44980</v>
      </c>
      <c r="V225" s="106" t="s">
        <v>207</v>
      </c>
      <c r="W225" s="106"/>
      <c r="X225" s="85"/>
      <c r="Y225" s="31"/>
    </row>
    <row r="226" spans="1:25" ht="150" x14ac:dyDescent="0.25">
      <c r="A226" s="197">
        <v>179</v>
      </c>
      <c r="B226" s="106" t="s">
        <v>1534</v>
      </c>
      <c r="C226" s="106" t="s">
        <v>1435</v>
      </c>
      <c r="D226" s="106" t="s">
        <v>8</v>
      </c>
      <c r="E226" s="106" t="s">
        <v>529</v>
      </c>
      <c r="F226" s="106"/>
      <c r="G226" s="197"/>
      <c r="H226" s="106" t="s">
        <v>410</v>
      </c>
      <c r="I226" s="257" t="s">
        <v>1535</v>
      </c>
      <c r="J226" s="193" t="s">
        <v>1536</v>
      </c>
      <c r="K226" s="105" t="s">
        <v>800</v>
      </c>
      <c r="L226" s="105"/>
      <c r="M226" s="106"/>
      <c r="N226" s="106" t="s">
        <v>524</v>
      </c>
      <c r="O226" s="106" t="s">
        <v>523</v>
      </c>
      <c r="P226" s="106" t="s">
        <v>18</v>
      </c>
      <c r="Q226" s="106" t="s">
        <v>6</v>
      </c>
      <c r="R226" s="106"/>
      <c r="S226" s="106" t="s">
        <v>58</v>
      </c>
      <c r="T226" s="106" t="s">
        <v>558</v>
      </c>
      <c r="U226" s="110">
        <v>44980</v>
      </c>
      <c r="V226" s="106" t="s">
        <v>207</v>
      </c>
      <c r="W226" s="106"/>
      <c r="X226" s="85"/>
      <c r="Y226" s="31"/>
    </row>
    <row r="227" spans="1:25" ht="36.75" customHeight="1" x14ac:dyDescent="0.25">
      <c r="A227" s="197">
        <v>180</v>
      </c>
      <c r="B227" s="106" t="s">
        <v>1537</v>
      </c>
      <c r="C227" s="106" t="s">
        <v>1435</v>
      </c>
      <c r="D227" s="106" t="s">
        <v>8</v>
      </c>
      <c r="E227" s="106" t="s">
        <v>529</v>
      </c>
      <c r="F227" s="106"/>
      <c r="G227" s="106">
        <v>2021</v>
      </c>
      <c r="H227" s="106" t="s">
        <v>74</v>
      </c>
      <c r="I227" s="257" t="s">
        <v>1538</v>
      </c>
      <c r="J227" s="193" t="s">
        <v>1539</v>
      </c>
      <c r="K227" s="109" t="s">
        <v>1540</v>
      </c>
      <c r="L227" s="108"/>
      <c r="M227" s="106" t="s">
        <v>273</v>
      </c>
      <c r="N227" s="106" t="s">
        <v>18</v>
      </c>
      <c r="O227" s="106" t="s">
        <v>524</v>
      </c>
      <c r="P227" s="106"/>
      <c r="Q227" s="106"/>
      <c r="R227" s="106"/>
      <c r="S227" s="106" t="s">
        <v>58</v>
      </c>
      <c r="T227" s="106" t="s">
        <v>5</v>
      </c>
      <c r="U227" s="110">
        <v>44980</v>
      </c>
      <c r="V227" s="106" t="s">
        <v>207</v>
      </c>
      <c r="W227" s="106"/>
      <c r="X227" s="85"/>
      <c r="Y227" s="31"/>
    </row>
    <row r="228" spans="1:25" ht="210" x14ac:dyDescent="0.25">
      <c r="A228" s="197">
        <v>182</v>
      </c>
      <c r="B228" s="106" t="s">
        <v>668</v>
      </c>
      <c r="C228" s="106" t="s">
        <v>1435</v>
      </c>
      <c r="D228" s="106" t="s">
        <v>8</v>
      </c>
      <c r="E228" s="106" t="s">
        <v>534</v>
      </c>
      <c r="F228" s="106"/>
      <c r="G228" s="106">
        <v>2021</v>
      </c>
      <c r="H228" s="106" t="s">
        <v>190</v>
      </c>
      <c r="I228" s="257" t="s">
        <v>1541</v>
      </c>
      <c r="J228" s="193" t="s">
        <v>1542</v>
      </c>
      <c r="K228" s="210"/>
      <c r="L228" s="210"/>
      <c r="M228" s="106" t="s">
        <v>33</v>
      </c>
      <c r="N228" s="106" t="s">
        <v>18</v>
      </c>
      <c r="O228" s="195" t="s">
        <v>523</v>
      </c>
      <c r="P228" s="195" t="s">
        <v>6</v>
      </c>
      <c r="Q228" s="106"/>
      <c r="R228" s="106"/>
      <c r="S228" s="106" t="s">
        <v>58</v>
      </c>
      <c r="T228" s="106" t="s">
        <v>7</v>
      </c>
      <c r="U228" s="110">
        <v>44976</v>
      </c>
      <c r="V228" s="106" t="s">
        <v>207</v>
      </c>
      <c r="W228" s="106"/>
      <c r="X228" s="85"/>
      <c r="Y228" s="31"/>
    </row>
    <row r="229" spans="1:25" ht="150" x14ac:dyDescent="0.25">
      <c r="A229" s="197">
        <v>186</v>
      </c>
      <c r="B229" s="106" t="s">
        <v>1543</v>
      </c>
      <c r="C229" s="106" t="s">
        <v>1435</v>
      </c>
      <c r="D229" s="106" t="s">
        <v>60</v>
      </c>
      <c r="E229" s="106" t="s">
        <v>522</v>
      </c>
      <c r="F229" s="106"/>
      <c r="G229" s="106">
        <v>2021</v>
      </c>
      <c r="H229" s="106" t="s">
        <v>144</v>
      </c>
      <c r="I229" s="257" t="s">
        <v>1544</v>
      </c>
      <c r="J229" s="193" t="s">
        <v>1545</v>
      </c>
      <c r="K229" s="211" t="s">
        <v>430</v>
      </c>
      <c r="L229" s="105"/>
      <c r="M229" s="106"/>
      <c r="N229" s="106" t="s">
        <v>524</v>
      </c>
      <c r="O229" s="106"/>
      <c r="P229" s="106"/>
      <c r="Q229" s="106"/>
      <c r="R229" s="106"/>
      <c r="S229" s="106" t="s">
        <v>58</v>
      </c>
      <c r="T229" s="106" t="s">
        <v>7</v>
      </c>
      <c r="U229" s="110">
        <v>44974</v>
      </c>
      <c r="V229" s="106" t="s">
        <v>207</v>
      </c>
      <c r="W229" s="106"/>
      <c r="X229" s="85"/>
      <c r="Y229" s="31"/>
    </row>
    <row r="230" spans="1:25" ht="195" x14ac:dyDescent="0.25">
      <c r="A230" s="197">
        <v>187</v>
      </c>
      <c r="B230" s="106" t="s">
        <v>1546</v>
      </c>
      <c r="C230" s="106" t="s">
        <v>1435</v>
      </c>
      <c r="D230" s="106" t="s">
        <v>8</v>
      </c>
      <c r="E230" s="106" t="s">
        <v>534</v>
      </c>
      <c r="F230" s="106"/>
      <c r="G230" s="106">
        <v>2021</v>
      </c>
      <c r="H230" s="106" t="s">
        <v>193</v>
      </c>
      <c r="I230" s="257" t="s">
        <v>1547</v>
      </c>
      <c r="J230" s="193" t="s">
        <v>1548</v>
      </c>
      <c r="K230" s="108" t="s">
        <v>1549</v>
      </c>
      <c r="L230" s="107"/>
      <c r="M230" s="106" t="s">
        <v>33</v>
      </c>
      <c r="N230" s="106" t="s">
        <v>18</v>
      </c>
      <c r="O230" s="195" t="s">
        <v>523</v>
      </c>
      <c r="P230" s="195" t="s">
        <v>6</v>
      </c>
      <c r="Q230" s="106"/>
      <c r="R230" s="106"/>
      <c r="S230" s="106" t="s">
        <v>58</v>
      </c>
      <c r="T230" s="106" t="s">
        <v>7</v>
      </c>
      <c r="U230" s="110" t="s">
        <v>240</v>
      </c>
      <c r="V230" s="106" t="s">
        <v>207</v>
      </c>
      <c r="W230" s="106"/>
      <c r="X230" s="85"/>
      <c r="Y230" s="31"/>
    </row>
    <row r="231" spans="1:25" ht="36.75" customHeight="1" x14ac:dyDescent="0.25">
      <c r="A231" s="197">
        <v>188</v>
      </c>
      <c r="B231" s="106" t="s">
        <v>1550</v>
      </c>
      <c r="C231" s="106" t="s">
        <v>1435</v>
      </c>
      <c r="D231" s="106" t="s">
        <v>60</v>
      </c>
      <c r="E231" s="106" t="s">
        <v>370</v>
      </c>
      <c r="F231" s="106"/>
      <c r="G231" s="197"/>
      <c r="H231" s="106" t="s">
        <v>76</v>
      </c>
      <c r="I231" s="253" t="s">
        <v>1551</v>
      </c>
      <c r="J231" s="209" t="s">
        <v>1552</v>
      </c>
      <c r="K231" s="212" t="s">
        <v>1553</v>
      </c>
      <c r="L231" s="109"/>
      <c r="M231" s="106" t="s">
        <v>33</v>
      </c>
      <c r="N231" s="85" t="s">
        <v>6</v>
      </c>
      <c r="O231" s="85" t="s">
        <v>18</v>
      </c>
      <c r="P231" s="106" t="s">
        <v>523</v>
      </c>
      <c r="Q231" s="106"/>
      <c r="R231" s="106"/>
      <c r="S231" s="106" t="s">
        <v>58</v>
      </c>
      <c r="T231" s="106" t="s">
        <v>7</v>
      </c>
      <c r="U231" s="110">
        <v>45175</v>
      </c>
      <c r="V231" s="106" t="s">
        <v>207</v>
      </c>
      <c r="W231" s="106"/>
      <c r="X231" s="85"/>
      <c r="Y231" s="31"/>
    </row>
    <row r="232" spans="1:25" ht="210" x14ac:dyDescent="0.25">
      <c r="A232" s="197">
        <v>189</v>
      </c>
      <c r="B232" s="106" t="s">
        <v>1546</v>
      </c>
      <c r="C232" s="106" t="s">
        <v>1435</v>
      </c>
      <c r="D232" s="106" t="s">
        <v>8</v>
      </c>
      <c r="E232" s="106" t="s">
        <v>534</v>
      </c>
      <c r="F232" s="106"/>
      <c r="G232" s="106">
        <v>2021</v>
      </c>
      <c r="H232" s="106" t="s">
        <v>193</v>
      </c>
      <c r="I232" s="257" t="s">
        <v>1554</v>
      </c>
      <c r="J232" s="193" t="s">
        <v>1555</v>
      </c>
      <c r="K232" s="108" t="s">
        <v>1549</v>
      </c>
      <c r="L232" s="107"/>
      <c r="M232" s="106" t="s">
        <v>33</v>
      </c>
      <c r="N232" s="106" t="s">
        <v>18</v>
      </c>
      <c r="O232" s="195" t="s">
        <v>523</v>
      </c>
      <c r="P232" s="195" t="s">
        <v>6</v>
      </c>
      <c r="Q232" s="106"/>
      <c r="R232" s="106"/>
      <c r="S232" s="106" t="s">
        <v>58</v>
      </c>
      <c r="T232" s="106" t="s">
        <v>7</v>
      </c>
      <c r="U232" s="110" t="s">
        <v>240</v>
      </c>
      <c r="V232" s="106" t="s">
        <v>207</v>
      </c>
      <c r="W232" s="106"/>
      <c r="X232" s="85"/>
      <c r="Y232" s="31"/>
    </row>
    <row r="233" spans="1:25" ht="36.75" customHeight="1" x14ac:dyDescent="0.25">
      <c r="A233" s="197">
        <v>190</v>
      </c>
      <c r="B233" s="106" t="s">
        <v>1550</v>
      </c>
      <c r="C233" s="106" t="s">
        <v>1435</v>
      </c>
      <c r="D233" s="106" t="s">
        <v>60</v>
      </c>
      <c r="E233" s="106" t="s">
        <v>370</v>
      </c>
      <c r="F233" s="106"/>
      <c r="G233" s="197"/>
      <c r="H233" s="106" t="s">
        <v>76</v>
      </c>
      <c r="I233" s="253" t="s">
        <v>1551</v>
      </c>
      <c r="J233" s="209" t="s">
        <v>1552</v>
      </c>
      <c r="K233" s="212" t="s">
        <v>1553</v>
      </c>
      <c r="L233" s="109"/>
      <c r="M233" s="106" t="s">
        <v>33</v>
      </c>
      <c r="N233" s="106" t="s">
        <v>6</v>
      </c>
      <c r="O233" s="106" t="s">
        <v>18</v>
      </c>
      <c r="P233" s="106" t="s">
        <v>523</v>
      </c>
      <c r="Q233" s="106"/>
      <c r="R233" s="106"/>
      <c r="S233" s="106" t="s">
        <v>58</v>
      </c>
      <c r="T233" s="106" t="s">
        <v>7</v>
      </c>
      <c r="U233" s="110">
        <v>45175</v>
      </c>
      <c r="V233" s="106" t="s">
        <v>207</v>
      </c>
      <c r="W233" s="106"/>
      <c r="X233" s="85"/>
      <c r="Y233" s="31"/>
    </row>
    <row r="234" spans="1:25" ht="315" x14ac:dyDescent="0.25">
      <c r="A234" s="197">
        <v>191</v>
      </c>
      <c r="B234" s="106" t="s">
        <v>1556</v>
      </c>
      <c r="C234" s="106" t="s">
        <v>1435</v>
      </c>
      <c r="D234" s="106" t="s">
        <v>8</v>
      </c>
      <c r="E234" s="106" t="s">
        <v>522</v>
      </c>
      <c r="F234" s="106"/>
      <c r="G234" s="106">
        <v>2022</v>
      </c>
      <c r="H234" s="106" t="s">
        <v>174</v>
      </c>
      <c r="I234" s="257" t="s">
        <v>1557</v>
      </c>
      <c r="J234" s="193" t="s">
        <v>1558</v>
      </c>
      <c r="K234" s="109" t="s">
        <v>1559</v>
      </c>
      <c r="L234" s="108"/>
      <c r="M234" s="106" t="s">
        <v>33</v>
      </c>
      <c r="N234" s="106" t="s">
        <v>18</v>
      </c>
      <c r="O234" s="106"/>
      <c r="P234" s="106"/>
      <c r="Q234" s="106"/>
      <c r="R234" s="106"/>
      <c r="S234" s="106" t="s">
        <v>568</v>
      </c>
      <c r="T234" s="106" t="s">
        <v>7</v>
      </c>
      <c r="U234" s="110">
        <v>45175</v>
      </c>
      <c r="V234" s="110" t="s">
        <v>207</v>
      </c>
      <c r="W234" s="110"/>
      <c r="X234" s="85"/>
      <c r="Y234" s="31"/>
    </row>
    <row r="235" spans="1:25" ht="375" x14ac:dyDescent="0.25">
      <c r="A235" s="197">
        <v>193</v>
      </c>
      <c r="B235" s="106" t="s">
        <v>1560</v>
      </c>
      <c r="C235" s="106" t="s">
        <v>1435</v>
      </c>
      <c r="D235" s="106" t="s">
        <v>60</v>
      </c>
      <c r="E235" s="106" t="s">
        <v>531</v>
      </c>
      <c r="F235" s="106"/>
      <c r="G235" s="106">
        <v>2022</v>
      </c>
      <c r="H235" s="106" t="s">
        <v>162</v>
      </c>
      <c r="I235" s="259" t="s">
        <v>1561</v>
      </c>
      <c r="J235" s="193" t="s">
        <v>1562</v>
      </c>
      <c r="K235" s="213" t="s">
        <v>1563</v>
      </c>
      <c r="L235" s="107"/>
      <c r="M235" s="106"/>
      <c r="N235" s="106" t="s">
        <v>18</v>
      </c>
      <c r="O235" s="195" t="s">
        <v>6</v>
      </c>
      <c r="P235" s="106" t="s">
        <v>523</v>
      </c>
      <c r="Q235" s="106"/>
      <c r="R235" s="106"/>
      <c r="S235" s="106" t="s">
        <v>58</v>
      </c>
      <c r="T235" s="106" t="s">
        <v>7</v>
      </c>
      <c r="U235" s="110">
        <v>44976</v>
      </c>
      <c r="V235" s="106" t="s">
        <v>207</v>
      </c>
      <c r="W235" s="106"/>
      <c r="X235" s="85"/>
      <c r="Y235" s="31"/>
    </row>
    <row r="236" spans="1:25" ht="409.5" x14ac:dyDescent="0.25">
      <c r="A236" s="197">
        <v>195</v>
      </c>
      <c r="B236" s="106" t="s">
        <v>1564</v>
      </c>
      <c r="C236" s="106" t="s">
        <v>1435</v>
      </c>
      <c r="D236" s="106" t="s">
        <v>8</v>
      </c>
      <c r="E236" s="106"/>
      <c r="F236" s="106"/>
      <c r="G236" s="214" t="s">
        <v>1565</v>
      </c>
      <c r="H236" s="106" t="s">
        <v>168</v>
      </c>
      <c r="I236" s="257" t="s">
        <v>1566</v>
      </c>
      <c r="J236" s="193" t="s">
        <v>1567</v>
      </c>
      <c r="K236" s="109" t="s">
        <v>1568</v>
      </c>
      <c r="L236" s="107"/>
      <c r="M236" s="106" t="s">
        <v>33</v>
      </c>
      <c r="N236" s="106" t="s">
        <v>524</v>
      </c>
      <c r="O236" s="106" t="s">
        <v>18</v>
      </c>
      <c r="P236" s="106"/>
      <c r="Q236" s="106"/>
      <c r="R236" s="106"/>
      <c r="S236" s="106" t="s">
        <v>568</v>
      </c>
      <c r="T236" s="106" t="s">
        <v>7</v>
      </c>
      <c r="U236" s="110">
        <v>44976</v>
      </c>
      <c r="V236" s="106" t="s">
        <v>207</v>
      </c>
      <c r="W236" s="106"/>
      <c r="X236" s="85"/>
      <c r="Y236" s="31"/>
    </row>
    <row r="237" spans="1:25" ht="405" x14ac:dyDescent="0.25">
      <c r="A237" s="215">
        <v>198</v>
      </c>
      <c r="B237" s="106" t="s">
        <v>1569</v>
      </c>
      <c r="C237" s="106" t="s">
        <v>1435</v>
      </c>
      <c r="D237" s="106" t="s">
        <v>8</v>
      </c>
      <c r="E237" s="106" t="s">
        <v>370</v>
      </c>
      <c r="F237" s="106" t="s">
        <v>546</v>
      </c>
      <c r="G237" s="106" t="s">
        <v>1570</v>
      </c>
      <c r="H237" s="106" t="s">
        <v>172</v>
      </c>
      <c r="I237" s="257" t="s">
        <v>1571</v>
      </c>
      <c r="J237" s="193" t="s">
        <v>1572</v>
      </c>
      <c r="K237" s="105"/>
      <c r="L237" s="105"/>
      <c r="M237" s="106" t="s">
        <v>33</v>
      </c>
      <c r="N237" s="106" t="s">
        <v>524</v>
      </c>
      <c r="O237" s="106" t="s">
        <v>523</v>
      </c>
      <c r="P237" s="106" t="s">
        <v>6</v>
      </c>
      <c r="Q237" s="106" t="s">
        <v>18</v>
      </c>
      <c r="R237" s="106"/>
      <c r="S237" s="91" t="s">
        <v>707</v>
      </c>
      <c r="T237" s="106" t="s">
        <v>7</v>
      </c>
      <c r="U237" s="110">
        <v>44976</v>
      </c>
      <c r="V237" s="106" t="s">
        <v>207</v>
      </c>
      <c r="W237" s="106"/>
      <c r="X237" s="85"/>
      <c r="Y237" s="31"/>
    </row>
    <row r="238" spans="1:25" ht="255" x14ac:dyDescent="0.25">
      <c r="A238" s="216">
        <v>202</v>
      </c>
      <c r="B238" s="106" t="s">
        <v>1573</v>
      </c>
      <c r="C238" s="106" t="s">
        <v>1435</v>
      </c>
      <c r="D238" s="106" t="s">
        <v>8</v>
      </c>
      <c r="E238" s="106" t="s">
        <v>522</v>
      </c>
      <c r="F238" s="106"/>
      <c r="G238" s="106">
        <v>2023</v>
      </c>
      <c r="H238" s="106" t="s">
        <v>190</v>
      </c>
      <c r="I238" s="257" t="s">
        <v>1637</v>
      </c>
      <c r="J238" s="193" t="s">
        <v>1574</v>
      </c>
      <c r="K238" s="105"/>
      <c r="L238" s="105"/>
      <c r="M238" s="106" t="s">
        <v>33</v>
      </c>
      <c r="N238" s="106" t="s">
        <v>18</v>
      </c>
      <c r="O238" s="106"/>
      <c r="P238" s="106"/>
      <c r="Q238" s="106"/>
      <c r="R238" s="106"/>
      <c r="S238" s="106" t="s">
        <v>568</v>
      </c>
      <c r="T238" s="106" t="s">
        <v>7</v>
      </c>
      <c r="U238" s="110">
        <v>44976</v>
      </c>
      <c r="V238" s="106" t="s">
        <v>207</v>
      </c>
      <c r="W238" s="106"/>
      <c r="X238" s="85"/>
      <c r="Y238" s="31"/>
    </row>
    <row r="239" spans="1:25" ht="409.5" x14ac:dyDescent="0.25">
      <c r="A239" s="217">
        <v>214</v>
      </c>
      <c r="B239" s="91" t="s">
        <v>1323</v>
      </c>
      <c r="C239" s="91" t="s">
        <v>1435</v>
      </c>
      <c r="D239" s="91" t="s">
        <v>8</v>
      </c>
      <c r="E239" s="91" t="s">
        <v>538</v>
      </c>
      <c r="F239" s="91"/>
      <c r="G239" s="91">
        <v>2025</v>
      </c>
      <c r="H239" s="91" t="s">
        <v>183</v>
      </c>
      <c r="I239" s="257" t="s">
        <v>1575</v>
      </c>
      <c r="J239" s="218" t="s">
        <v>1576</v>
      </c>
      <c r="K239" s="219" t="s">
        <v>430</v>
      </c>
      <c r="L239" s="161"/>
      <c r="M239" s="91" t="s">
        <v>33</v>
      </c>
      <c r="N239" s="91" t="s">
        <v>523</v>
      </c>
      <c r="O239" s="91" t="s">
        <v>527</v>
      </c>
      <c r="P239" s="91" t="s">
        <v>18</v>
      </c>
      <c r="Q239" s="91"/>
      <c r="R239" s="91"/>
      <c r="S239" s="106" t="s">
        <v>568</v>
      </c>
      <c r="T239" s="91" t="s">
        <v>7</v>
      </c>
      <c r="U239" s="162">
        <v>45909</v>
      </c>
      <c r="V239" s="106" t="s">
        <v>207</v>
      </c>
      <c r="W239" s="106"/>
      <c r="X239" s="106"/>
      <c r="Y239" s="31"/>
    </row>
    <row r="240" spans="1:25" ht="409.5" x14ac:dyDescent="0.25">
      <c r="A240" s="220">
        <v>215</v>
      </c>
      <c r="B240" s="91" t="s">
        <v>1327</v>
      </c>
      <c r="C240" s="91" t="s">
        <v>1435</v>
      </c>
      <c r="D240" s="91" t="s">
        <v>8</v>
      </c>
      <c r="E240" s="91" t="s">
        <v>534</v>
      </c>
      <c r="F240" s="91"/>
      <c r="G240" s="91">
        <v>2025</v>
      </c>
      <c r="H240" s="91" t="s">
        <v>183</v>
      </c>
      <c r="I240" s="257" t="s">
        <v>1577</v>
      </c>
      <c r="J240" s="218" t="s">
        <v>1578</v>
      </c>
      <c r="K240" s="219" t="s">
        <v>430</v>
      </c>
      <c r="L240" s="161"/>
      <c r="M240" s="91" t="s">
        <v>33</v>
      </c>
      <c r="N240" s="91" t="s">
        <v>523</v>
      </c>
      <c r="O240" s="91" t="s">
        <v>18</v>
      </c>
      <c r="P240" s="91" t="s">
        <v>6</v>
      </c>
      <c r="Q240" s="91"/>
      <c r="R240" s="91"/>
      <c r="S240" s="106" t="s">
        <v>568</v>
      </c>
      <c r="T240" s="91" t="s">
        <v>7</v>
      </c>
      <c r="U240" s="162">
        <v>45909</v>
      </c>
      <c r="V240" s="106" t="s">
        <v>207</v>
      </c>
      <c r="W240" s="106"/>
      <c r="X240" s="106"/>
      <c r="Y240" s="221" t="s">
        <v>1579</v>
      </c>
    </row>
    <row r="241" spans="1:25" ht="409.5" x14ac:dyDescent="0.25">
      <c r="A241" s="222">
        <v>216</v>
      </c>
      <c r="B241" s="91" t="s">
        <v>1580</v>
      </c>
      <c r="C241" s="91" t="s">
        <v>1435</v>
      </c>
      <c r="D241" s="91" t="s">
        <v>8</v>
      </c>
      <c r="E241" s="223"/>
      <c r="F241" s="91"/>
      <c r="G241" s="91">
        <v>2025</v>
      </c>
      <c r="H241" s="91" t="s">
        <v>73</v>
      </c>
      <c r="I241" s="257" t="s">
        <v>1581</v>
      </c>
      <c r="J241" s="218" t="s">
        <v>1582</v>
      </c>
      <c r="K241" s="224" t="s">
        <v>1583</v>
      </c>
      <c r="L241" s="225" t="s">
        <v>1584</v>
      </c>
      <c r="M241" s="226"/>
      <c r="N241" s="91" t="s">
        <v>18</v>
      </c>
      <c r="O241" s="91" t="s">
        <v>523</v>
      </c>
      <c r="P241" s="91" t="s">
        <v>6</v>
      </c>
      <c r="Q241" s="91"/>
      <c r="R241" s="91"/>
      <c r="S241" s="106" t="s">
        <v>58</v>
      </c>
      <c r="T241" s="91" t="s">
        <v>1585</v>
      </c>
      <c r="U241" s="162">
        <v>45915</v>
      </c>
      <c r="V241" s="106" t="s">
        <v>207</v>
      </c>
      <c r="W241" s="106"/>
      <c r="X241" s="106"/>
      <c r="Y241" s="31"/>
    </row>
    <row r="242" spans="1:25" ht="409.5" x14ac:dyDescent="0.25">
      <c r="A242" s="227">
        <v>217</v>
      </c>
      <c r="B242" s="91" t="s">
        <v>1586</v>
      </c>
      <c r="C242" s="91" t="s">
        <v>1435</v>
      </c>
      <c r="D242" s="91" t="s">
        <v>8</v>
      </c>
      <c r="E242" s="91" t="s">
        <v>538</v>
      </c>
      <c r="F242" s="91"/>
      <c r="G242" s="91">
        <v>2025</v>
      </c>
      <c r="H242" s="91" t="s">
        <v>76</v>
      </c>
      <c r="I242" s="257" t="s">
        <v>1587</v>
      </c>
      <c r="J242" s="218" t="s">
        <v>1588</v>
      </c>
      <c r="K242" s="224" t="s">
        <v>1589</v>
      </c>
      <c r="L242" s="225" t="s">
        <v>1590</v>
      </c>
      <c r="M242" s="226"/>
      <c r="N242" s="91" t="s">
        <v>527</v>
      </c>
      <c r="O242" s="91"/>
      <c r="P242" s="91"/>
      <c r="Q242" s="91"/>
      <c r="R242" s="91"/>
      <c r="S242" s="106" t="s">
        <v>568</v>
      </c>
      <c r="T242" s="91" t="s">
        <v>7</v>
      </c>
      <c r="U242" s="162">
        <v>45915</v>
      </c>
      <c r="V242" s="106" t="s">
        <v>207</v>
      </c>
      <c r="W242" s="106"/>
      <c r="X242" s="106"/>
      <c r="Y242" s="31"/>
    </row>
    <row r="243" spans="1:25" ht="409.5" x14ac:dyDescent="0.25">
      <c r="A243" s="227">
        <v>218</v>
      </c>
      <c r="B243" s="91" t="s">
        <v>1591</v>
      </c>
      <c r="C243" s="91" t="s">
        <v>1435</v>
      </c>
      <c r="D243" s="91" t="s">
        <v>60</v>
      </c>
      <c r="E243" s="91" t="s">
        <v>534</v>
      </c>
      <c r="F243" s="91"/>
      <c r="G243" s="91">
        <v>2015</v>
      </c>
      <c r="H243" s="91" t="s">
        <v>80</v>
      </c>
      <c r="I243" s="257" t="s">
        <v>1592</v>
      </c>
      <c r="J243" s="218" t="s">
        <v>1593</v>
      </c>
      <c r="K243" s="228" t="s">
        <v>1594</v>
      </c>
      <c r="L243" s="161"/>
      <c r="M243" s="91" t="s">
        <v>22</v>
      </c>
      <c r="N243" s="91" t="s">
        <v>18</v>
      </c>
      <c r="O243" s="229" t="s">
        <v>523</v>
      </c>
      <c r="P243" s="229" t="s">
        <v>6</v>
      </c>
      <c r="Q243" s="91"/>
      <c r="R243" s="91"/>
      <c r="S243" s="106" t="s">
        <v>58</v>
      </c>
      <c r="T243" s="91" t="s">
        <v>7</v>
      </c>
      <c r="U243" s="162">
        <v>45943</v>
      </c>
      <c r="V243" s="110" t="s">
        <v>207</v>
      </c>
      <c r="W243" s="106"/>
      <c r="X243" s="106"/>
      <c r="Y243" s="31"/>
    </row>
    <row r="244" spans="1:25" ht="409.5" x14ac:dyDescent="0.25">
      <c r="A244" s="217">
        <v>219</v>
      </c>
      <c r="B244" s="91" t="s">
        <v>1330</v>
      </c>
      <c r="C244" s="91" t="s">
        <v>1435</v>
      </c>
      <c r="D244" s="91" t="s">
        <v>8</v>
      </c>
      <c r="E244" s="230" t="s">
        <v>531</v>
      </c>
      <c r="F244" s="91" t="s">
        <v>365</v>
      </c>
      <c r="G244" s="91">
        <v>2025</v>
      </c>
      <c r="H244" s="91" t="s">
        <v>134</v>
      </c>
      <c r="I244" s="257" t="s">
        <v>1595</v>
      </c>
      <c r="J244" s="218" t="s">
        <v>1596</v>
      </c>
      <c r="K244" s="219" t="s">
        <v>460</v>
      </c>
      <c r="L244" s="161"/>
      <c r="M244" s="91" t="s">
        <v>33</v>
      </c>
      <c r="N244" s="91" t="s">
        <v>18</v>
      </c>
      <c r="O244" s="91" t="s">
        <v>6</v>
      </c>
      <c r="P244" s="91" t="s">
        <v>523</v>
      </c>
      <c r="Q244" s="91"/>
      <c r="R244" s="91"/>
      <c r="S244" s="106" t="s">
        <v>1445</v>
      </c>
      <c r="T244" s="91" t="s">
        <v>7</v>
      </c>
      <c r="U244" s="162">
        <v>45943</v>
      </c>
      <c r="V244" s="110" t="s">
        <v>207</v>
      </c>
      <c r="W244" s="106"/>
      <c r="X244" s="106"/>
      <c r="Y244" s="31"/>
    </row>
    <row r="245" spans="1:25" ht="360" x14ac:dyDescent="0.25">
      <c r="A245" s="217">
        <v>220</v>
      </c>
      <c r="B245" s="91" t="s">
        <v>1333</v>
      </c>
      <c r="C245" s="91" t="s">
        <v>1435</v>
      </c>
      <c r="D245" s="91" t="s">
        <v>8</v>
      </c>
      <c r="E245" s="91" t="s">
        <v>534</v>
      </c>
      <c r="F245" s="91"/>
      <c r="G245" s="91">
        <v>2025</v>
      </c>
      <c r="H245" s="91" t="s">
        <v>134</v>
      </c>
      <c r="I245" s="257" t="s">
        <v>1334</v>
      </c>
      <c r="J245" s="218" t="s">
        <v>1335</v>
      </c>
      <c r="K245" s="219" t="s">
        <v>460</v>
      </c>
      <c r="L245" s="161"/>
      <c r="M245" s="91" t="s">
        <v>33</v>
      </c>
      <c r="N245" s="91" t="s">
        <v>18</v>
      </c>
      <c r="O245" s="91" t="s">
        <v>523</v>
      </c>
      <c r="P245" s="229" t="s">
        <v>6</v>
      </c>
      <c r="Q245" s="91"/>
      <c r="R245" s="91"/>
      <c r="S245" s="106" t="s">
        <v>1445</v>
      </c>
      <c r="T245" s="91" t="s">
        <v>7</v>
      </c>
      <c r="U245" s="162">
        <v>45943</v>
      </c>
      <c r="V245" s="110" t="s">
        <v>207</v>
      </c>
      <c r="W245" s="106"/>
      <c r="X245" s="106"/>
      <c r="Y245" s="31"/>
    </row>
    <row r="246" spans="1:25" ht="195" x14ac:dyDescent="0.25">
      <c r="A246" s="217">
        <v>221</v>
      </c>
      <c r="B246" s="91" t="s">
        <v>1336</v>
      </c>
      <c r="C246" s="91" t="s">
        <v>1435</v>
      </c>
      <c r="D246" s="91" t="s">
        <v>8</v>
      </c>
      <c r="E246" s="91" t="s">
        <v>538</v>
      </c>
      <c r="F246" s="91"/>
      <c r="G246" s="91">
        <v>2025</v>
      </c>
      <c r="H246" s="91" t="s">
        <v>134</v>
      </c>
      <c r="I246" s="257" t="s">
        <v>1337</v>
      </c>
      <c r="J246" s="218" t="s">
        <v>1338</v>
      </c>
      <c r="K246" s="219" t="s">
        <v>460</v>
      </c>
      <c r="L246" s="161"/>
      <c r="M246" s="91" t="s">
        <v>33</v>
      </c>
      <c r="N246" s="91" t="s">
        <v>18</v>
      </c>
      <c r="O246" s="91" t="s">
        <v>523</v>
      </c>
      <c r="P246" s="91" t="s">
        <v>6</v>
      </c>
      <c r="Q246" s="91" t="s">
        <v>1597</v>
      </c>
      <c r="R246" s="91"/>
      <c r="S246" s="106" t="s">
        <v>1445</v>
      </c>
      <c r="T246" s="91" t="s">
        <v>7</v>
      </c>
      <c r="U246" s="162">
        <v>45943</v>
      </c>
      <c r="V246" s="110" t="s">
        <v>207</v>
      </c>
      <c r="W246" s="106"/>
      <c r="X246" s="106"/>
      <c r="Y246" s="31"/>
    </row>
    <row r="247" spans="1:25" ht="409.5" x14ac:dyDescent="0.25">
      <c r="A247" s="217">
        <v>222</v>
      </c>
      <c r="B247" s="150" t="s">
        <v>1339</v>
      </c>
      <c r="C247" s="150" t="s">
        <v>1435</v>
      </c>
      <c r="D247" s="150" t="s">
        <v>8</v>
      </c>
      <c r="E247" s="150" t="s">
        <v>538</v>
      </c>
      <c r="F247" s="150"/>
      <c r="G247" s="150">
        <v>2025</v>
      </c>
      <c r="H247" s="150" t="s">
        <v>134</v>
      </c>
      <c r="I247" s="261" t="s">
        <v>1340</v>
      </c>
      <c r="J247" s="231" t="s">
        <v>1341</v>
      </c>
      <c r="K247" s="232" t="s">
        <v>460</v>
      </c>
      <c r="L247" s="164"/>
      <c r="M247" s="150" t="s">
        <v>33</v>
      </c>
      <c r="N247" s="150" t="s">
        <v>18</v>
      </c>
      <c r="O247" s="150" t="s">
        <v>523</v>
      </c>
      <c r="P247" s="150" t="s">
        <v>6</v>
      </c>
      <c r="Q247" s="150" t="s">
        <v>1597</v>
      </c>
      <c r="R247" s="150"/>
      <c r="S247" s="165" t="s">
        <v>1445</v>
      </c>
      <c r="T247" s="150" t="s">
        <v>7</v>
      </c>
      <c r="U247" s="166">
        <v>45943</v>
      </c>
      <c r="V247" s="167" t="s">
        <v>207</v>
      </c>
      <c r="W247" s="165"/>
      <c r="X247" s="165"/>
      <c r="Y247" s="233"/>
    </row>
    <row r="248" spans="1:25" ht="375" x14ac:dyDescent="0.25">
      <c r="A248" s="227">
        <v>223</v>
      </c>
      <c r="B248" s="150" t="s">
        <v>1598</v>
      </c>
      <c r="C248" s="150" t="s">
        <v>1435</v>
      </c>
      <c r="D248" s="150" t="s">
        <v>8</v>
      </c>
      <c r="E248" s="150" t="s">
        <v>534</v>
      </c>
      <c r="F248" s="150"/>
      <c r="G248" s="150">
        <v>2021</v>
      </c>
      <c r="H248" s="150" t="s">
        <v>589</v>
      </c>
      <c r="I248" s="261" t="s">
        <v>1599</v>
      </c>
      <c r="J248" s="231" t="s">
        <v>1600</v>
      </c>
      <c r="K248" s="234" t="s">
        <v>1601</v>
      </c>
      <c r="L248" s="235" t="s">
        <v>1602</v>
      </c>
      <c r="M248" s="150" t="s">
        <v>22</v>
      </c>
      <c r="N248" s="150" t="s">
        <v>6</v>
      </c>
      <c r="O248" s="150" t="s">
        <v>18</v>
      </c>
      <c r="P248" s="150"/>
      <c r="Q248" s="150"/>
      <c r="R248" s="150"/>
      <c r="S248" s="165" t="s">
        <v>58</v>
      </c>
      <c r="T248" s="150" t="s">
        <v>7</v>
      </c>
      <c r="U248" s="166">
        <v>45946</v>
      </c>
      <c r="V248" s="167" t="s">
        <v>207</v>
      </c>
      <c r="W248" s="165"/>
      <c r="X248" s="165"/>
      <c r="Y248" s="233"/>
    </row>
    <row r="249" spans="1:25" ht="409.5" x14ac:dyDescent="0.25">
      <c r="A249" s="217">
        <v>224</v>
      </c>
      <c r="B249" s="150" t="s">
        <v>1342</v>
      </c>
      <c r="C249" s="150" t="s">
        <v>1603</v>
      </c>
      <c r="D249" s="150" t="s">
        <v>8</v>
      </c>
      <c r="E249" s="150" t="s">
        <v>546</v>
      </c>
      <c r="F249" s="150"/>
      <c r="G249" s="150">
        <v>2020</v>
      </c>
      <c r="H249" s="150" t="s">
        <v>416</v>
      </c>
      <c r="I249" s="261" t="s">
        <v>1343</v>
      </c>
      <c r="J249" s="231" t="s">
        <v>1344</v>
      </c>
      <c r="K249" s="234" t="s">
        <v>1345</v>
      </c>
      <c r="L249" s="235" t="s">
        <v>1346</v>
      </c>
      <c r="M249" s="150" t="s">
        <v>33</v>
      </c>
      <c r="N249" s="150" t="s">
        <v>18</v>
      </c>
      <c r="O249" s="150" t="s">
        <v>523</v>
      </c>
      <c r="P249" s="150"/>
      <c r="Q249" s="150"/>
      <c r="R249" s="150"/>
      <c r="S249" s="165" t="s">
        <v>58</v>
      </c>
      <c r="T249" s="150" t="s">
        <v>7</v>
      </c>
      <c r="U249" s="166">
        <v>45946</v>
      </c>
      <c r="V249" s="167" t="s">
        <v>207</v>
      </c>
      <c r="W249" s="165"/>
      <c r="X249" s="165"/>
      <c r="Y249" s="233"/>
    </row>
    <row r="250" spans="1:25" ht="165" x14ac:dyDescent="0.25">
      <c r="A250" s="227">
        <v>225</v>
      </c>
      <c r="B250" s="150" t="s">
        <v>1604</v>
      </c>
      <c r="C250" s="150" t="s">
        <v>1603</v>
      </c>
      <c r="D250" s="150" t="s">
        <v>8</v>
      </c>
      <c r="E250" s="150" t="s">
        <v>534</v>
      </c>
      <c r="F250" s="150"/>
      <c r="G250" s="150">
        <v>2019</v>
      </c>
      <c r="H250" s="150" t="s">
        <v>589</v>
      </c>
      <c r="I250" s="261" t="s">
        <v>1605</v>
      </c>
      <c r="J250" s="236" t="s">
        <v>1606</v>
      </c>
      <c r="K250" s="234" t="s">
        <v>1607</v>
      </c>
      <c r="L250" s="237" t="s">
        <v>1608</v>
      </c>
      <c r="M250" s="150" t="s">
        <v>33</v>
      </c>
      <c r="N250" s="150" t="s">
        <v>18</v>
      </c>
      <c r="O250" s="150"/>
      <c r="P250" s="150"/>
      <c r="Q250" s="150"/>
      <c r="R250" s="150"/>
      <c r="S250" s="165" t="s">
        <v>58</v>
      </c>
      <c r="T250" s="150" t="s">
        <v>7</v>
      </c>
      <c r="U250" s="166">
        <v>45975</v>
      </c>
      <c r="V250" s="167" t="s">
        <v>207</v>
      </c>
      <c r="W250" s="165"/>
      <c r="X250" s="165"/>
      <c r="Y250" s="233"/>
    </row>
    <row r="251" spans="1:25" ht="409.5" x14ac:dyDescent="0.25">
      <c r="A251" s="227">
        <v>226</v>
      </c>
      <c r="B251" s="150" t="s">
        <v>1149</v>
      </c>
      <c r="C251" s="150" t="s">
        <v>1603</v>
      </c>
      <c r="D251" s="150" t="s">
        <v>1609</v>
      </c>
      <c r="E251" s="150" t="s">
        <v>534</v>
      </c>
      <c r="F251" s="150" t="s">
        <v>538</v>
      </c>
      <c r="G251" s="150">
        <v>2025</v>
      </c>
      <c r="H251" s="150" t="s">
        <v>138</v>
      </c>
      <c r="I251" s="261" t="s">
        <v>1610</v>
      </c>
      <c r="J251" s="231" t="s">
        <v>1611</v>
      </c>
      <c r="K251" s="234" t="s">
        <v>1589</v>
      </c>
      <c r="L251" s="238" t="s">
        <v>1590</v>
      </c>
      <c r="M251" s="150" t="s">
        <v>22</v>
      </c>
      <c r="N251" s="150" t="s">
        <v>524</v>
      </c>
      <c r="O251" s="150" t="s">
        <v>523</v>
      </c>
      <c r="P251" s="150" t="s">
        <v>18</v>
      </c>
      <c r="Q251" s="150"/>
      <c r="R251" s="150"/>
      <c r="S251" s="165" t="s">
        <v>58</v>
      </c>
      <c r="T251" s="150" t="s">
        <v>5</v>
      </c>
      <c r="U251" s="166">
        <v>45946</v>
      </c>
      <c r="V251" s="167" t="s">
        <v>207</v>
      </c>
      <c r="W251" s="165"/>
      <c r="X251" s="165"/>
      <c r="Y251" s="233"/>
    </row>
    <row r="252" spans="1:25" ht="30" x14ac:dyDescent="0.25">
      <c r="A252" s="239">
        <v>227</v>
      </c>
      <c r="B252" s="240" t="s">
        <v>1333</v>
      </c>
      <c r="C252" s="150" t="s">
        <v>1435</v>
      </c>
      <c r="D252" s="150" t="s">
        <v>8</v>
      </c>
      <c r="E252" s="150" t="s">
        <v>534</v>
      </c>
      <c r="F252" s="150"/>
      <c r="G252" s="150">
        <v>2025</v>
      </c>
      <c r="H252" s="150" t="s">
        <v>1347</v>
      </c>
      <c r="I252" s="262"/>
      <c r="J252" s="241"/>
      <c r="K252" s="234" t="s">
        <v>1350</v>
      </c>
      <c r="L252" s="164"/>
      <c r="M252" s="150"/>
      <c r="N252" s="150" t="s">
        <v>18</v>
      </c>
      <c r="O252" s="150"/>
      <c r="P252" s="150"/>
      <c r="Q252" s="150"/>
      <c r="R252" s="150"/>
      <c r="S252" s="165" t="s">
        <v>58</v>
      </c>
      <c r="T252" s="150" t="s">
        <v>7</v>
      </c>
      <c r="U252" s="166">
        <v>45946</v>
      </c>
      <c r="V252" s="167" t="s">
        <v>207</v>
      </c>
      <c r="W252" s="165"/>
      <c r="X252" s="165"/>
      <c r="Y252" s="233"/>
    </row>
    <row r="253" spans="1:25" ht="345" x14ac:dyDescent="0.25">
      <c r="A253" s="222">
        <v>228</v>
      </c>
      <c r="B253" s="242" t="s">
        <v>1385</v>
      </c>
      <c r="C253" s="150" t="s">
        <v>1435</v>
      </c>
      <c r="D253" s="150" t="s">
        <v>8</v>
      </c>
      <c r="E253" s="150"/>
      <c r="F253" s="150"/>
      <c r="G253" s="242">
        <v>2025</v>
      </c>
      <c r="H253" s="150" t="s">
        <v>77</v>
      </c>
      <c r="I253" s="261" t="s">
        <v>1386</v>
      </c>
      <c r="J253" s="231" t="s">
        <v>1387</v>
      </c>
      <c r="K253" s="243" t="s">
        <v>1612</v>
      </c>
      <c r="L253" s="164"/>
      <c r="M253" s="150" t="s">
        <v>33</v>
      </c>
      <c r="N253" s="150" t="s">
        <v>18</v>
      </c>
      <c r="O253" s="150" t="s">
        <v>523</v>
      </c>
      <c r="P253" s="150" t="s">
        <v>6</v>
      </c>
      <c r="Q253" s="150"/>
      <c r="R253" s="150"/>
      <c r="S253" s="244" t="s">
        <v>1445</v>
      </c>
      <c r="T253" s="150" t="s">
        <v>7</v>
      </c>
      <c r="U253" s="166">
        <v>45946</v>
      </c>
      <c r="V253" s="167" t="s">
        <v>207</v>
      </c>
      <c r="W253" s="165"/>
      <c r="X253" s="165"/>
      <c r="Y253" s="233"/>
    </row>
    <row r="254" spans="1:25" ht="285" x14ac:dyDescent="0.25">
      <c r="A254" s="217">
        <v>229</v>
      </c>
      <c r="B254" s="150" t="s">
        <v>1352</v>
      </c>
      <c r="C254" s="150" t="s">
        <v>1435</v>
      </c>
      <c r="D254" s="150" t="s">
        <v>8</v>
      </c>
      <c r="E254" s="150" t="s">
        <v>538</v>
      </c>
      <c r="F254" s="150"/>
      <c r="G254" s="150">
        <v>2010</v>
      </c>
      <c r="H254" s="150" t="s">
        <v>77</v>
      </c>
      <c r="I254" s="261" t="s">
        <v>1353</v>
      </c>
      <c r="J254" s="231" t="s">
        <v>1354</v>
      </c>
      <c r="K254" s="234" t="s">
        <v>1355</v>
      </c>
      <c r="L254" s="164"/>
      <c r="M254" s="150" t="s">
        <v>33</v>
      </c>
      <c r="N254" s="150" t="s">
        <v>18</v>
      </c>
      <c r="O254" s="150" t="s">
        <v>523</v>
      </c>
      <c r="P254" s="150"/>
      <c r="Q254" s="150"/>
      <c r="R254" s="150"/>
      <c r="S254" s="165" t="s">
        <v>58</v>
      </c>
      <c r="T254" s="150" t="s">
        <v>7</v>
      </c>
      <c r="U254" s="166">
        <v>45946</v>
      </c>
      <c r="V254" s="167" t="s">
        <v>207</v>
      </c>
      <c r="W254" s="165"/>
      <c r="X254" s="165"/>
      <c r="Y254" s="233"/>
    </row>
    <row r="255" spans="1:25" ht="135" x14ac:dyDescent="0.25">
      <c r="A255" s="217">
        <v>230</v>
      </c>
      <c r="B255" s="150" t="s">
        <v>1356</v>
      </c>
      <c r="C255" s="150" t="s">
        <v>1435</v>
      </c>
      <c r="D255" s="150" t="s">
        <v>60</v>
      </c>
      <c r="E255" s="150" t="s">
        <v>534</v>
      </c>
      <c r="F255" s="150"/>
      <c r="G255" s="150">
        <v>2021</v>
      </c>
      <c r="H255" s="150" t="s">
        <v>77</v>
      </c>
      <c r="I255" s="261" t="s">
        <v>1357</v>
      </c>
      <c r="J255" s="231" t="s">
        <v>1358</v>
      </c>
      <c r="K255" s="234" t="s">
        <v>1359</v>
      </c>
      <c r="L255" s="164"/>
      <c r="M255" s="150" t="s">
        <v>33</v>
      </c>
      <c r="N255" s="150" t="s">
        <v>523</v>
      </c>
      <c r="O255" s="150" t="s">
        <v>18</v>
      </c>
      <c r="P255" s="150"/>
      <c r="Q255" s="150"/>
      <c r="R255" s="150"/>
      <c r="S255" s="165" t="s">
        <v>58</v>
      </c>
      <c r="T255" s="150" t="s">
        <v>7</v>
      </c>
      <c r="U255" s="166">
        <v>45946</v>
      </c>
      <c r="V255" s="167" t="s">
        <v>207</v>
      </c>
      <c r="W255" s="165"/>
      <c r="X255" s="165"/>
      <c r="Y255" s="233"/>
    </row>
    <row r="256" spans="1:25" ht="240" x14ac:dyDescent="0.25">
      <c r="A256" s="217">
        <v>231</v>
      </c>
      <c r="B256" s="150" t="s">
        <v>1360</v>
      </c>
      <c r="C256" s="150" t="s">
        <v>1435</v>
      </c>
      <c r="D256" s="150" t="s">
        <v>60</v>
      </c>
      <c r="E256" s="150" t="s">
        <v>538</v>
      </c>
      <c r="F256" s="150"/>
      <c r="G256" s="150">
        <v>2013</v>
      </c>
      <c r="H256" s="150" t="s">
        <v>77</v>
      </c>
      <c r="I256" s="261" t="s">
        <v>1361</v>
      </c>
      <c r="J256" s="231" t="s">
        <v>1362</v>
      </c>
      <c r="K256" s="234" t="s">
        <v>1363</v>
      </c>
      <c r="L256" s="164"/>
      <c r="M256" s="150" t="s">
        <v>33</v>
      </c>
      <c r="N256" s="150" t="s">
        <v>18</v>
      </c>
      <c r="O256" s="150" t="s">
        <v>523</v>
      </c>
      <c r="P256" s="150"/>
      <c r="Q256" s="150"/>
      <c r="R256" s="150"/>
      <c r="S256" s="165" t="s">
        <v>58</v>
      </c>
      <c r="T256" s="150" t="s">
        <v>7</v>
      </c>
      <c r="U256" s="166">
        <v>45946</v>
      </c>
      <c r="V256" s="167" t="s">
        <v>207</v>
      </c>
      <c r="W256" s="165"/>
      <c r="X256" s="165"/>
      <c r="Y256" s="233"/>
    </row>
    <row r="257" spans="1:25" ht="165" x14ac:dyDescent="0.25">
      <c r="A257" s="245">
        <v>232</v>
      </c>
      <c r="B257" s="150" t="s">
        <v>1364</v>
      </c>
      <c r="C257" s="150" t="s">
        <v>1435</v>
      </c>
      <c r="D257" s="150" t="s">
        <v>60</v>
      </c>
      <c r="E257" s="150" t="s">
        <v>538</v>
      </c>
      <c r="F257" s="150"/>
      <c r="G257" s="150" t="s">
        <v>1613</v>
      </c>
      <c r="H257" s="150" t="s">
        <v>77</v>
      </c>
      <c r="I257" s="261" t="s">
        <v>1614</v>
      </c>
      <c r="J257" s="231" t="s">
        <v>1615</v>
      </c>
      <c r="K257" s="234" t="s">
        <v>1367</v>
      </c>
      <c r="L257" s="164"/>
      <c r="M257" s="150" t="s">
        <v>33</v>
      </c>
      <c r="N257" s="150" t="s">
        <v>524</v>
      </c>
      <c r="O257" s="150" t="s">
        <v>523</v>
      </c>
      <c r="P257" s="150" t="s">
        <v>527</v>
      </c>
      <c r="Q257" s="150" t="s">
        <v>18</v>
      </c>
      <c r="R257" s="150"/>
      <c r="S257" s="165" t="s">
        <v>58</v>
      </c>
      <c r="T257" s="150" t="s">
        <v>7</v>
      </c>
      <c r="U257" s="166">
        <v>45946</v>
      </c>
      <c r="V257" s="167" t="s">
        <v>207</v>
      </c>
      <c r="W257" s="165"/>
      <c r="X257" s="165"/>
      <c r="Y257" s="233"/>
    </row>
    <row r="258" spans="1:25" ht="225" x14ac:dyDescent="0.25">
      <c r="A258" s="227">
        <v>233</v>
      </c>
      <c r="B258" s="150" t="s">
        <v>1388</v>
      </c>
      <c r="C258" s="150"/>
      <c r="D258" s="150"/>
      <c r="E258" s="150"/>
      <c r="F258" s="150"/>
      <c r="G258" s="150">
        <v>2012</v>
      </c>
      <c r="H258" s="150" t="s">
        <v>77</v>
      </c>
      <c r="I258" s="261" t="s">
        <v>1389</v>
      </c>
      <c r="J258" s="231" t="s">
        <v>1390</v>
      </c>
      <c r="K258" s="234" t="s">
        <v>1391</v>
      </c>
      <c r="L258" s="164"/>
      <c r="M258" s="150"/>
      <c r="N258" s="150"/>
      <c r="O258" s="150"/>
      <c r="P258" s="150"/>
      <c r="Q258" s="150"/>
      <c r="R258" s="150"/>
      <c r="S258" s="165"/>
      <c r="T258" s="150"/>
      <c r="U258" s="166">
        <v>45977</v>
      </c>
      <c r="V258" s="167" t="s">
        <v>207</v>
      </c>
      <c r="W258" s="165"/>
      <c r="X258" s="165"/>
      <c r="Y258" s="233"/>
    </row>
    <row r="259" spans="1:25" ht="36.75" customHeight="1" x14ac:dyDescent="0.25">
      <c r="A259" s="222">
        <v>234</v>
      </c>
      <c r="B259" s="150" t="s">
        <v>1616</v>
      </c>
      <c r="C259" s="150"/>
      <c r="D259" s="150"/>
      <c r="E259" s="150"/>
      <c r="F259" s="150"/>
      <c r="G259" s="150"/>
      <c r="H259" s="150" t="s">
        <v>77</v>
      </c>
      <c r="I259" s="262" t="s">
        <v>1617</v>
      </c>
      <c r="J259" s="241"/>
      <c r="K259" s="234" t="s">
        <v>1618</v>
      </c>
      <c r="L259" s="164"/>
      <c r="M259" s="150"/>
      <c r="N259" s="150"/>
      <c r="O259" s="150"/>
      <c r="P259" s="150"/>
      <c r="Q259" s="150"/>
      <c r="R259" s="150"/>
      <c r="S259" s="165"/>
      <c r="T259" s="150"/>
      <c r="U259" s="166">
        <v>45977</v>
      </c>
      <c r="V259" s="167" t="s">
        <v>207</v>
      </c>
      <c r="W259" s="165"/>
      <c r="X259" s="165"/>
      <c r="Y259" s="233"/>
    </row>
    <row r="260" spans="1:25" ht="36.75" customHeight="1" x14ac:dyDescent="0.25">
      <c r="A260" s="222">
        <v>235</v>
      </c>
      <c r="B260" s="150" t="s">
        <v>1619</v>
      </c>
      <c r="C260" s="150"/>
      <c r="D260" s="150"/>
      <c r="E260" s="150"/>
      <c r="F260" s="150"/>
      <c r="G260" s="150"/>
      <c r="H260" s="150" t="s">
        <v>77</v>
      </c>
      <c r="I260" s="262" t="s">
        <v>1620</v>
      </c>
      <c r="J260" s="241"/>
      <c r="K260" s="234" t="s">
        <v>1618</v>
      </c>
      <c r="L260" s="164"/>
      <c r="M260" s="150"/>
      <c r="N260" s="150"/>
      <c r="O260" s="150"/>
      <c r="P260" s="150"/>
      <c r="Q260" s="150"/>
      <c r="R260" s="150"/>
      <c r="S260" s="165"/>
      <c r="T260" s="150"/>
      <c r="U260" s="166">
        <v>45977</v>
      </c>
      <c r="V260" s="167" t="s">
        <v>207</v>
      </c>
      <c r="W260" s="165"/>
      <c r="X260" s="165"/>
      <c r="Y260" s="233"/>
    </row>
    <row r="261" spans="1:25" ht="409.5" x14ac:dyDescent="0.25">
      <c r="A261" s="245">
        <v>236</v>
      </c>
      <c r="B261" s="150" t="s">
        <v>1621</v>
      </c>
      <c r="C261" s="150" t="s">
        <v>1435</v>
      </c>
      <c r="D261" s="150" t="s">
        <v>8</v>
      </c>
      <c r="E261" s="150" t="s">
        <v>370</v>
      </c>
      <c r="F261" s="150"/>
      <c r="G261" s="150">
        <v>2021</v>
      </c>
      <c r="H261" s="150" t="s">
        <v>493</v>
      </c>
      <c r="I261" s="261" t="s">
        <v>1622</v>
      </c>
      <c r="J261" s="231" t="s">
        <v>1623</v>
      </c>
      <c r="K261" s="234" t="s">
        <v>1624</v>
      </c>
      <c r="L261" s="237" t="s">
        <v>1625</v>
      </c>
      <c r="M261" s="150" t="s">
        <v>1626</v>
      </c>
      <c r="N261" s="150" t="s">
        <v>18</v>
      </c>
      <c r="O261" s="150"/>
      <c r="P261" s="150"/>
      <c r="Q261" s="150"/>
      <c r="R261" s="150"/>
      <c r="S261" s="165" t="s">
        <v>58</v>
      </c>
      <c r="T261" s="150" t="s">
        <v>7</v>
      </c>
      <c r="U261" s="166">
        <v>45977</v>
      </c>
      <c r="V261" s="167" t="s">
        <v>207</v>
      </c>
      <c r="W261" s="165"/>
      <c r="X261" s="165"/>
      <c r="Y261" s="233"/>
    </row>
    <row r="262" spans="1:25" ht="409.5" x14ac:dyDescent="0.25">
      <c r="A262" s="227">
        <v>237</v>
      </c>
      <c r="B262" s="150" t="s">
        <v>1627</v>
      </c>
      <c r="C262" s="150" t="s">
        <v>1435</v>
      </c>
      <c r="D262" s="150" t="s">
        <v>8</v>
      </c>
      <c r="E262" s="150" t="s">
        <v>522</v>
      </c>
      <c r="F262" s="150" t="s">
        <v>534</v>
      </c>
      <c r="G262" s="150">
        <v>2019</v>
      </c>
      <c r="H262" s="150" t="s">
        <v>416</v>
      </c>
      <c r="I262" s="261" t="s">
        <v>1628</v>
      </c>
      <c r="J262" s="231" t="s">
        <v>1629</v>
      </c>
      <c r="K262" s="234" t="s">
        <v>1630</v>
      </c>
      <c r="L262" s="235" t="s">
        <v>1631</v>
      </c>
      <c r="M262" s="246" t="s">
        <v>22</v>
      </c>
      <c r="N262" s="150" t="s">
        <v>18</v>
      </c>
      <c r="O262" s="150" t="s">
        <v>6</v>
      </c>
      <c r="P262" s="150"/>
      <c r="Q262" s="150"/>
      <c r="R262" s="150"/>
      <c r="S262" s="165" t="s">
        <v>58</v>
      </c>
      <c r="T262" s="150" t="s">
        <v>7</v>
      </c>
      <c r="U262" s="166">
        <v>45977</v>
      </c>
      <c r="V262" s="167" t="s">
        <v>207</v>
      </c>
      <c r="W262" s="165"/>
      <c r="X262" s="165"/>
      <c r="Y262" s="233"/>
    </row>
    <row r="263" spans="1:25" ht="409.5" x14ac:dyDescent="0.25">
      <c r="A263" s="227">
        <v>238</v>
      </c>
      <c r="B263" s="150" t="s">
        <v>1632</v>
      </c>
      <c r="C263" s="150" t="s">
        <v>1603</v>
      </c>
      <c r="D263" s="150" t="s">
        <v>8</v>
      </c>
      <c r="E263" s="150" t="s">
        <v>538</v>
      </c>
      <c r="F263" s="150" t="s">
        <v>534</v>
      </c>
      <c r="G263" s="150">
        <v>2016</v>
      </c>
      <c r="H263" s="150" t="s">
        <v>416</v>
      </c>
      <c r="I263" s="261" t="s">
        <v>1633</v>
      </c>
      <c r="J263" s="231" t="s">
        <v>1634</v>
      </c>
      <c r="K263" s="234" t="s">
        <v>1635</v>
      </c>
      <c r="L263" s="237" t="s">
        <v>1636</v>
      </c>
      <c r="M263" s="246" t="s">
        <v>22</v>
      </c>
      <c r="N263" s="150" t="s">
        <v>524</v>
      </c>
      <c r="O263" s="150" t="s">
        <v>18</v>
      </c>
      <c r="P263" s="150"/>
      <c r="Q263" s="150"/>
      <c r="R263" s="150"/>
      <c r="S263" s="165" t="s">
        <v>58</v>
      </c>
      <c r="T263" s="150" t="s">
        <v>7</v>
      </c>
      <c r="U263" s="166">
        <v>45977</v>
      </c>
      <c r="V263" s="167" t="s">
        <v>207</v>
      </c>
      <c r="W263" s="165"/>
      <c r="X263" s="165"/>
      <c r="Y263" s="233"/>
    </row>
    <row r="265" spans="1:25" ht="36.75" customHeight="1" x14ac:dyDescent="0.25">
      <c r="B265" s="269" t="s">
        <v>1658</v>
      </c>
      <c r="C265" s="269" t="s">
        <v>491</v>
      </c>
      <c r="D265" s="269" t="s">
        <v>1659</v>
      </c>
      <c r="E265" s="270"/>
      <c r="F265" s="270" t="s">
        <v>1660</v>
      </c>
      <c r="G265" s="269" t="s">
        <v>132</v>
      </c>
      <c r="H265" s="271" t="s">
        <v>1661</v>
      </c>
      <c r="I265" s="269" t="s">
        <v>1662</v>
      </c>
      <c r="J265" s="269"/>
      <c r="K265" s="269" t="s">
        <v>33</v>
      </c>
      <c r="L265" s="269" t="s">
        <v>1663</v>
      </c>
      <c r="M265" s="269" t="s">
        <v>58</v>
      </c>
      <c r="N265" s="269" t="s">
        <v>7</v>
      </c>
      <c r="U265" s="275" t="s">
        <v>1710</v>
      </c>
    </row>
    <row r="266" spans="1:25" ht="36.75" customHeight="1" x14ac:dyDescent="0.25">
      <c r="B266" s="272" t="s">
        <v>1664</v>
      </c>
      <c r="C266" s="272" t="s">
        <v>491</v>
      </c>
      <c r="D266" s="272" t="s">
        <v>1665</v>
      </c>
      <c r="E266" s="273"/>
      <c r="F266" s="273" t="s">
        <v>1666</v>
      </c>
      <c r="G266" s="272" t="s">
        <v>132</v>
      </c>
      <c r="H266" s="274" t="s">
        <v>1667</v>
      </c>
      <c r="I266" s="272" t="s">
        <v>1668</v>
      </c>
      <c r="J266" s="272"/>
      <c r="K266" s="272" t="s">
        <v>33</v>
      </c>
      <c r="L266" s="272" t="s">
        <v>1669</v>
      </c>
      <c r="M266" s="272" t="s">
        <v>58</v>
      </c>
      <c r="N266" s="272" t="s">
        <v>7</v>
      </c>
      <c r="U266" s="275" t="s">
        <v>1710</v>
      </c>
    </row>
    <row r="267" spans="1:25" ht="36.75" customHeight="1" x14ac:dyDescent="0.25">
      <c r="B267" s="269" t="s">
        <v>1670</v>
      </c>
      <c r="C267" s="269" t="s">
        <v>491</v>
      </c>
      <c r="D267" s="269" t="s">
        <v>1665</v>
      </c>
      <c r="E267" s="270"/>
      <c r="F267" s="270" t="s">
        <v>1671</v>
      </c>
      <c r="G267" s="269" t="s">
        <v>132</v>
      </c>
      <c r="H267" s="271" t="s">
        <v>1672</v>
      </c>
      <c r="I267" s="269" t="s">
        <v>1673</v>
      </c>
      <c r="J267" s="269"/>
      <c r="K267" s="269" t="s">
        <v>33</v>
      </c>
      <c r="L267" s="269" t="s">
        <v>1669</v>
      </c>
      <c r="M267" s="269" t="s">
        <v>58</v>
      </c>
      <c r="N267" s="269" t="s">
        <v>7</v>
      </c>
      <c r="U267" s="275" t="s">
        <v>1710</v>
      </c>
    </row>
    <row r="268" spans="1:25" ht="36.75" customHeight="1" x14ac:dyDescent="0.25">
      <c r="B268" s="272" t="s">
        <v>1674</v>
      </c>
      <c r="C268" s="272" t="s">
        <v>491</v>
      </c>
      <c r="D268" s="272" t="s">
        <v>1659</v>
      </c>
      <c r="E268" s="273"/>
      <c r="F268" s="273" t="s">
        <v>1675</v>
      </c>
      <c r="G268" s="272" t="s">
        <v>132</v>
      </c>
      <c r="H268" s="274" t="s">
        <v>1676</v>
      </c>
      <c r="I268" s="272" t="s">
        <v>1677</v>
      </c>
      <c r="J268" s="272"/>
      <c r="K268" s="272" t="s">
        <v>33</v>
      </c>
      <c r="L268" s="272" t="s">
        <v>1678</v>
      </c>
      <c r="M268" s="272" t="s">
        <v>58</v>
      </c>
      <c r="N268" s="272" t="s">
        <v>5</v>
      </c>
      <c r="U268" s="275" t="s">
        <v>1710</v>
      </c>
    </row>
    <row r="269" spans="1:25" ht="36.75" customHeight="1" x14ac:dyDescent="0.25">
      <c r="B269" s="269" t="s">
        <v>1679</v>
      </c>
      <c r="C269" s="269" t="s">
        <v>491</v>
      </c>
      <c r="D269" s="269" t="s">
        <v>1659</v>
      </c>
      <c r="E269" s="270"/>
      <c r="F269" s="270" t="s">
        <v>1680</v>
      </c>
      <c r="G269" s="269" t="s">
        <v>132</v>
      </c>
      <c r="H269" s="271" t="s">
        <v>1681</v>
      </c>
      <c r="I269" s="269" t="s">
        <v>1682</v>
      </c>
      <c r="J269" s="269"/>
      <c r="K269" s="269" t="s">
        <v>33</v>
      </c>
      <c r="L269" s="269" t="s">
        <v>1683</v>
      </c>
      <c r="M269" s="269" t="s">
        <v>58</v>
      </c>
      <c r="N269" s="269" t="s">
        <v>7</v>
      </c>
      <c r="U269" s="275" t="s">
        <v>1710</v>
      </c>
    </row>
    <row r="270" spans="1:25" ht="36.75" customHeight="1" x14ac:dyDescent="0.25">
      <c r="B270" s="272" t="s">
        <v>1684</v>
      </c>
      <c r="C270" s="272" t="s">
        <v>491</v>
      </c>
      <c r="D270" s="272" t="s">
        <v>1685</v>
      </c>
      <c r="E270" s="273"/>
      <c r="F270" s="273" t="s">
        <v>1686</v>
      </c>
      <c r="G270" s="272" t="s">
        <v>132</v>
      </c>
      <c r="H270" s="274" t="s">
        <v>1687</v>
      </c>
      <c r="I270" s="272" t="s">
        <v>1688</v>
      </c>
      <c r="J270" s="272"/>
      <c r="K270" s="272" t="s">
        <v>33</v>
      </c>
      <c r="L270" s="272" t="s">
        <v>1689</v>
      </c>
      <c r="M270" s="272" t="s">
        <v>58</v>
      </c>
      <c r="N270" s="272" t="s">
        <v>7</v>
      </c>
      <c r="U270" s="275" t="s">
        <v>1710</v>
      </c>
    </row>
    <row r="271" spans="1:25" ht="36.75" customHeight="1" x14ac:dyDescent="0.25">
      <c r="B271" s="269" t="s">
        <v>1690</v>
      </c>
      <c r="C271" s="269" t="s">
        <v>491</v>
      </c>
      <c r="D271" s="269" t="s">
        <v>1685</v>
      </c>
      <c r="E271" s="270"/>
      <c r="F271" s="270" t="s">
        <v>1691</v>
      </c>
      <c r="G271" s="269" t="s">
        <v>132</v>
      </c>
      <c r="H271" s="271" t="s">
        <v>1692</v>
      </c>
      <c r="I271" s="269" t="s">
        <v>1693</v>
      </c>
      <c r="J271" s="269"/>
      <c r="K271" s="269" t="s">
        <v>33</v>
      </c>
      <c r="L271" s="269" t="s">
        <v>1694</v>
      </c>
      <c r="M271" s="269" t="s">
        <v>58</v>
      </c>
      <c r="N271" s="269" t="s">
        <v>7</v>
      </c>
      <c r="U271" s="275" t="s">
        <v>1710</v>
      </c>
    </row>
    <row r="272" spans="1:25" ht="36.75" customHeight="1" x14ac:dyDescent="0.25">
      <c r="B272" s="272" t="s">
        <v>1695</v>
      </c>
      <c r="C272" s="272" t="s">
        <v>491</v>
      </c>
      <c r="D272" s="272" t="s">
        <v>1696</v>
      </c>
      <c r="E272" s="273"/>
      <c r="F272" s="273" t="s">
        <v>1371</v>
      </c>
      <c r="G272" s="272" t="s">
        <v>132</v>
      </c>
      <c r="H272" s="274" t="s">
        <v>1697</v>
      </c>
      <c r="I272" s="272" t="s">
        <v>1698</v>
      </c>
      <c r="J272" s="272" t="s">
        <v>1699</v>
      </c>
      <c r="K272" s="272" t="s">
        <v>33</v>
      </c>
      <c r="L272" s="272" t="s">
        <v>1700</v>
      </c>
      <c r="M272" s="272" t="s">
        <v>58</v>
      </c>
      <c r="N272" s="272" t="s">
        <v>7</v>
      </c>
      <c r="U272" s="275" t="s">
        <v>1710</v>
      </c>
    </row>
    <row r="273" spans="2:21" ht="36.75" customHeight="1" x14ac:dyDescent="0.25">
      <c r="B273" s="269" t="s">
        <v>1701</v>
      </c>
      <c r="C273" s="269" t="s">
        <v>491</v>
      </c>
      <c r="D273" s="269" t="s">
        <v>1665</v>
      </c>
      <c r="E273" s="270"/>
      <c r="F273" s="270" t="s">
        <v>1702</v>
      </c>
      <c r="G273" s="269" t="s">
        <v>132</v>
      </c>
      <c r="H273" s="271" t="s">
        <v>1703</v>
      </c>
      <c r="I273" s="269" t="s">
        <v>1704</v>
      </c>
      <c r="J273" s="269"/>
      <c r="K273" s="269" t="s">
        <v>33</v>
      </c>
      <c r="L273" s="269" t="s">
        <v>1705</v>
      </c>
      <c r="M273" s="269" t="s">
        <v>58</v>
      </c>
      <c r="N273" s="269" t="s">
        <v>7</v>
      </c>
      <c r="U273" s="275" t="s">
        <v>1710</v>
      </c>
    </row>
    <row r="274" spans="2:21" ht="36.75" customHeight="1" x14ac:dyDescent="0.25">
      <c r="B274" s="272" t="s">
        <v>1706</v>
      </c>
      <c r="C274" s="272" t="s">
        <v>491</v>
      </c>
      <c r="D274" s="272" t="s">
        <v>1665</v>
      </c>
      <c r="E274" s="273"/>
      <c r="F274" s="273" t="s">
        <v>1707</v>
      </c>
      <c r="G274" s="272" t="s">
        <v>132</v>
      </c>
      <c r="H274" s="274" t="s">
        <v>1708</v>
      </c>
      <c r="I274" s="272" t="s">
        <v>1709</v>
      </c>
      <c r="J274" s="272"/>
      <c r="K274" s="272" t="s">
        <v>33</v>
      </c>
      <c r="L274" s="272" t="s">
        <v>1700</v>
      </c>
      <c r="M274" s="272" t="s">
        <v>58</v>
      </c>
      <c r="N274" s="272" t="s">
        <v>7</v>
      </c>
      <c r="U274" s="275" t="s">
        <v>1710</v>
      </c>
    </row>
  </sheetData>
  <phoneticPr fontId="18" type="noConversion"/>
  <dataValidations count="1">
    <dataValidation type="list" allowBlank="1" showErrorMessage="1" sqref="S74 S72 S65 S18:S36 S49:S57 S126 S130:S169 T196:T224 T227:T234" xr:uid="{7F1189B0-D4F8-4A14-90FF-F6673C3D55AC}">
      <formula1>"International,National,Regional"</formula1>
    </dataValidation>
  </dataValidations>
  <hyperlinks>
    <hyperlink ref="J99" r:id="rId1" xr:uid="{B6F8A4A4-5B03-4268-8996-A5436EEF51CC}"/>
    <hyperlink ref="J98" r:id="rId2" xr:uid="{A59D0ACD-3461-4E0F-8D0D-10B7707ABCA5}"/>
    <hyperlink ref="J97" r:id="rId3" xr:uid="{A55B0F13-2666-4A5D-8159-57D393A0BF22}"/>
    <hyperlink ref="J96" r:id="rId4" xr:uid="{0992C8C7-20DF-4297-B4E6-A209F4783F62}"/>
    <hyperlink ref="J74" r:id="rId5" xr:uid="{20882B5B-57DD-42C2-A28C-4ADBE4689CE0}"/>
    <hyperlink ref="J73" r:id="rId6" xr:uid="{4461A8F7-0536-450C-9CD0-A6835B06E072}"/>
    <hyperlink ref="J71" r:id="rId7" xr:uid="{7958FD85-1828-4505-AD79-FADEBFD44E24}"/>
    <hyperlink ref="J69" r:id="rId8" xr:uid="{1801D904-C17F-40B0-895C-08B983492BCB}"/>
    <hyperlink ref="K68" r:id="rId9" xr:uid="{267BAA63-3B47-4192-BA5E-C896349661E2}"/>
    <hyperlink ref="J68" r:id="rId10" xr:uid="{284DDE2C-BE1A-409D-84BC-098BC1C41AC2}"/>
    <hyperlink ref="K67" r:id="rId11" xr:uid="{1019D635-4E2A-4FEF-9700-EC2CB83A07AF}"/>
    <hyperlink ref="J67" r:id="rId12" xr:uid="{EFC85260-68F7-4C37-BF0A-349CF6A70AF9}"/>
    <hyperlink ref="K66" r:id="rId13" xr:uid="{EA4C5F34-AE12-4542-9A78-51427440DC37}"/>
    <hyperlink ref="J66" r:id="rId14" xr:uid="{8099CED5-44D8-436D-9EBC-8F85C7E9EBB9}"/>
    <hyperlink ref="K65" r:id="rId15" xr:uid="{9DDA0242-58EF-4BF0-AF2C-32B341ADF459}"/>
    <hyperlink ref="J65" r:id="rId16" xr:uid="{FDD93A08-6E6D-4675-BEC0-9DC8C0425F15}"/>
    <hyperlink ref="K70" r:id="rId17" xr:uid="{09CB9609-9F58-4EAF-8CD4-34B81EF6C5EB}"/>
    <hyperlink ref="J70" r:id="rId18" xr:uid="{03DB5480-88E7-4378-9EC1-BB320F91B270}"/>
    <hyperlink ref="J61" r:id="rId19" xr:uid="{9518B27D-C93B-4502-86A2-F2AA83C0627E}"/>
    <hyperlink ref="J64" r:id="rId20" xr:uid="{64628FA2-A9BD-4753-AC55-5F0E66420072}"/>
    <hyperlink ref="J63" r:id="rId21" xr:uid="{E53AC0B1-9F8E-4C44-8FB5-188440637F14}"/>
    <hyperlink ref="J62" r:id="rId22" xr:uid="{A39D7C6A-5814-4D81-98CF-5315472E0FC9}"/>
    <hyperlink ref="J52" r:id="rId23" xr:uid="{8FD08B79-1F23-44A0-B86C-3FFF174A8B71}"/>
    <hyperlink ref="J58" r:id="rId24" xr:uid="{462CDBA8-3F1A-41A1-8C18-851065851059}"/>
    <hyperlink ref="J50" r:id="rId25" xr:uid="{17242B27-EBA8-4125-9D8B-902D67E2F425}"/>
    <hyperlink ref="J28" r:id="rId26" xr:uid="{876FE2A0-0444-4537-A474-5205FEF35A2C}"/>
    <hyperlink ref="J29" r:id="rId27" xr:uid="{A612DB42-0C33-4301-8521-58F94760BDE8}"/>
    <hyperlink ref="J35" r:id="rId28" xr:uid="{61A90A5B-BF31-4563-9E77-9EC22D2C3B03}"/>
    <hyperlink ref="K35" r:id="rId29" xr:uid="{7569DCE8-D443-43DB-ADA7-A4791FDFB8C5}"/>
    <hyperlink ref="J27" r:id="rId30" xr:uid="{FC1C7527-0C08-4BD6-A65F-7E3F215F0482}"/>
    <hyperlink ref="K27" r:id="rId31" xr:uid="{6A7D4ED0-8186-401A-8A39-A279151BBEB0}"/>
    <hyperlink ref="K20" r:id="rId32" location=" " xr:uid="{D05AA286-C553-4B9D-82DB-F24738495EA0}"/>
    <hyperlink ref="K19" r:id="rId33" location=" " xr:uid="{42F07AE6-F6E0-4364-A26E-D9077D556512}"/>
    <hyperlink ref="K18" r:id="rId34" location=" " xr:uid="{DC04F53E-C41F-4225-8CAB-935BEB031C59}"/>
    <hyperlink ref="K49" r:id="rId35" xr:uid="{DEDB5FC8-5798-4C5A-B486-2361BFC2637C}"/>
    <hyperlink ref="K48" r:id="rId36" xr:uid="{FAD5F2D4-EA3B-486D-B66E-EFAA8819F48B}"/>
    <hyperlink ref="J43" r:id="rId37" xr:uid="{A4B42E59-5F07-4D77-A078-82F45E1A9F52}"/>
    <hyperlink ref="K47" r:id="rId38" xr:uid="{F3196275-4CDB-4A64-B9DE-99A2F637707A}"/>
    <hyperlink ref="K46" r:id="rId39" xr:uid="{C8AD38DA-324A-40B0-8684-CE222F9FC3A1}"/>
    <hyperlink ref="K45" r:id="rId40" xr:uid="{E0CEB60F-D0FD-4AF3-A0C8-228C1F1BF056}"/>
    <hyperlink ref="K44" r:id="rId41" xr:uid="{C0C401CC-BA3E-4553-B620-41F3367A353F}"/>
    <hyperlink ref="K43" r:id="rId42" xr:uid="{C88F3972-70EB-44C3-88D2-6757AE438252}"/>
    <hyperlink ref="K42" r:id="rId43" xr:uid="{52819D00-2E03-4A52-BEE2-2B3B4ABC6BFD}"/>
    <hyperlink ref="K41" r:id="rId44" xr:uid="{3234167A-48F3-4000-A523-3238AB4354A6}"/>
    <hyperlink ref="K40" r:id="rId45" xr:uid="{6A984924-4DEF-45DF-B040-CCCCEB859E9D}"/>
    <hyperlink ref="K39" r:id="rId46" xr:uid="{CE637328-3D9E-49CB-9DEF-087CDEA3692B}"/>
    <hyperlink ref="J33" r:id="rId47" xr:uid="{DA9DB901-8482-4DE0-8F8F-7B293D3D48FB}"/>
    <hyperlink ref="J37" r:id="rId48" xr:uid="{7AD68DD8-D1FA-4381-88B7-9D657894E43D}"/>
    <hyperlink ref="J38" r:id="rId49" xr:uid="{9997D995-E543-459C-943A-1E5CC177FA29}"/>
    <hyperlink ref="J30" r:id="rId50" xr:uid="{BB543D39-B2F7-4A7A-B061-913D133FFCAC}"/>
    <hyperlink ref="J26" r:id="rId51" xr:uid="{ADF7E2FE-48B4-4F06-8226-855A40C2EC7A}"/>
    <hyperlink ref="J25" r:id="rId52" xr:uid="{AF959882-4055-44A6-B4CA-30AEB8814A7A}"/>
    <hyperlink ref="J24" r:id="rId53" xr:uid="{A4E72FC0-F350-4EC2-A142-1431282BCF94}"/>
    <hyperlink ref="J23" r:id="rId54" xr:uid="{F236E38A-DEEE-45D3-B771-F5C90FB9D720}"/>
    <hyperlink ref="J22" r:id="rId55" xr:uid="{EDD23331-3EA5-4F24-9CA5-7E1309C2ABF1}"/>
    <hyperlink ref="J21" r:id="rId56" xr:uid="{FD792F0E-60F8-4AE9-9A4D-52B859C4DC67}"/>
    <hyperlink ref="J126" r:id="rId57" xr:uid="{6F83D633-2C4C-457F-B2E8-0F2E9A77798E}"/>
    <hyperlink ref="J17" r:id="rId58" xr:uid="{BB8908F4-2BAA-47AE-A7BC-AA27C241867B}"/>
    <hyperlink ref="J16" r:id="rId59" xr:uid="{C8A1C1F2-638B-4845-9B14-3DD6E7F994D0}"/>
    <hyperlink ref="J15" r:id="rId60" xr:uid="{5BEEE328-ACEE-45F8-BDF8-814F5147EF5E}"/>
    <hyperlink ref="J60" r:id="rId61" xr:uid="{E776DFD3-FD90-40C7-8C12-D88E6CD5157C}"/>
    <hyperlink ref="J130" r:id="rId62" xr:uid="{4FCE3432-7B21-44E0-B271-60003D14FAE2}"/>
    <hyperlink ref="J129" r:id="rId63" xr:uid="{F127E780-E9D4-44FE-A05C-98593AEF342E}"/>
    <hyperlink ref="J128" r:id="rId64" xr:uid="{3B1861FB-2440-462B-BF8E-627D69D4ABCB}"/>
    <hyperlink ref="J131" r:id="rId65" xr:uid="{9F51E9CD-054C-4F42-9353-059E8C25B4EB}"/>
    <hyperlink ref="J139" r:id="rId66" xr:uid="{F3A987A4-387B-468C-9D11-89B5DA26967F}"/>
    <hyperlink ref="J138" r:id="rId67" xr:uid="{4C33BEC3-AEF8-48A1-81AD-6C5CE3EB619B}"/>
    <hyperlink ref="J137" r:id="rId68" xr:uid="{CCD0C277-A06D-4FFE-99FB-105398222205}"/>
    <hyperlink ref="J136" r:id="rId69" xr:uid="{553053A2-1D72-42BC-8ECA-F38F45DA7CB7}"/>
    <hyperlink ref="J135" r:id="rId70" xr:uid="{BCD68DC7-6E84-44EF-8FF8-19ADBA709E3F}"/>
    <hyperlink ref="J134" r:id="rId71" xr:uid="{21D05F9E-E688-4CB0-A86F-11C9A2FFB6C8}"/>
    <hyperlink ref="J133" r:id="rId72" xr:uid="{D92B57FC-DAA4-4BD2-BC54-5837D16D01F0}"/>
    <hyperlink ref="J132" r:id="rId73" xr:uid="{D5E1AC72-91B7-4015-A620-BCDDF16F3329}"/>
    <hyperlink ref="J140" r:id="rId74" xr:uid="{9EE6E780-020F-48AC-943D-16B3E417E8B3}"/>
    <hyperlink ref="K132" r:id="rId75" xr:uid="{93C86784-4212-48E1-9375-72198872380C}"/>
    <hyperlink ref="K133" r:id="rId76" xr:uid="{27DD8403-C86C-4F35-8CB6-024CB1946428}"/>
    <hyperlink ref="K134" r:id="rId77" xr:uid="{18CE6980-6C16-4D14-8E0A-918F4373440A}"/>
    <hyperlink ref="K135" r:id="rId78" xr:uid="{BEFB520B-D855-464B-8691-74843D09248A}"/>
    <hyperlink ref="K136" r:id="rId79" xr:uid="{F9D8712B-720A-47E7-A8AF-54FE66426FDC}"/>
    <hyperlink ref="K137" r:id="rId80" xr:uid="{286A77BA-BA78-4DAB-BDA1-42946E7C7EA2}"/>
    <hyperlink ref="K138" r:id="rId81" xr:uid="{8A1AB584-AE31-4D1C-AF3E-D63565681A25}"/>
    <hyperlink ref="K139" r:id="rId82" xr:uid="{E158CAA7-A964-4DE8-9E36-5DB80A475AA0}"/>
    <hyperlink ref="J176" r:id="rId83" xr:uid="{BEC7572E-9186-44E3-9733-BB983E089890}"/>
    <hyperlink ref="K176" r:id="rId84" xr:uid="{76E22319-D980-49B0-94CB-D50B499EB206}"/>
    <hyperlink ref="J177" r:id="rId85" xr:uid="{FB1B713D-F721-4F8A-A43F-5AB45D5E8667}"/>
    <hyperlink ref="K177" r:id="rId86" xr:uid="{FED8AB67-56D7-494F-99F0-2544188BF0D2}"/>
    <hyperlink ref="J178" r:id="rId87" xr:uid="{8C93A7C1-2E63-4186-B8DE-4B1A1EDE3BA1}"/>
    <hyperlink ref="J179" r:id="rId88" xr:uid="{3D83E17F-FC3D-4FAD-A00A-CD9E85EA138C}"/>
    <hyperlink ref="J180" r:id="rId89" xr:uid="{A24F3E69-4F55-4C85-B9E8-401CD62C9C87}"/>
    <hyperlink ref="J181" r:id="rId90" xr:uid="{9F0F6EE8-1C4E-48EA-A446-883938969CE8}"/>
    <hyperlink ref="J2" r:id="rId91" xr:uid="{7FDFD2E8-41FC-4232-B761-BB1B60AE6CF3}"/>
    <hyperlink ref="J3" r:id="rId92" xr:uid="{21101D2D-3A1B-44BC-ABED-74571EA99ED5}"/>
    <hyperlink ref="J7" r:id="rId93" xr:uid="{E62112C3-327A-4A13-97BC-24BE8C35C960}"/>
    <hyperlink ref="J9:J10" r:id="rId94" display="https://rm.coe.int/internal-system/4880299b55" xr:uid="{520ACE2B-586F-4A1D-86AA-30DA77CC075C}"/>
    <hyperlink ref="J12:J13" r:id="rId95" display="https://rm.coe.int/internal-system/4880299b55" xr:uid="{A567B064-5BFD-4079-8C7E-563EE6FBE3FE}"/>
    <hyperlink ref="J18:J20" r:id="rId96" display="https://rm.coe.int/internal-system/4880299b55" xr:uid="{8637F672-2023-416B-8032-56E74A380873}"/>
    <hyperlink ref="J31:J32" r:id="rId97" display="https://rm.coe.int/internal-system/4880299b55" xr:uid="{7A24199C-8552-41F4-8021-33EC9A1087B0}"/>
    <hyperlink ref="J34" r:id="rId98" xr:uid="{0BC963D9-DC27-4DC5-944E-0A3826B87AB0}"/>
    <hyperlink ref="J36" r:id="rId99" xr:uid="{F85B3A24-5FDD-417A-BFBA-00FBC8BD9F9D}"/>
    <hyperlink ref="J39:J42" r:id="rId100" display="https://rm.coe.int/internal-system/4880299b55" xr:uid="{8368944F-EF69-4D80-AB6D-573834486782}"/>
    <hyperlink ref="J44:J45" r:id="rId101" display="https://rm.coe.int/internal-system/4880299b55" xr:uid="{C7516ED0-6070-47B0-84E5-D6EF57714DC3}"/>
    <hyperlink ref="J47:J49" r:id="rId102" display="https://rm.coe.int/internal-system/4880299b55" xr:uid="{ACFF836C-20AF-40F0-B30B-EB8274123D64}"/>
    <hyperlink ref="J55:J57" r:id="rId103" display="https://rm.coe.int/internal-system/4880299b55" xr:uid="{198810D7-7A4E-49CC-B90B-41FED7449AA6}"/>
    <hyperlink ref="J59" r:id="rId104" xr:uid="{AAFC06BC-AF43-4E5D-A6F0-EA4A6C97C7E8}"/>
    <hyperlink ref="J75:J95" r:id="rId105" display="https://rm.coe.int/internal-system/4880299b55" xr:uid="{C507C299-E9AB-4D0E-814F-05CDEB65BF31}"/>
    <hyperlink ref="J141:J152" r:id="rId106" display="https://rm.coe.int/internal-system/4880299b55" xr:uid="{32C883AF-FF4E-4261-8E7D-113D20F6332E}"/>
    <hyperlink ref="J155" r:id="rId107" xr:uid="{1C911800-B0A0-4410-A3F0-DCC11111DB83}"/>
    <hyperlink ref="J157:J159" r:id="rId108" display="https://rm.coe.int/internal-system/4880299b55" xr:uid="{A90C2659-A2FD-4739-AA91-32771EED3B53}"/>
    <hyperlink ref="J161:J162" r:id="rId109" display="https://rm.coe.int/internal-system/4880299b55" xr:uid="{784F53F8-82C9-4A82-AAFC-C86E039785ED}"/>
    <hyperlink ref="J170:J175" r:id="rId110" display="https://rm.coe.int/internal-system/4880299b55" xr:uid="{F4955825-6910-4749-B9D5-5F221E4764D1}"/>
    <hyperlink ref="J11" r:id="rId111" xr:uid="{2B5FABA2-64C5-4733-860C-D762C10EEB81}"/>
    <hyperlink ref="J188" r:id="rId112" xr:uid="{708287AB-43C5-8543-A8CC-3C6793088860}"/>
    <hyperlink ref="J186" r:id="rId113" location="verantwoordGebruik" xr:uid="{69CDAFDB-5395-8A44-B7C6-336041C92387}"/>
    <hyperlink ref="J189" r:id="rId114" location="algemeneInformatie " xr:uid="{90E1FEF3-CB77-9342-B83E-73742BD43FBE}"/>
    <hyperlink ref="J190" r:id="rId115" location="algemeneInformatie" xr:uid="{B7B667D1-A0EA-1142-ADB2-5D7574B67784}"/>
    <hyperlink ref="J191" r:id="rId116" location=" " xr:uid="{A3696DAD-CC52-294E-B891-8DFE8D72ADC3}"/>
    <hyperlink ref="J192" r:id="rId117" location="/" xr:uid="{4952AADF-84D5-E740-A2DD-6734BB8E7B1D}"/>
    <hyperlink ref="L197" r:id="rId118" location="forschungsprojekte" xr:uid="{7C88C1D0-36B7-48D7-87A3-32C2234C5D26}"/>
    <hyperlink ref="K197" r:id="rId119" xr:uid="{40E27A0E-98CF-4604-814E-D8D0CDC456A8}"/>
    <hyperlink ref="K198" r:id="rId120" xr:uid="{3558E288-33D8-4A62-9D0B-24858D7F463E}"/>
    <hyperlink ref="K200" r:id="rId121" xr:uid="{BD614F4D-E94A-43DE-8021-31EB499B9982}"/>
    <hyperlink ref="K201" r:id="rId122" xr:uid="{8A27CD92-5886-4A2C-AEC6-4C258168ABD7}"/>
    <hyperlink ref="K218" r:id="rId123" xr:uid="{7465C13D-B905-424F-ADC9-8306E0FB509E}"/>
    <hyperlink ref="K222" r:id="rId124" xr:uid="{669DD8F0-3979-4243-9D80-C34A46287B91}"/>
    <hyperlink ref="K227" r:id="rId125" xr:uid="{9179F87B-CE8B-4D5A-B76D-06AEBD2D8796}"/>
    <hyperlink ref="L217" r:id="rId126" xr:uid="{9924FB47-A51D-4627-AB90-201F211BD388}"/>
    <hyperlink ref="K217" r:id="rId127" xr:uid="{6F807D24-9FD7-4C3B-9320-CC015B857C23}"/>
    <hyperlink ref="K233" r:id="rId128" xr:uid="{36C23FC5-E7C5-4D0A-A1FD-8359749945CD}"/>
    <hyperlink ref="K232" r:id="rId129" xr:uid="{2DE2AB13-7D67-45D1-80B2-59740B27A0C3}"/>
    <hyperlink ref="K231" r:id="rId130" xr:uid="{4BDF64FE-ED25-4910-BFCA-EED12035D524}"/>
    <hyperlink ref="K214" r:id="rId131" xr:uid="{85B7A674-303B-4496-A14F-6206C00FC37D}"/>
    <hyperlink ref="K230" r:id="rId132" xr:uid="{F5C585F5-BA3D-41AF-A339-7F7B4D58EAE1}"/>
    <hyperlink ref="K212" r:id="rId133" xr:uid="{7FC9CE69-276B-475E-B6CC-1C7141B25B16}"/>
    <hyperlink ref="K211" r:id="rId134" xr:uid="{5610A4A7-17B8-488F-B114-97A5E13466E4}"/>
    <hyperlink ref="K236" r:id="rId135" xr:uid="{71501166-16CC-4C3B-9D9A-FC1C52DE9097}"/>
    <hyperlink ref="K235" r:id="rId136" xr:uid="{F3A3D940-C6A1-4653-A9DB-F9D65F46B66A}"/>
    <hyperlink ref="K243" r:id="rId137" xr:uid="{8F2DD4AF-B791-4337-ADC6-DDC89A6CBE20}"/>
    <hyperlink ref="K241" r:id="rId138" xr:uid="{171787F5-BBD9-4AC0-BE74-763411FCCD9E}"/>
    <hyperlink ref="K248" r:id="rId139" xr:uid="{8F04300F-D19D-43DA-AA01-40358CD1E92F}"/>
    <hyperlink ref="L248" r:id="rId140" xr:uid="{98D38578-F21B-4C40-A634-2EAD55DF29B5}"/>
    <hyperlink ref="K249" r:id="rId141" xr:uid="{276EDF36-9083-4BE5-8158-4A8CA4AD4353}"/>
    <hyperlink ref="L249" r:id="rId142" xr:uid="{D219B1A9-DE66-4F62-A2DD-9D4E6843BD03}"/>
    <hyperlink ref="K250" r:id="rId143" xr:uid="{31DF91A8-E5DD-4FA6-BBB1-B0F28F170A43}"/>
    <hyperlink ref="L250" r:id="rId144" xr:uid="{4E85E0E6-CF56-4EC7-9458-B2489623A158}"/>
    <hyperlink ref="K242" r:id="rId145" xr:uid="{D992C5A7-1FD7-455E-9B02-AD1F7DBC0AD8}"/>
    <hyperlink ref="K251" r:id="rId146" xr:uid="{A54934F8-E34A-4F05-B15F-F80503C4A637}"/>
    <hyperlink ref="K252" r:id="rId147" xr:uid="{3E02C430-B5DD-4853-A6CD-19EA9765ED4D}"/>
    <hyperlink ref="K254" r:id="rId148" xr:uid="{22A3289D-74BE-4CEB-8B02-82F7DAFF86F3}"/>
    <hyperlink ref="K255" r:id="rId149" xr:uid="{FF4FE632-A9D6-49A0-ACB5-7719284479C2}"/>
    <hyperlink ref="K256" r:id="rId150" xr:uid="{C0F90B26-AF56-433E-83F3-4A83DE070544}"/>
    <hyperlink ref="K257" r:id="rId151" xr:uid="{DE6D71F3-7E71-4EFB-B0CE-66B288765EC4}"/>
    <hyperlink ref="K258" r:id="rId152" location="verantwoordGebruik" xr:uid="{5C54FB95-A3DD-4951-92C2-722658274CEF}"/>
    <hyperlink ref="K259" r:id="rId153" location="verantwoordGebruik" xr:uid="{8237DEB8-88ED-47FC-AF79-1E6E7E748B64}"/>
    <hyperlink ref="K260" r:id="rId154" location="verantwoordGebruik" xr:uid="{42D812C3-61CA-4A33-87F0-406BA85FA2FD}"/>
    <hyperlink ref="K261" r:id="rId155" xr:uid="{89FC414E-517F-4B53-B119-CF9F215D81B3}"/>
    <hyperlink ref="L261" r:id="rId156" xr:uid="{E0372E57-2BE8-41F0-B8F5-51C3E2AFA39B}"/>
    <hyperlink ref="K262" r:id="rId157" xr:uid="{0BCEDCE9-C860-4D08-A303-65B95031F425}"/>
    <hyperlink ref="L262" r:id="rId158" xr:uid="{34EFC1A3-739A-463C-8230-7F33D4286F4F}"/>
    <hyperlink ref="K263" r:id="rId159" xr:uid="{D6811B20-5DA8-43F8-9002-B96FE12C2E24}"/>
    <hyperlink ref="L263" r:id="rId160" xr:uid="{D562A4F5-9FD5-47A4-BE04-E5096FE45B1A}"/>
    <hyperlink ref="J187" r:id="rId161" xr:uid="{BDCCA9AD-2013-4115-A979-DB5131829671}"/>
    <hyperlink ref="K187" r:id="rId162" xr:uid="{A8CF0931-FB62-4A1C-96FD-7DEF91434698}"/>
  </hyperlinks>
  <pageMargins left="0.7" right="0.7" top="0.75" bottom="0.75" header="0.3" footer="0.3"/>
  <pageSetup paperSize="9" orientation="portrait" verticalDpi="599" r:id="rId163"/>
  <legacyDrawing r:id="rId164"/>
  <tableParts count="1">
    <tablePart r:id="rId16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59A6-09A5-428B-962E-7157636759E9}">
  <sheetPr codeName="Sheet3">
    <tabColor rgb="FF00B0F0"/>
  </sheetPr>
  <dimension ref="A1:T186"/>
  <sheetViews>
    <sheetView topLeftCell="I185" zoomScale="90" zoomScaleNormal="90" workbookViewId="0">
      <selection activeCell="M186" sqref="M186"/>
    </sheetView>
  </sheetViews>
  <sheetFormatPr defaultColWidth="8.85546875" defaultRowHeight="15" x14ac:dyDescent="0.25"/>
  <cols>
    <col min="1" max="1" width="17.140625" style="13" customWidth="1"/>
    <col min="2" max="2" width="44.7109375" style="14" customWidth="1"/>
    <col min="3" max="3" width="22.140625" style="14" customWidth="1"/>
    <col min="4" max="5" width="30.42578125" style="14" customWidth="1"/>
    <col min="6" max="7" width="33.28515625" style="14" customWidth="1"/>
    <col min="8" max="9" width="50.85546875" style="14" customWidth="1"/>
    <col min="10" max="11" width="24.28515625" style="15" customWidth="1"/>
    <col min="12" max="12" width="23.42578125" customWidth="1"/>
    <col min="13" max="17" width="22.140625" style="14" customWidth="1"/>
    <col min="18" max="18" width="47.28515625" style="14" customWidth="1"/>
    <col min="19" max="19" width="60.140625" style="14" customWidth="1"/>
  </cols>
  <sheetData>
    <row r="1" spans="1:20" s="6" customFormat="1" ht="30" x14ac:dyDescent="0.25">
      <c r="A1" s="9" t="s">
        <v>0</v>
      </c>
      <c r="B1" s="9" t="s">
        <v>97</v>
      </c>
      <c r="C1" s="9" t="s">
        <v>1</v>
      </c>
      <c r="D1" s="9" t="s">
        <v>107</v>
      </c>
      <c r="E1" s="9" t="s">
        <v>99</v>
      </c>
      <c r="F1" s="9" t="s">
        <v>108</v>
      </c>
      <c r="G1" s="9" t="s">
        <v>70</v>
      </c>
      <c r="H1" s="9" t="s">
        <v>109</v>
      </c>
      <c r="I1" s="9" t="s">
        <v>117</v>
      </c>
      <c r="J1" s="28" t="s">
        <v>110</v>
      </c>
      <c r="K1" s="28" t="s">
        <v>310</v>
      </c>
      <c r="L1" s="9" t="s">
        <v>15</v>
      </c>
      <c r="M1" s="9" t="s">
        <v>2</v>
      </c>
      <c r="N1" s="9" t="s">
        <v>98</v>
      </c>
      <c r="O1" s="9" t="s">
        <v>100</v>
      </c>
      <c r="P1" s="9" t="s">
        <v>101</v>
      </c>
      <c r="Q1" s="9" t="s">
        <v>102</v>
      </c>
      <c r="R1" s="9" t="s">
        <v>3</v>
      </c>
      <c r="S1" s="9" t="s">
        <v>4</v>
      </c>
      <c r="T1" s="12" t="s">
        <v>267</v>
      </c>
    </row>
    <row r="2" spans="1:20" ht="225" x14ac:dyDescent="0.25">
      <c r="A2" s="19">
        <f>Projects[[#This Row],[NR]]</f>
        <v>1</v>
      </c>
      <c r="B2" s="19" t="str">
        <f>IF(Projects[[#This Row],[Title]]="","",Projects[[#This Row],[Title]])</f>
        <v xml:space="preserve">Automated allocation and processing of incoming documents </v>
      </c>
      <c r="C2" s="19" t="str">
        <f>IF(Projects[[#This Row],[AI Relevance]]="","",Projects[[#This Row],[AI Relevance]])</f>
        <v>AI</v>
      </c>
      <c r="D2" s="19" t="str">
        <f>_xlfn.XLOOKUP(Projects[[#This Row],[Area1]],Table1[Area],Table1[FRArea],"Check",FALSE)</f>
        <v>6 - Triage, attribution et automatisation des flux de travail</v>
      </c>
      <c r="E2" s="19" t="str">
        <f>IF(Projects[[#This Row],[Area2]]="","",_xlfn.XLOOKUP(Projects[[#This Row],[Area2]],Table1[Area],Table1[FRArea],"Check",FALSE))</f>
        <v/>
      </c>
      <c r="F2" s="19">
        <f>IF(Projects[[#This Row],[Year]]="","",Projects[[#This Row],[Year]])</f>
        <v>2017</v>
      </c>
      <c r="G2" s="19" t="str">
        <f>_xlfn.XLOOKUP(Projects[[#This Row],[Country]],Table2[Country],Table2[Pays],"Check",FALSE)</f>
        <v>Autriche</v>
      </c>
      <c r="H2" s="19" t="str">
        <f>IF(Projects[[#This Row],[Description]]="","",Projects[[#This Row],[Description]])</f>
        <v xml:space="preserve">Fully automated allocation and processing of incoming documents from electronic channels and/or scanned documents; the extraction of metadata and identification of case numbers with NLP, the categorisation and titling of documents; as well as the recognition of the type of proceedings of new incoming cases. It aims to solve the problem of time-consuming manual document management. The digital filing system also provides other (small) AI tools, e.g. suggests workflows or tasks to the judge (e.g. treating the costs of proceedings). The solution is based on machine learning. </v>
      </c>
      <c r="I2" s="29" t="str">
        <f>IF(Projects[[#This Row],[DescriptionFR]]="","",Projects[[#This Row],[DescriptionFR]])</f>
        <v xml:space="preserve">L'attribution et le traitement entièrement automatisés des documents entrants provenant de canaux électroniques et/ou de documents scannés ; l'extraction de métadonnées et l'identification des numéros de dossier grâce au traitement du langage naturel, la catégorisation et le titrage des documents ; ainsi que la reconnaissance du type d’affaires des nouveaux dossiers entrants. Il vise à résoudre le problème de la gestion manuelle des documents, qui prend beaucoup de temps. Le système de dépôt numérique fournit également d'autres (petits) outils d'IA, par exemple en suggérant des flux de travail ou des tâches au juge (par exemple le traitement des frais de procédure). La solution est basée sur l'apprentissage automatique. </v>
      </c>
      <c r="J2" s="30" t="str">
        <f>IF(Projects[[#This Row],[Link]]="","",Projects[[#This Row],[Link]])</f>
        <v>https://rm.coe.int/internal-system/4880299b55</v>
      </c>
      <c r="K2" s="30" t="str">
        <f>IF(Projects[[#This Row],[Link1]]="","",Projects[[#This Row],[Link1]])</f>
        <v>https://www.justiz.gv.at/file/2c94848b6ff7074f017493349cf54406.de.0/it-anwendungen%20in%20der%20%C3%B6sterreichischen%20justiz%20stand%20august%202020.pdf?forcedownload=true</v>
      </c>
      <c r="L2" s="19" t="str">
        <f>_xlfn.XLOOKUP(Projects[[#This Row],[Implemented by]],Table3[Implemented by],Table3[ImplementedFR],"",FALSE)</f>
        <v xml:space="preserve">Publique </v>
      </c>
      <c r="M2" s="19" t="str">
        <f>_xlfn.XLOOKUP(Projects[[#This Row],[Target audience]],Table4[Target audience],Table4[Target audienceFR],"",FALSE)</f>
        <v>Juges/greffiers</v>
      </c>
      <c r="N2" s="19" t="str">
        <f>IF(Projects[[#This Row],[Target audience2]]="","",_xlfn.XLOOKUP(Projects[[#This Row],[Target audience2]],Table4[Target audience],Table4[Target audienceFR],"Check",FALSE))</f>
        <v>Gestion</v>
      </c>
      <c r="O2" s="19" t="str">
        <f>IF(Projects[[#This Row],[Target audience3]]="","",_xlfn.XLOOKUP(Projects[[#This Row],[Target audience3]],Table4[Target audience],Table4[Target audienceFR],"Check",FALSE))</f>
        <v/>
      </c>
      <c r="P2" s="19" t="str">
        <f>IF(Projects[[#This Row],[Target audience4]]="","",_xlfn.XLOOKUP(Projects[[#This Row],[Target audience4]],Table4[Target audience],Table4[Target audienceFR],"Check",FALSE))</f>
        <v/>
      </c>
      <c r="Q2" s="19" t="str">
        <f>IF(Projects[[#This Row],[Target audience5]]="","",_xlfn.XLOOKUP(Projects[[#This Row],[Target audience5]],Table4[Target audience],Table4[Target audienceFR],"Check",FALSE))</f>
        <v/>
      </c>
      <c r="R2" s="19" t="str">
        <f>_xlfn.XLOOKUP(Projects[[#This Row],[Status]],Table8[Status],Table8[StatusFR],"",FALSE)</f>
        <v>Fonctionnel</v>
      </c>
      <c r="S2" s="19" t="str">
        <f>_xlfn.XLOOKUP(Projects[[#This Row],[Coverage]],Table7[Coverage],Table7[CoverageFR],"",FALSE)</f>
        <v xml:space="preserve">National </v>
      </c>
      <c r="T2" s="31" t="str">
        <f>IF(Projects[[#This Row],[To publish]]="","",Projects[[#This Row],[To publish]])</f>
        <v>Batch1</v>
      </c>
    </row>
    <row r="3" spans="1:20" ht="120" x14ac:dyDescent="0.25">
      <c r="A3" s="19">
        <f>Projects[[#This Row],[NR]]</f>
        <v>2</v>
      </c>
      <c r="B3" s="19" t="str">
        <f>IF(Projects[[#This Row],[Title]]="","",Projects[[#This Row],[Title]])</f>
        <v>Assegnazione Automatica Contenzioso Civile e Volontaria Giurisdizione / Automatic civil case assignment to judges</v>
      </c>
      <c r="C3" s="19" t="str">
        <f>IF(Projects[[#This Row],[AI Relevance]]="","",Projects[[#This Row],[AI Relevance]])</f>
        <v>non-AI</v>
      </c>
      <c r="D3" s="19" t="str">
        <f>_xlfn.XLOOKUP(Projects[[#This Row],[Area1]],Table1[Area],Table1[FRArea],"Check",FALSE)</f>
        <v>6 - Triage, attribution et automatisation des flux de travail</v>
      </c>
      <c r="E3" s="19" t="str">
        <f>IF(Projects[[#This Row],[Area2]]="","",_xlfn.XLOOKUP(Projects[[#This Row],[Area2]],Table1[Area],Table1[FRArea],"Check",FALSE))</f>
        <v/>
      </c>
      <c r="F3" s="19">
        <f>IF(Projects[[#This Row],[Year]]="","",Projects[[#This Row],[Year]])</f>
        <v>2014</v>
      </c>
      <c r="G3" s="19" t="str">
        <f>_xlfn.XLOOKUP(Projects[[#This Row],[Country]],Table2[Country],Table2[Pays],"Check",FALSE)</f>
        <v>Italie</v>
      </c>
      <c r="H3" s="19" t="str">
        <f>IF(Projects[[#This Row],[Description]]="","",Projects[[#This Row],[Description]])</f>
        <v>Algorithm developed by the Ministry of Justice for assigning civil files to judges, according to the following requirements: random assignment, fair distribution of case, both in quantitative and qualitative terms. According to the assignment criteria defined through specific configuration parameters, the algorithm is customizable by each court.</v>
      </c>
      <c r="I3" s="29" t="str">
        <f>IF(Projects[[#This Row],[DescriptionFR]]="","",Projects[[#This Row],[DescriptionFR]])</f>
        <v>Algorithme développé par le ministère de la Justice pour l'attribution des dossiers civils aux juges, selon les exigences suivantes : attribution aléatoire, distribution équitable des affaires, tant en termes quantitatifs que qualitatifs. En fonction des critères d'attribution définis par des paramètres de configuration spécifiques, l'algorithme est personnalisable par chaque tribunal.</v>
      </c>
      <c r="J3" s="30" t="str">
        <f>IF(Projects[[#This Row],[Link]]="","",Projects[[#This Row],[Link]])</f>
        <v>https://rm.coe.int/internal-system/4880299b55</v>
      </c>
      <c r="K3" s="30" t="str">
        <f>IF(Projects[[#This Row],[Link1]]="","",Projects[[#This Row],[Link1]])</f>
        <v>https://www.tribunale.napolinord.giustizia.it/documentazione/D_59023.pdf</v>
      </c>
      <c r="L3" s="19" t="str">
        <f>_xlfn.XLOOKUP(Projects[[#This Row],[Implemented by]],Table3[Implemented by],Table3[ImplementedFR],"",FALSE)</f>
        <v xml:space="preserve">Publique </v>
      </c>
      <c r="M3" s="19" t="str">
        <f>_xlfn.XLOOKUP(Projects[[#This Row],[Target audience]],Table4[Target audience],Table4[Target audienceFR],"",FALSE)</f>
        <v>Gestion</v>
      </c>
      <c r="N3" s="19" t="str">
        <f>IF(Projects[[#This Row],[Target audience2]]="","",_xlfn.XLOOKUP(Projects[[#This Row],[Target audience2]],Table4[Target audience],Table4[Target audienceFR],"Check",FALSE))</f>
        <v/>
      </c>
      <c r="O3" s="19" t="str">
        <f>IF(Projects[[#This Row],[Target audience3]]="","",_xlfn.XLOOKUP(Projects[[#This Row],[Target audience3]],Table4[Target audience],Table4[Target audienceFR],"Check",FALSE))</f>
        <v/>
      </c>
      <c r="P3" s="19" t="str">
        <f>IF(Projects[[#This Row],[Target audience4]]="","",_xlfn.XLOOKUP(Projects[[#This Row],[Target audience4]],Table4[Target audience],Table4[Target audienceFR],"Check",FALSE))</f>
        <v/>
      </c>
      <c r="Q3" s="19" t="str">
        <f>IF(Projects[[#This Row],[Target audience5]]="","",_xlfn.XLOOKUP(Projects[[#This Row],[Target audience5]],Table4[Target audience],Table4[Target audienceFR],"Check",FALSE))</f>
        <v/>
      </c>
      <c r="R3" s="19" t="str">
        <f>_xlfn.XLOOKUP(Projects[[#This Row],[Status]],Table8[Status],Table8[StatusFR],"",FALSE)</f>
        <v>Fonctionnel</v>
      </c>
      <c r="S3" s="19" t="str">
        <f>_xlfn.XLOOKUP(Projects[[#This Row],[Coverage]],Table7[Coverage],Table7[CoverageFR],"",FALSE)</f>
        <v xml:space="preserve">National </v>
      </c>
      <c r="T3" s="31" t="str">
        <f>IF(Projects[[#This Row],[To publish]]="","",Projects[[#This Row],[To publish]])</f>
        <v>Batch1</v>
      </c>
    </row>
    <row r="4" spans="1:20" ht="75" x14ac:dyDescent="0.25">
      <c r="A4" s="19">
        <f>Projects[[#This Row],[NR]]</f>
        <v>3</v>
      </c>
      <c r="B4" s="19" t="str">
        <f>IF(Projects[[#This Row],[Title]]="","",Projects[[#This Row],[Title]])</f>
        <v>CLAUDETTE / An Automated Detector for Potentially Unfair Clauses</v>
      </c>
      <c r="C4" s="19" t="str">
        <f>IF(Projects[[#This Row],[AI Relevance]]="","",Projects[[#This Row],[AI Relevance]])</f>
        <v>AI</v>
      </c>
      <c r="D4" s="19" t="str">
        <f>_xlfn.XLOOKUP(Projects[[#This Row],[Area1]],Table1[Area],Table1[FRArea],"Check",FALSE)</f>
        <v>1 - Recherche documentaire</v>
      </c>
      <c r="E4" s="19" t="str">
        <f>IF(Projects[[#This Row],[Area2]]="","",_xlfn.XLOOKUP(Projects[[#This Row],[Area2]],Table1[Area],Table1[FRArea],"Check",FALSE))</f>
        <v/>
      </c>
      <c r="F4" s="19">
        <f>IF(Projects[[#This Row],[Year]]="","",Projects[[#This Row],[Year]])</f>
        <v>2019</v>
      </c>
      <c r="G4" s="19" t="str">
        <f>_xlfn.XLOOKUP(Projects[[#This Row],[Country]],Table2[Country],Table2[Pays],"Check",FALSE)</f>
        <v>Italie</v>
      </c>
      <c r="H4" s="19" t="str">
        <f>IF(Projects[[#This Row],[Description]]="","",Projects[[#This Row],[Description]])</f>
        <v>CLAUDETTE is a web server for the automatic detection of potentially unfair clauses in Terms of Service documents, developed and maintained for research purposes only.</v>
      </c>
      <c r="I4" s="29" t="str">
        <f>IF(Projects[[#This Row],[DescriptionFR]]="","",Projects[[#This Row],[DescriptionFR]])</f>
        <v>CLAUDETTE est un serveur web pour la détection automatique de clauses potentiellement abusives dans les documents de conditions d'utilisation, développé et maintenu à des fins de recherche uniquement.</v>
      </c>
      <c r="J4" s="30" t="str">
        <f>IF(Projects[[#This Row],[Link]]="","",Projects[[#This Row],[Link]])</f>
        <v>http://claudette.eui.eu/demo/</v>
      </c>
      <c r="K4" s="30" t="str">
        <f>IF(Projects[[#This Row],[Link1]]="","",Projects[[#This Row],[Link1]])</f>
        <v/>
      </c>
      <c r="L4" s="19" t="str">
        <f>_xlfn.XLOOKUP(Projects[[#This Row],[Implemented by]],Table3[Implemented by],Table3[ImplementedFR],"",FALSE)</f>
        <v>Recherche/Universitaire</v>
      </c>
      <c r="M4" s="19" t="str">
        <f>_xlfn.XLOOKUP(Projects[[#This Row],[Target audience]],Table4[Target audience],Table4[Target audienceFR],"",FALSE)</f>
        <v>Avocats</v>
      </c>
      <c r="N4" s="19" t="str">
        <f>IF(Projects[[#This Row],[Target audience2]]="","",_xlfn.XLOOKUP(Projects[[#This Row],[Target audience2]],Table4[Target audience],Table4[Target audienceFR],"Check",FALSE))</f>
        <v>Usagers des tribunaux (Grand public)</v>
      </c>
      <c r="O4" s="19" t="str">
        <f>IF(Projects[[#This Row],[Target audience3]]="","",_xlfn.XLOOKUP(Projects[[#This Row],[Target audience3]],Table4[Target audience],Table4[Target audienceFR],"Check",FALSE))</f>
        <v/>
      </c>
      <c r="P4" s="19" t="str">
        <f>IF(Projects[[#This Row],[Target audience4]]="","",_xlfn.XLOOKUP(Projects[[#This Row],[Target audience4]],Table4[Target audience],Table4[Target audienceFR],"Check",FALSE))</f>
        <v/>
      </c>
      <c r="Q4" s="19" t="str">
        <f>IF(Projects[[#This Row],[Target audience5]]="","",_xlfn.XLOOKUP(Projects[[#This Row],[Target audience5]],Table4[Target audience],Table4[Target audienceFR],"Check",FALSE))</f>
        <v/>
      </c>
      <c r="R4" s="19" t="str">
        <f>_xlfn.XLOOKUP(Projects[[#This Row],[Status]],Table8[Status],Table8[StatusFR],"",FALSE)</f>
        <v>Fonctionnel</v>
      </c>
      <c r="S4" s="19" t="str">
        <f>_xlfn.XLOOKUP(Projects[[#This Row],[Coverage]],Table7[Coverage],Table7[CoverageFR],"",FALSE)</f>
        <v>International</v>
      </c>
      <c r="T4" s="31" t="str">
        <f>IF(Projects[[#This Row],[To publish]]="","",Projects[[#This Row],[To publish]])</f>
        <v>Batch1</v>
      </c>
    </row>
    <row r="5" spans="1:20" ht="195" x14ac:dyDescent="0.25">
      <c r="A5" s="19">
        <f>Projects[[#This Row],[NR]]</f>
        <v>5</v>
      </c>
      <c r="B5" s="19" t="str">
        <f>IF(Projects[[#This Row],[Title]]="","",Projects[[#This Row],[Title]])</f>
        <v>LEXIQ / Case Law Engine</v>
      </c>
      <c r="C5" s="19" t="str">
        <f>IF(Projects[[#This Row],[AI Relevance]]="","",Projects[[#This Row],[AI Relevance]])</f>
        <v>AI</v>
      </c>
      <c r="D5" s="19" t="str">
        <f>_xlfn.XLOOKUP(Projects[[#This Row],[Area1]],Table1[Area],Table1[FRArea],"Check",FALSE)</f>
        <v>1 - Recherche documentaire</v>
      </c>
      <c r="E5" s="19" t="str">
        <f>IF(Projects[[#This Row],[Area2]]="","",_xlfn.XLOOKUP(Projects[[#This Row],[Area2]],Table1[Area],Table1[FRArea],"Check",FALSE))</f>
        <v>3 - Prévision des résultats des litiges</v>
      </c>
      <c r="F5" s="19">
        <f>IF(Projects[[#This Row],[Year]]="","",Projects[[#This Row],[Year]])</f>
        <v>2017</v>
      </c>
      <c r="G5" s="19" t="str">
        <f>_xlfn.XLOOKUP(Projects[[#This Row],[Country]],Table2[Country],Table2[Pays],"Check",FALSE)</f>
        <v>Pays-Bas</v>
      </c>
      <c r="H5" s="19" t="str">
        <f>IF(Projects[[#This Row],[Description]]="","",Projects[[#This Row],[Description]])</f>
        <v xml:space="preserve">LexIQ developed a Case Law Engine for the Dutch Public Prosecution Service, aimed to support prosecutors and researchers in their daily work to search, analyse and make use of insights in criminal cases. Its main purpose is to save time and give users an indication of the possible outcomes in court. Additionally, it also helps them discover hidden information. Using machine learning algorithms and features, such as data visualisations and intuitive search functionalities, offers a new approach to the overload of existing information. </v>
      </c>
      <c r="I5" s="29" t="str">
        <f>IF(Projects[[#This Row],[DescriptionFR]]="","",Projects[[#This Row],[DescriptionFR]])</f>
        <v xml:space="preserve">LexIQ a développé un moteur de jurisprudence pour le ministère public néerlandais, afin d'aider les procureurs et les chercheurs dans leur travail quotidien de recherche, d'analyse et d'utilisation des informations relatives aux affaires pénales. Son principal objectif est de faire gagner du temps aux utilisateurs et de leur donner une indication de l'issue possible de l'affaire devant le tribunal. En outre, il les aide à découvrir des informations cachées. L'utilisation d'algorithmes d'apprentissage automatique et de fonctionnalités telles que la visualisation des données et la recherche intuitive offre une nouvelle approche de la surcharge d'informations existantes. </v>
      </c>
      <c r="J5" s="30" t="str">
        <f>IF(Projects[[#This Row],[Link]]="","",Projects[[#This Row],[Link]])</f>
        <v>https://www.lexiq.nl</v>
      </c>
      <c r="K5" s="30" t="str">
        <f>IF(Projects[[#This Row],[Link1]]="","",Projects[[#This Row],[Link1]])</f>
        <v/>
      </c>
      <c r="L5" s="19" t="str">
        <f>_xlfn.XLOOKUP(Projects[[#This Row],[Implemented by]],Table3[Implemented by],Table3[ImplementedFR],"",FALSE)</f>
        <v xml:space="preserve">Publique </v>
      </c>
      <c r="M5" s="19" t="str">
        <f>_xlfn.XLOOKUP(Projects[[#This Row],[Target audience]],Table4[Target audience],Table4[Target audienceFR],"",FALSE)</f>
        <v>Procureurs/greffiers</v>
      </c>
      <c r="N5" s="19" t="str">
        <f>IF(Projects[[#This Row],[Target audience2]]="","",_xlfn.XLOOKUP(Projects[[#This Row],[Target audience2]],Table4[Target audience],Table4[Target audienceFR],"Check",FALSE))</f>
        <v>Usagers des tribunaux (Grand public)</v>
      </c>
      <c r="O5" s="19" t="str">
        <f>IF(Projects[[#This Row],[Target audience3]]="","",_xlfn.XLOOKUP(Projects[[#This Row],[Target audience3]],Table4[Target audience],Table4[Target audienceFR],"Check",FALSE))</f>
        <v/>
      </c>
      <c r="P5" s="19" t="str">
        <f>IF(Projects[[#This Row],[Target audience4]]="","",_xlfn.XLOOKUP(Projects[[#This Row],[Target audience4]],Table4[Target audience],Table4[Target audienceFR],"Check",FALSE))</f>
        <v/>
      </c>
      <c r="Q5" s="19" t="str">
        <f>IF(Projects[[#This Row],[Target audience5]]="","",_xlfn.XLOOKUP(Projects[[#This Row],[Target audience5]],Table4[Target audience],Table4[Target audienceFR],"Check",FALSE))</f>
        <v/>
      </c>
      <c r="R5" s="19" t="str">
        <f>_xlfn.XLOOKUP(Projects[[#This Row],[Status]],Table8[Status],Table8[StatusFR],"",FALSE)</f>
        <v>Fonctionnel</v>
      </c>
      <c r="S5" s="19" t="str">
        <f>_xlfn.XLOOKUP(Projects[[#This Row],[Coverage]],Table7[Coverage],Table7[CoverageFR],"",FALSE)</f>
        <v xml:space="preserve">National </v>
      </c>
      <c r="T5" s="31" t="str">
        <f>IF(Projects[[#This Row],[To publish]]="","",Projects[[#This Row],[To publish]])</f>
        <v>Withdrawn</v>
      </c>
    </row>
    <row r="6" spans="1:20" ht="240" x14ac:dyDescent="0.25">
      <c r="A6" s="19">
        <f>Projects[[#This Row],[NR]]</f>
        <v>7</v>
      </c>
      <c r="B6" s="19" t="str">
        <f>IF(Projects[[#This Row],[Title]]="","",Projects[[#This Row],[Title]])</f>
        <v>SLPS / Random Case Allocation System</v>
      </c>
      <c r="C6" s="19" t="str">
        <f>IF(Projects[[#This Row],[AI Relevance]]="","",Projects[[#This Row],[AI Relevance]])</f>
        <v>non-AI</v>
      </c>
      <c r="D6" s="19" t="str">
        <f>_xlfn.XLOOKUP(Projects[[#This Row],[Area1]],Table1[Area],Table1[FRArea],"Check",FALSE)</f>
        <v>6 - Triage, attribution et automatisation des flux de travail</v>
      </c>
      <c r="E6" s="19" t="str">
        <f>IF(Projects[[#This Row],[Area2]]="","",_xlfn.XLOOKUP(Projects[[#This Row],[Area2]],Table1[Area],Table1[FRArea],"Check",FALSE))</f>
        <v/>
      </c>
      <c r="F6" s="19">
        <f>IF(Projects[[#This Row],[Year]]="","",Projects[[#This Row],[Year]])</f>
        <v>2018</v>
      </c>
      <c r="G6" s="19" t="str">
        <f>_xlfn.XLOOKUP(Projects[[#This Row],[Country]],Table2[Country],Table2[Pays],"Check",FALSE)</f>
        <v>Pologne</v>
      </c>
      <c r="H6" s="19" t="str">
        <f>IF(Projects[[#This Row],[Description]]="","",Projects[[#This Row],[Description]])</f>
        <v>The Random Allocation of Judges System (Polish abbreviation: SLPS) is a web-based application used to randomly assign cases to judges. It is configured in such a way that there is no possibility of interference in the randomization process, which is carried out automatically - without user participation. The system provides judges with a guarantee of uniformity of workload rules in the court. It makes it possible to preserve the existing specializations of judges and considers the performance of a judge's functions - such as department chairman or visiting judge -, guarantees the correct workload of a judge, and gives the possibility of withholding the assignment of cases to a judge who is handling an exceptionally heavy case.</v>
      </c>
      <c r="I6" s="29" t="str">
        <f>IF(Projects[[#This Row],[DescriptionFR]]="","",Projects[[#This Row],[DescriptionFR]])</f>
        <v>Le système d'attribution aléatoire des juges (abréviation polonaise : SLPS) est une application web utilisée pour attribuer aléatoirement des affaires à des juges. Il est configuré de manière à ce qu'il n'y ait aucune possibilité d'interférence dans le processus aléatoire, qui est effectué automatiquement - sans la participation de l'utilisateur. Le système offre aux juges une garantie d'uniformité des règles relatives à la charge de travail au sein du tribunal. Il permet de préserver les spécialisations existantes des juges et prend en compte l'exercice des fonctions d'un juge, comme celles de président de département ou de juge visiteur, garantit une charge de travail correcte pour le juge et donne la possibilité de ne pas attribuer d'affaires à un juge qui traite une affaire exceptionnellement lourde.</v>
      </c>
      <c r="J6" s="30" t="str">
        <f>IF(Projects[[#This Row],[Link]]="","",Projects[[#This Row],[Link]])</f>
        <v>https://www.gov.pl/web/sprawiedliwosc/algorytm</v>
      </c>
      <c r="K6" s="30" t="str">
        <f>IF(Projects[[#This Row],[Link1]]="","",Projects[[#This Row],[Link1]])</f>
        <v/>
      </c>
      <c r="L6" s="19" t="str">
        <f>_xlfn.XLOOKUP(Projects[[#This Row],[Implemented by]],Table3[Implemented by],Table3[ImplementedFR],"",FALSE)</f>
        <v xml:space="preserve">Publique </v>
      </c>
      <c r="M6" s="19" t="str">
        <f>_xlfn.XLOOKUP(Projects[[#This Row],[Target audience]],Table4[Target audience],Table4[Target audienceFR],"",FALSE)</f>
        <v>Juges/greffiers</v>
      </c>
      <c r="N6" s="19" t="str">
        <f>IF(Projects[[#This Row],[Target audience2]]="","",_xlfn.XLOOKUP(Projects[[#This Row],[Target audience2]],Table4[Target audience],Table4[Target audienceFR],"Check",FALSE))</f>
        <v>Usagers des tribunaux (Grand public)</v>
      </c>
      <c r="O6" s="19" t="str">
        <f>IF(Projects[[#This Row],[Target audience3]]="","",_xlfn.XLOOKUP(Projects[[#This Row],[Target audience3]],Table4[Target audience],Table4[Target audienceFR],"Check",FALSE))</f>
        <v/>
      </c>
      <c r="P6" s="19" t="str">
        <f>IF(Projects[[#This Row],[Target audience4]]="","",_xlfn.XLOOKUP(Projects[[#This Row],[Target audience4]],Table4[Target audience],Table4[Target audienceFR],"Check",FALSE))</f>
        <v/>
      </c>
      <c r="Q6" s="19" t="str">
        <f>IF(Projects[[#This Row],[Target audience5]]="","",_xlfn.XLOOKUP(Projects[[#This Row],[Target audience5]],Table4[Target audience],Table4[Target audienceFR],"Check",FALSE))</f>
        <v/>
      </c>
      <c r="R6" s="19" t="str">
        <f>_xlfn.XLOOKUP(Projects[[#This Row],[Status]],Table8[Status],Table8[StatusFR],"",FALSE)</f>
        <v>Fonctionnel</v>
      </c>
      <c r="S6" s="19" t="str">
        <f>_xlfn.XLOOKUP(Projects[[#This Row],[Coverage]],Table7[Coverage],Table7[CoverageFR],"",FALSE)</f>
        <v xml:space="preserve">National </v>
      </c>
      <c r="T6" s="31" t="str">
        <f>IF(Projects[[#This Row],[To publish]]="","",Projects[[#This Row],[To publish]])</f>
        <v>Batch1</v>
      </c>
    </row>
    <row r="7" spans="1:20" ht="210" x14ac:dyDescent="0.25">
      <c r="A7" s="19">
        <f>Projects[[#This Row],[NR]]</f>
        <v>9</v>
      </c>
      <c r="B7" s="19" t="str">
        <f>IF(Projects[[#This Row],[Title]]="","",Projects[[#This Row],[Title]])</f>
        <v>Speech-to-Text</v>
      </c>
      <c r="C7" s="19" t="str">
        <f>IF(Projects[[#This Row],[AI Relevance]]="","",Projects[[#This Row],[AI Relevance]])</f>
        <v>AI</v>
      </c>
      <c r="D7" s="19" t="str">
        <f>_xlfn.XLOOKUP(Projects[[#This Row],[Area1]],Table1[Area],Table1[FRArea],"Check",FALSE)</f>
        <v>7 - Enregistrement, transcription et traduction</v>
      </c>
      <c r="E7" s="19" t="str">
        <f>IF(Projects[[#This Row],[Area2]]="","",_xlfn.XLOOKUP(Projects[[#This Row],[Area2]],Table1[Area],Table1[FRArea],"Check",FALSE))</f>
        <v/>
      </c>
      <c r="F7" s="19">
        <f>IF(Projects[[#This Row],[Year]]="","",Projects[[#This Row],[Year]])</f>
        <v>2018</v>
      </c>
      <c r="G7" s="19" t="str">
        <f>_xlfn.XLOOKUP(Projects[[#This Row],[Country]],Table2[Country],Table2[Pays],"Check",FALSE)</f>
        <v>Croatie</v>
      </c>
      <c r="H7" s="19" t="str">
        <f>IF(Projects[[#This Row],[Description]]="","",Projects[[#This Row],[Description]])</f>
        <v xml:space="preserve">Speech-to-text aims to generate documents (i.e., meeting minutes, decisions from courts and state attorney offices). It aims to help the business processes of courts and state attorney offices. Its algorithm is built on an existing solution (vendor-based: Newton Technology Adria (NTA)), which is then customised to Croatian vocabulary and language usage, along with special requests/needs from the judicial sector. The solution is trained to transcribe speech into a text document. It can be used in a variety of contexts, such as the transcription of meeting minutes or the recording of a court decision. </v>
      </c>
      <c r="I7" s="29" t="str">
        <f>IF(Projects[[#This Row],[DescriptionFR]]="","",Projects[[#This Row],[DescriptionFR]])</f>
        <v xml:space="preserve">La synthèse vocale vise à générer des documents (par exemple, les procès-verbaux des réunions et les décisions des tribunaux et des parquets). Il vise à faciliter les processus opérationnels des tribunaux et des parquets. Son algorithme s'appuie sur une solution existante (basée sur un fournisseur : Newton Technology Adria (NTA)), qui est ensuite adaptée au vocabulaire et à l'usage de la langue croate, ainsi qu'aux demandes et besoins spécifiques du secteur judiciaire. L’instrument est formé à la transcription de la parole dans un document texte. Il peut être utilisé dans divers contextes, tels que la transcription de procès-verbaux de réunions ou l'enregistrement d'une décision de justice. </v>
      </c>
      <c r="J7" s="30" t="str">
        <f>IF(Projects[[#This Row],[Link]]="","",Projects[[#This Row],[Link]])</f>
        <v>https://rm.coe.int/internal-system/4880299b55</v>
      </c>
      <c r="K7" s="30" t="str">
        <f>IF(Projects[[#This Row],[Link1]]="","",Projects[[#This Row],[Link1]])</f>
        <v>https://www.diktiranje.hr/newton-dictate/</v>
      </c>
      <c r="L7" s="19" t="str">
        <f>_xlfn.XLOOKUP(Projects[[#This Row],[Implemented by]],Table3[Implemented by],Table3[ImplementedFR],"",FALSE)</f>
        <v xml:space="preserve">Publique </v>
      </c>
      <c r="M7" s="19" t="str">
        <f>_xlfn.XLOOKUP(Projects[[#This Row],[Target audience]],Table4[Target audience],Table4[Target audienceFR],"",FALSE)</f>
        <v>Juges/greffiers</v>
      </c>
      <c r="N7" s="19" t="str">
        <f>IF(Projects[[#This Row],[Target audience2]]="","",_xlfn.XLOOKUP(Projects[[#This Row],[Target audience2]],Table4[Target audience],Table4[Target audienceFR],"Check",FALSE))</f>
        <v>Gestion</v>
      </c>
      <c r="O7" s="19" t="str">
        <f>IF(Projects[[#This Row],[Target audience3]]="","",_xlfn.XLOOKUP(Projects[[#This Row],[Target audience3]],Table4[Target audience],Table4[Target audienceFR],"Check",FALSE))</f>
        <v/>
      </c>
      <c r="P7" s="19" t="str">
        <f>IF(Projects[[#This Row],[Target audience4]]="","",_xlfn.XLOOKUP(Projects[[#This Row],[Target audience4]],Table4[Target audience],Table4[Target audienceFR],"Check",FALSE))</f>
        <v/>
      </c>
      <c r="Q7" s="19" t="str">
        <f>IF(Projects[[#This Row],[Target audience5]]="","",_xlfn.XLOOKUP(Projects[[#This Row],[Target audience5]],Table4[Target audience],Table4[Target audienceFR],"Check",FALSE))</f>
        <v/>
      </c>
      <c r="R7" s="19" t="str">
        <f>_xlfn.XLOOKUP(Projects[[#This Row],[Status]],Table8[Status],Table8[StatusFR],"",FALSE)</f>
        <v>Fonctionnel</v>
      </c>
      <c r="S7" s="19" t="str">
        <f>_xlfn.XLOOKUP(Projects[[#This Row],[Coverage]],Table7[Coverage],Table7[CoverageFR],"",FALSE)</f>
        <v xml:space="preserve">National </v>
      </c>
      <c r="T7" s="31" t="str">
        <f>IF(Projects[[#This Row],[To publish]]="","",Projects[[#This Row],[To publish]])</f>
        <v>Batch1</v>
      </c>
    </row>
    <row r="8" spans="1:20" ht="105" x14ac:dyDescent="0.25">
      <c r="A8" s="19">
        <f>Projects[[#This Row],[NR]]</f>
        <v>11</v>
      </c>
      <c r="B8" s="19" t="str">
        <f>IF(Projects[[#This Row],[Title]]="","",Projects[[#This Row],[Title]])</f>
        <v xml:space="preserve">Unified state register of court decisions / Єдиний державний реєстр судових рішень
</v>
      </c>
      <c r="C8" s="19" t="str">
        <f>IF(Projects[[#This Row],[AI Relevance]]="","",Projects[[#This Row],[AI Relevance]])</f>
        <v>AI</v>
      </c>
      <c r="D8" s="19" t="str">
        <f>_xlfn.XLOOKUP(Projects[[#This Row],[Area1]],Table1[Area],Table1[FRArea],"Check",FALSE)</f>
        <v>5 - Anonymisation et pseudonymisation</v>
      </c>
      <c r="E8" s="19" t="str">
        <f>IF(Projects[[#This Row],[Area2]]="","",_xlfn.XLOOKUP(Projects[[#This Row],[Area2]],Table1[Area],Table1[FRArea],"Check",FALSE))</f>
        <v/>
      </c>
      <c r="F8" s="19">
        <f>IF(Projects[[#This Row],[Year]]="","",Projects[[#This Row],[Year]])</f>
        <v>2006</v>
      </c>
      <c r="G8" s="19" t="str">
        <f>_xlfn.XLOOKUP(Projects[[#This Row],[Country]],Table2[Country],Table2[Pays],"Check",FALSE)</f>
        <v>Ukraine</v>
      </c>
      <c r="H8" s="19" t="str">
        <f>IF(Projects[[#This Row],[Description]]="","",Projects[[#This Row],[Description]])</f>
        <v>The register of court decisions provides web-based public access to all court decisions in Ukraine. Personal data and other types of information which are defined by law must be anonymized in public access. Anonymization is automated since 2018 and supervised.</v>
      </c>
      <c r="I8" s="29" t="str">
        <f>IF(Projects[[#This Row],[DescriptionFR]]="","",Projects[[#This Row],[DescriptionFR]])</f>
        <v>Le registre des décisions de justice offre un accès public en ligne à toutes les décisions de justice en Ukraine. Les données personnelles et les autres types d'informations définis par la loi doivent être anonymisés dans le cadre de l'accès public. L'anonymisation est automatisée depuis 2018 et supervisée.</v>
      </c>
      <c r="J8" s="30" t="str">
        <f>IF(Projects[[#This Row],[Link]]="","",Projects[[#This Row],[Link]])</f>
        <v>https://reyestr.court.gov.ua</v>
      </c>
      <c r="K8" s="30" t="str">
        <f>IF(Projects[[#This Row],[Link1]]="","",Projects[[#This Row],[Link1]])</f>
        <v/>
      </c>
      <c r="L8" s="19" t="str">
        <f>_xlfn.XLOOKUP(Projects[[#This Row],[Implemented by]],Table3[Implemented by],Table3[ImplementedFR],"",FALSE)</f>
        <v xml:space="preserve">Publique </v>
      </c>
      <c r="M8" s="19" t="str">
        <f>_xlfn.XLOOKUP(Projects[[#This Row],[Target audience]],Table4[Target audience],Table4[Target audienceFR],"",FALSE)</f>
        <v>Usagers des tribunaux (Grand public)</v>
      </c>
      <c r="N8" s="19" t="str">
        <f>IF(Projects[[#This Row],[Target audience2]]="","",_xlfn.XLOOKUP(Projects[[#This Row],[Target audience2]],Table4[Target audience],Table4[Target audienceFR],"Check",FALSE))</f>
        <v>Avocats</v>
      </c>
      <c r="O8" s="19" t="str">
        <f>IF(Projects[[#This Row],[Target audience3]]="","",_xlfn.XLOOKUP(Projects[[#This Row],[Target audience3]],Table4[Target audience],Table4[Target audienceFR],"Check",FALSE))</f>
        <v>Juges/greffiers</v>
      </c>
      <c r="P8" s="19" t="str">
        <f>IF(Projects[[#This Row],[Target audience4]]="","",_xlfn.XLOOKUP(Projects[[#This Row],[Target audience4]],Table4[Target audience],Table4[Target audienceFR],"Check",FALSE))</f>
        <v/>
      </c>
      <c r="Q8" s="19" t="str">
        <f>IF(Projects[[#This Row],[Target audience5]]="","",_xlfn.XLOOKUP(Projects[[#This Row],[Target audience5]],Table4[Target audience],Table4[Target audienceFR],"Check",FALSE))</f>
        <v/>
      </c>
      <c r="R8" s="19" t="str">
        <f>_xlfn.XLOOKUP(Projects[[#This Row],[Status]],Table8[Status],Table8[StatusFR],"",FALSE)</f>
        <v>Fonctionnel</v>
      </c>
      <c r="S8" s="19" t="str">
        <f>_xlfn.XLOOKUP(Projects[[#This Row],[Coverage]],Table7[Coverage],Table7[CoverageFR],"",FALSE)</f>
        <v xml:space="preserve">National </v>
      </c>
      <c r="T8" s="31" t="str">
        <f>IF(Projects[[#This Row],[To publish]]="","",Projects[[#This Row],[To publish]])</f>
        <v>Batch1</v>
      </c>
    </row>
    <row r="9" spans="1:20" ht="120" x14ac:dyDescent="0.25">
      <c r="A9" s="19">
        <f>Projects[[#This Row],[NR]]</f>
        <v>12</v>
      </c>
      <c r="B9" s="19" t="str">
        <f>IF(Projects[[#This Row],[Title]]="","",Projects[[#This Row],[Title]])</f>
        <v xml:space="preserve">AI intake manager / AI in the entrance area </v>
      </c>
      <c r="C9" s="19" t="str">
        <f>IF(Projects[[#This Row],[AI Relevance]]="","",Projects[[#This Row],[AI Relevance]])</f>
        <v>AI</v>
      </c>
      <c r="D9" s="19" t="str">
        <f>_xlfn.XLOOKUP(Projects[[#This Row],[Area1]],Table1[Area],Table1[FRArea],"Check",FALSE)</f>
        <v>6 - Triage, attribution et automatisation des flux de travail</v>
      </c>
      <c r="E9" s="19" t="str">
        <f>IF(Projects[[#This Row],[Area2]]="","",_xlfn.XLOOKUP(Projects[[#This Row],[Area2]],Table1[Area],Table1[FRArea],"Check",FALSE))</f>
        <v/>
      </c>
      <c r="F9" s="19">
        <f>IF(Projects[[#This Row],[Year]]="","",Projects[[#This Row],[Year]])</f>
        <v>2018</v>
      </c>
      <c r="G9" s="19" t="str">
        <f>_xlfn.XLOOKUP(Projects[[#This Row],[Country]],Table2[Country],Table2[Pays],"Check",FALSE)</f>
        <v>Autriche</v>
      </c>
      <c r="H9" s="19" t="str">
        <f>IF(Projects[[#This Row],[Description]]="","",Projects[[#This Row],[Description]])</f>
        <v xml:space="preserve">Fully automated allocation and preparation of incoming documents, without intervention by the entry office or law firm. It is used for document analysis, including extraction of metadata, then categorisation and direct allocation, as well as follow up of the documents' lifecycle.  </v>
      </c>
      <c r="I9" s="29" t="str">
        <f>IF(Projects[[#This Row],[DescriptionFR]]="","",Projects[[#This Row],[DescriptionFR]])</f>
        <v xml:space="preserve">Attribution et préparation entièrement automatisées des documents entrants, sans intervention du bureau d'entrée ou du cabinet d’avocats. It is used for documents' analysis including extraction of metadata, then categorisation and direct allocation, as well as follow up of documents' lifecycle.  </v>
      </c>
      <c r="J9" s="30" t="str">
        <f>IF(Projects[[#This Row],[Link]]="","",Projects[[#This Row],[Link]])</f>
        <v>https://rm.coe.int/internal-system/4880299b55</v>
      </c>
      <c r="K9" s="30" t="str">
        <f>IF(Projects[[#This Row],[Link1]]="","",Projects[[#This Row],[Link1]])</f>
        <v>https://www.justiz.gv.at/file/2c94848b6ff7074f017493349cf54406.de.0/it-anwendungen%20in%20der%20%C3%B6sterreichischen%20justiz%20stand%20august%202020.pdf?forcedownload=true</v>
      </c>
      <c r="L9" s="19" t="str">
        <f>_xlfn.XLOOKUP(Projects[[#This Row],[Implemented by]],Table3[Implemented by],Table3[ImplementedFR],"",FALSE)</f>
        <v xml:space="preserve">Publique </v>
      </c>
      <c r="M9" s="19" t="str">
        <f>_xlfn.XLOOKUP(Projects[[#This Row],[Target audience]],Table4[Target audience],Table4[Target audienceFR],"",FALSE)</f>
        <v>Juges/greffiers</v>
      </c>
      <c r="N9" s="19" t="str">
        <f>IF(Projects[[#This Row],[Target audience2]]="","",_xlfn.XLOOKUP(Projects[[#This Row],[Target audience2]],Table4[Target audience],Table4[Target audienceFR],"Check",FALSE))</f>
        <v/>
      </c>
      <c r="O9" s="19" t="str">
        <f>IF(Projects[[#This Row],[Target audience3]]="","",_xlfn.XLOOKUP(Projects[[#This Row],[Target audience3]],Table4[Target audience],Table4[Target audienceFR],"Check",FALSE))</f>
        <v/>
      </c>
      <c r="P9" s="19" t="str">
        <f>IF(Projects[[#This Row],[Target audience4]]="","",_xlfn.XLOOKUP(Projects[[#This Row],[Target audience4]],Table4[Target audience],Table4[Target audienceFR],"Check",FALSE))</f>
        <v/>
      </c>
      <c r="Q9" s="19" t="str">
        <f>IF(Projects[[#This Row],[Target audience5]]="","",_xlfn.XLOOKUP(Projects[[#This Row],[Target audience5]],Table4[Target audience],Table4[Target audienceFR],"Check",FALSE))</f>
        <v/>
      </c>
      <c r="R9" s="19" t="str">
        <f>_xlfn.XLOOKUP(Projects[[#This Row],[Status]],Table8[Status],Table8[StatusFR],"",FALSE)</f>
        <v>Fonctionnel</v>
      </c>
      <c r="S9" s="19" t="str">
        <f>_xlfn.XLOOKUP(Projects[[#This Row],[Coverage]],Table7[Coverage],Table7[CoverageFR],"",FALSE)</f>
        <v xml:space="preserve">National </v>
      </c>
      <c r="T9" s="31" t="str">
        <f>IF(Projects[[#This Row],[To publish]]="","",Projects[[#This Row],[To publish]])</f>
        <v>Batch1</v>
      </c>
    </row>
    <row r="10" spans="1:20" ht="195" x14ac:dyDescent="0.25">
      <c r="A10" s="19">
        <f>Projects[[#This Row],[NR]]</f>
        <v>13</v>
      </c>
      <c r="B10" s="19" t="str">
        <f>IF(Projects[[#This Row],[Title]]="","",Projects[[#This Row],[Title]])</f>
        <v>AI in file processing</v>
      </c>
      <c r="C10" s="19" t="str">
        <f>IF(Projects[[#This Row],[AI Relevance]]="","",Projects[[#This Row],[AI Relevance]])</f>
        <v>AI</v>
      </c>
      <c r="D10" s="19" t="str">
        <f>_xlfn.XLOOKUP(Projects[[#This Row],[Area1]],Table1[Area],Table1[FRArea],"Check",FALSE)</f>
        <v>6 - Triage, attribution et automatisation des flux de travail</v>
      </c>
      <c r="E10" s="19" t="str">
        <f>IF(Projects[[#This Row],[Area2]]="","",_xlfn.XLOOKUP(Projects[[#This Row],[Area2]],Table1[Area],Table1[FRArea],"Check",FALSE))</f>
        <v/>
      </c>
      <c r="F10" s="19">
        <f>IF(Projects[[#This Row],[Year]]="","",Projects[[#This Row],[Year]])</f>
        <v>2018</v>
      </c>
      <c r="G10" s="19" t="str">
        <f>_xlfn.XLOOKUP(Projects[[#This Row],[Country]],Table2[Country],Table2[Pays],"Check",FALSE)</f>
        <v>Autriche</v>
      </c>
      <c r="H10" s="19" t="str">
        <f>IF(Projects[[#This Row],[Description]]="","",Projects[[#This Row],[Description]])</f>
        <v xml:space="preserve">The use of AI primarily concerns the recognition of internal judicial responsibilities. The basis for an allocation by the AI system is the fixed distribution of business, as required by Art. 87 (3) B-VG. Based on the submission to the court and the information contained therein, the AI system recognizes which judge is responsible for the specific act. Extensions to this solution are planned and they concern the course of proceedings and their management by the judiciary as a whole (complete mapping of selected procedural steps). </v>
      </c>
      <c r="I10" s="29" t="str">
        <f>IF(Projects[[#This Row],[DescriptionFR]]="","",Projects[[#This Row],[DescriptionFR]])</f>
        <v>L'utilisation de l'IA concerne principalement la reconnaissance des responsabilités judiciaires internes. La base d'une attribution par le système d’IA est la répartition fixe des affaires, conformément à l'article 87, paragraphe 3, du Code civil autrichien. Sur la base de la demande adressée au tribunal et des informations qu'elle contient, le système d’IA reconnaît le juge responsable de l'acte en question. Des extensions de cette solution sont prévues et concernent le déroulement des procédures et leur gestion par le pouvoir judiciaire dans son ensemble (cartographie complète de certaines étapes de la procédure).</v>
      </c>
      <c r="J10" s="30" t="str">
        <f>IF(Projects[[#This Row],[Link]]="","",Projects[[#This Row],[Link]])</f>
        <v>https://rm.coe.int/internal-system/4880299b55</v>
      </c>
      <c r="K10" s="30" t="str">
        <f>IF(Projects[[#This Row],[Link1]]="","",Projects[[#This Row],[Link1]])</f>
        <v>https://www.justiz.gv.at/file/2c94848b6ff7074f017493349cf54406.de.0/it-anwendungen%20in%20der%20%C3%B6sterreichischen%20justiz%20stand%20august%202020.pdf?forcedownload=true</v>
      </c>
      <c r="L10" s="19" t="str">
        <f>_xlfn.XLOOKUP(Projects[[#This Row],[Implemented by]],Table3[Implemented by],Table3[ImplementedFR],"",FALSE)</f>
        <v xml:space="preserve">Publique </v>
      </c>
      <c r="M10" s="19" t="str">
        <f>_xlfn.XLOOKUP(Projects[[#This Row],[Target audience]],Table4[Target audience],Table4[Target audienceFR],"",FALSE)</f>
        <v>Gestion</v>
      </c>
      <c r="N10" s="19" t="str">
        <f>IF(Projects[[#This Row],[Target audience2]]="","",_xlfn.XLOOKUP(Projects[[#This Row],[Target audience2]],Table4[Target audience],Table4[Target audienceFR],"Check",FALSE))</f>
        <v>Usagers des tribunaux (Grand public)</v>
      </c>
      <c r="O10" s="19" t="str">
        <f>IF(Projects[[#This Row],[Target audience3]]="","",_xlfn.XLOOKUP(Projects[[#This Row],[Target audience3]],Table4[Target audience],Table4[Target audienceFR],"Check",FALSE))</f>
        <v/>
      </c>
      <c r="P10" s="19" t="str">
        <f>IF(Projects[[#This Row],[Target audience4]]="","",_xlfn.XLOOKUP(Projects[[#This Row],[Target audience4]],Table4[Target audience],Table4[Target audienceFR],"Check",FALSE))</f>
        <v/>
      </c>
      <c r="Q10" s="19" t="str">
        <f>IF(Projects[[#This Row],[Target audience5]]="","",_xlfn.XLOOKUP(Projects[[#This Row],[Target audience5]],Table4[Target audience],Table4[Target audienceFR],"Check",FALSE))</f>
        <v/>
      </c>
      <c r="R10" s="19" t="str">
        <f>_xlfn.XLOOKUP(Projects[[#This Row],[Status]],Table8[Status],Table8[StatusFR],"",FALSE)</f>
        <v>Fonctionnel</v>
      </c>
      <c r="S10" s="19" t="str">
        <f>_xlfn.XLOOKUP(Projects[[#This Row],[Coverage]],Table7[Coverage],Table7[CoverageFR],"",FALSE)</f>
        <v xml:space="preserve">National </v>
      </c>
      <c r="T10" s="31" t="str">
        <f>IF(Projects[[#This Row],[To publish]]="","",Projects[[#This Row],[To publish]])</f>
        <v>Batch1</v>
      </c>
    </row>
    <row r="11" spans="1:20" ht="120" x14ac:dyDescent="0.25">
      <c r="A11" s="19">
        <f>Projects[[#This Row],[NR]]</f>
        <v>14</v>
      </c>
      <c r="B11" s="19" t="str">
        <f>IF(Projects[[#This Row],[Title]]="","",Projects[[#This Row],[Title]])</f>
        <v xml:space="preserve">AI to anonymize decisions </v>
      </c>
      <c r="C11" s="19" t="str">
        <f>IF(Projects[[#This Row],[AI Relevance]]="","",Projects[[#This Row],[AI Relevance]])</f>
        <v>AI</v>
      </c>
      <c r="D11" s="19" t="str">
        <f>_xlfn.XLOOKUP(Projects[[#This Row],[Area1]],Table1[Area],Table1[FRArea],"Check",FALSE)</f>
        <v>5 - Anonymisation et pseudonymisation</v>
      </c>
      <c r="E11" s="19" t="str">
        <f>IF(Projects[[#This Row],[Area2]]="","",_xlfn.XLOOKUP(Projects[[#This Row],[Area2]],Table1[Area],Table1[FRArea],"Check",FALSE))</f>
        <v/>
      </c>
      <c r="F11" s="19">
        <f>IF(Projects[[#This Row],[Year]]="","",Projects[[#This Row],[Year]])</f>
        <v>2022</v>
      </c>
      <c r="G11" s="19" t="str">
        <f>_xlfn.XLOOKUP(Projects[[#This Row],[Country]],Table2[Country],Table2[Pays],"Check",FALSE)</f>
        <v>Autriche</v>
      </c>
      <c r="H11" s="19" t="str">
        <f>IF(Projects[[#This Row],[Description]]="","",Projects[[#This Row],[Description]])</f>
        <v xml:space="preserve">Automated recognition of metadata in court decisions with the aim of anonymizing party data for expanding the publication of decisions (Art. 15 (4) OGHG). This includes, in particular names, addresses, and if necessary, other place and area designations, but not judges and party representatives. </v>
      </c>
      <c r="I11" s="29" t="str">
        <f>IF(Projects[[#This Row],[DescriptionFR]]="","",Projects[[#This Row],[DescriptionFR]])</f>
        <v xml:space="preserve">Reconnaissance automatisée des métadonnées contenues dans les décisions de justice dans le but d'anonymiser les données relatives aux parties afin d'étendre la publication des décisions (article 15, paragraphe 4, de l'OGHG). Il s'agit en particulier des noms, des adresses et, le cas échéant, d'autres désignations de lieux et de régions, mais pas des juges et des représentants des parties. </v>
      </c>
      <c r="J11" s="30" t="str">
        <f>IF(Projects[[#This Row],[Link]]="","",Projects[[#This Row],[Link]])</f>
        <v>https://ris.bka.gv.at/Jus/</v>
      </c>
      <c r="K11" s="30" t="str">
        <f>IF(Projects[[#This Row],[Link1]]="","",Projects[[#This Row],[Link1]])</f>
        <v>https://www.justiz.gv.at/file/2c94848b6ff7074f017493349cf54406.de.0/it-anwendungen%20in%20der%20%C3%B6sterreichischen%20justiz%20stand%20august%202020.pdf?forcedownload=true</v>
      </c>
      <c r="L11" s="19" t="str">
        <f>_xlfn.XLOOKUP(Projects[[#This Row],[Implemented by]],Table3[Implemented by],Table3[ImplementedFR],"",FALSE)</f>
        <v xml:space="preserve">Publique </v>
      </c>
      <c r="M11" s="19" t="str">
        <f>_xlfn.XLOOKUP(Projects[[#This Row],[Target audience]],Table4[Target audience],Table4[Target audienceFR],"",FALSE)</f>
        <v>Usagers des tribunaux (Grand public)</v>
      </c>
      <c r="N11" s="19" t="str">
        <f>IF(Projects[[#This Row],[Target audience2]]="","",_xlfn.XLOOKUP(Projects[[#This Row],[Target audience2]],Table4[Target audience],Table4[Target audienceFR],"Check",FALSE))</f>
        <v>Avocats</v>
      </c>
      <c r="O11" s="19" t="str">
        <f>IF(Projects[[#This Row],[Target audience3]]="","",_xlfn.XLOOKUP(Projects[[#This Row],[Target audience3]],Table4[Target audience],Table4[Target audienceFR],"Check",FALSE))</f>
        <v>Juges/greffiers</v>
      </c>
      <c r="P11" s="19" t="str">
        <f>IF(Projects[[#This Row],[Target audience4]]="","",_xlfn.XLOOKUP(Projects[[#This Row],[Target audience4]],Table4[Target audience],Table4[Target audienceFR],"Check",FALSE))</f>
        <v/>
      </c>
      <c r="Q11" s="19" t="str">
        <f>IF(Projects[[#This Row],[Target audience5]]="","",_xlfn.XLOOKUP(Projects[[#This Row],[Target audience5]],Table4[Target audience],Table4[Target audienceFR],"Check",FALSE))</f>
        <v/>
      </c>
      <c r="R11" s="19" t="str">
        <f>_xlfn.XLOOKUP(Projects[[#This Row],[Status]],Table8[Status],Table8[StatusFR],"",FALSE)</f>
        <v>Fonctionnel</v>
      </c>
      <c r="S11" s="19" t="str">
        <f>_xlfn.XLOOKUP(Projects[[#This Row],[Coverage]],Table7[Coverage],Table7[CoverageFR],"",FALSE)</f>
        <v xml:space="preserve">National </v>
      </c>
      <c r="T11" s="31" t="str">
        <f>IF(Projects[[#This Row],[To publish]]="","",Projects[[#This Row],[To publish]])</f>
        <v>Batch1</v>
      </c>
    </row>
    <row r="12" spans="1:20" ht="150" x14ac:dyDescent="0.25">
      <c r="A12" s="19">
        <f>Projects[[#This Row],[NR]]</f>
        <v>15</v>
      </c>
      <c r="B12" s="19" t="str">
        <f>IF(Projects[[#This Row],[Title]]="","",Projects[[#This Row],[Title]])</f>
        <v>AI in the Analysis of Investigation Data</v>
      </c>
      <c r="C12" s="19" t="str">
        <f>IF(Projects[[#This Row],[AI Relevance]]="","",Projects[[#This Row],[AI Relevance]])</f>
        <v>AI</v>
      </c>
      <c r="D12" s="19" t="str">
        <f>_xlfn.XLOOKUP(Projects[[#This Row],[Area1]],Table1[Area],Table1[FRArea],"Check",FALSE)</f>
        <v>1 - Recherche documentaire</v>
      </c>
      <c r="E12" s="19" t="str">
        <f>IF(Projects[[#This Row],[Area2]]="","",_xlfn.XLOOKUP(Projects[[#This Row],[Area2]],Table1[Area],Table1[FRArea],"Check",FALSE))</f>
        <v/>
      </c>
      <c r="F12" s="19">
        <f>IF(Projects[[#This Row],[Year]]="","",Projects[[#This Row],[Year]])</f>
        <v>2018</v>
      </c>
      <c r="G12" s="19" t="str">
        <f>_xlfn.XLOOKUP(Projects[[#This Row],[Country]],Table2[Country],Table2[Pays],"Check",FALSE)</f>
        <v>Autriche</v>
      </c>
      <c r="H12" s="19" t="str">
        <f>IF(Projects[[#This Row],[Description]]="","",Projects[[#This Row],[Description]])</f>
        <v xml:space="preserve">Analysis, classification and extraction of metadata from any form of data, as well as recognition of correlations and communications sequences. It allows judges to find articles of all kinds on relevant legal issues. The advantage: capacity to recognize synonyms and to develop a certain 'understanding' of the context in the course of the learning phase based on the training data. </v>
      </c>
      <c r="I12" s="29" t="str">
        <f>IF(Projects[[#This Row],[DescriptionFR]]="","",Projects[[#This Row],[DescriptionFR]])</f>
        <v>Analyse, classification et extraction de métadonnées à partir de n'importe quelle forme de données, ainsi que reconnaissance de corrélations et de séquences de communication. Il permet aux juges de trouver des articles de toutes sortes sur des questions juridiques pertinentes. L'avantage : la capacité de reconnaître des synonymes et de développer une certaine "compréhension" du contexte au cours de la phase d'apprentissage basée sur les données d'entraînement.</v>
      </c>
      <c r="J12" s="30" t="str">
        <f>IF(Projects[[#This Row],[Link]]="","",Projects[[#This Row],[Link]])</f>
        <v>https://rm.coe.int/internal-system/4880299b55</v>
      </c>
      <c r="K12" s="30" t="str">
        <f>IF(Projects[[#This Row],[Link1]]="","",Projects[[#This Row],[Link1]])</f>
        <v>https://www.justiz.gv.at/file/2c94848b6ff7074f017493349cf54406.de.0/it-anwendungen%20in%20der%20%C3%B6sterreichischen%20justiz%20stand%20august%202020.pdf?forcedownload=true</v>
      </c>
      <c r="L12" s="19" t="str">
        <f>_xlfn.XLOOKUP(Projects[[#This Row],[Implemented by]],Table3[Implemented by],Table3[ImplementedFR],"",FALSE)</f>
        <v xml:space="preserve">Publique </v>
      </c>
      <c r="M12" s="19" t="str">
        <f>_xlfn.XLOOKUP(Projects[[#This Row],[Target audience]],Table4[Target audience],Table4[Target audienceFR],"",FALSE)</f>
        <v>Juges/greffiers</v>
      </c>
      <c r="N12" s="19" t="str">
        <f>IF(Projects[[#This Row],[Target audience2]]="","",_xlfn.XLOOKUP(Projects[[#This Row],[Target audience2]],Table4[Target audience],Table4[Target audienceFR],"Check",FALSE))</f>
        <v>Usagers des tribunaux (Grand public)</v>
      </c>
      <c r="O12" s="19" t="str">
        <f>IF(Projects[[#This Row],[Target audience3]]="","",_xlfn.XLOOKUP(Projects[[#This Row],[Target audience3]],Table4[Target audience],Table4[Target audienceFR],"Check",FALSE))</f>
        <v/>
      </c>
      <c r="P12" s="19" t="str">
        <f>IF(Projects[[#This Row],[Target audience4]]="","",_xlfn.XLOOKUP(Projects[[#This Row],[Target audience4]],Table4[Target audience],Table4[Target audienceFR],"Check",FALSE))</f>
        <v/>
      </c>
      <c r="Q12" s="19" t="str">
        <f>IF(Projects[[#This Row],[Target audience5]]="","",_xlfn.XLOOKUP(Projects[[#This Row],[Target audience5]],Table4[Target audience],Table4[Target audienceFR],"Check",FALSE))</f>
        <v/>
      </c>
      <c r="R12" s="19" t="str">
        <f>_xlfn.XLOOKUP(Projects[[#This Row],[Status]],Table8[Status],Table8[StatusFR],"",FALSE)</f>
        <v>Fonctionnel</v>
      </c>
      <c r="S12" s="19" t="str">
        <f>_xlfn.XLOOKUP(Projects[[#This Row],[Coverage]],Table7[Coverage],Table7[CoverageFR],"",FALSE)</f>
        <v xml:space="preserve">National </v>
      </c>
      <c r="T12" s="31" t="str">
        <f>IF(Projects[[#This Row],[To publish]]="","",Projects[[#This Row],[To publish]])</f>
        <v>Batch1</v>
      </c>
    </row>
    <row r="13" spans="1:20" ht="165" x14ac:dyDescent="0.25">
      <c r="A13" s="19">
        <f>Projects[[#This Row],[NR]]</f>
        <v>16</v>
      </c>
      <c r="B13" s="19" t="str">
        <f>IF(Projects[[#This Row],[Title]]="","",Projects[[#This Row],[Title]])</f>
        <v>AI-based speech recognition in the justice system</v>
      </c>
      <c r="C13" s="19" t="str">
        <f>IF(Projects[[#This Row],[AI Relevance]]="","",Projects[[#This Row],[AI Relevance]])</f>
        <v>AI</v>
      </c>
      <c r="D13" s="19" t="str">
        <f>_xlfn.XLOOKUP(Projects[[#This Row],[Area1]],Table1[Area],Table1[FRArea],"Check",FALSE)</f>
        <v>7 - Enregistrement, transcription et traduction</v>
      </c>
      <c r="E13" s="19" t="str">
        <f>IF(Projects[[#This Row],[Area2]]="","",_xlfn.XLOOKUP(Projects[[#This Row],[Area2]],Table1[Area],Table1[FRArea],"Check",FALSE))</f>
        <v/>
      </c>
      <c r="F13" s="19">
        <f>IF(Projects[[#This Row],[Year]]="","",Projects[[#This Row],[Year]])</f>
        <v>1997</v>
      </c>
      <c r="G13" s="19" t="str">
        <f>_xlfn.XLOOKUP(Projects[[#This Row],[Country]],Table2[Country],Table2[Pays],"Check",FALSE)</f>
        <v>Autriche</v>
      </c>
      <c r="H13" s="19" t="str">
        <f>IF(Projects[[#This Row],[Description]]="","",Projects[[#This Row],[Description]])</f>
        <v>The Austrian judiciary has been using speech recognition systems during hearings, since 1997. The recognition rate is optimized step by step - by the additional integration of a judicial vocabulary based on Supreme Court decisions available in RIS, as well as by feeding the vocabulary added by the users into the overall vocabulary. Advantages: significant increase in efficiency, thus reduction of length of the proceedings. The system is based on the commercial application Dragon Naturally Speaking.</v>
      </c>
      <c r="I13" s="29" t="str">
        <f>IF(Projects[[#This Row],[DescriptionFR]]="","",Projects[[#This Row],[DescriptionFR]])</f>
        <v>Le système judiciaire autrichien utilise des systèmes de reconnaissance de la parole pendant les audiences depuis 1997. Le taux de reconnaissance est optimisé étape par étape - par l'intégration supplémentaire d'un vocabulaire judiciaire basé sur les décisions de la Cour suprême disponibles dans RIS, ainsi que par l’alimentation du vocabulaire global par le vocabulaire ajouté par les utilisateurs. Avantages : augmentation significative de l'efficacité, et donc réduction de la durée des procédures. Le système est basé sur l'application commerciale Dragon Naturally Speaking.</v>
      </c>
      <c r="J13" s="30" t="str">
        <f>IF(Projects[[#This Row],[Link]]="","",Projects[[#This Row],[Link]])</f>
        <v>https://rm.coe.int/internal-system/4880299b55</v>
      </c>
      <c r="K13" s="30" t="str">
        <f>IF(Projects[[#This Row],[Link1]]="","",Projects[[#This Row],[Link1]])</f>
        <v>https://www.justiz.gv.at/file/2c94848b6ff7074f017493349cf54406.de.0/it-anwendungen%20in%20der%20%C3%B6sterreichischen%20justiz%20stand%20august%202020.pdf?forcedownload=true</v>
      </c>
      <c r="L13" s="19" t="str">
        <f>_xlfn.XLOOKUP(Projects[[#This Row],[Implemented by]],Table3[Implemented by],Table3[ImplementedFR],"",FALSE)</f>
        <v xml:space="preserve">Publique </v>
      </c>
      <c r="M13" s="19" t="str">
        <f>_xlfn.XLOOKUP(Projects[[#This Row],[Target audience]],Table4[Target audience],Table4[Target audienceFR],"",FALSE)</f>
        <v>Gestion</v>
      </c>
      <c r="N13" s="19" t="str">
        <f>IF(Projects[[#This Row],[Target audience2]]="","",_xlfn.XLOOKUP(Projects[[#This Row],[Target audience2]],Table4[Target audience],Table4[Target audienceFR],"Check",FALSE))</f>
        <v/>
      </c>
      <c r="O13" s="19" t="str">
        <f>IF(Projects[[#This Row],[Target audience3]]="","",_xlfn.XLOOKUP(Projects[[#This Row],[Target audience3]],Table4[Target audience],Table4[Target audienceFR],"Check",FALSE))</f>
        <v/>
      </c>
      <c r="P13" s="19" t="str">
        <f>IF(Projects[[#This Row],[Target audience4]]="","",_xlfn.XLOOKUP(Projects[[#This Row],[Target audience4]],Table4[Target audience],Table4[Target audienceFR],"Check",FALSE))</f>
        <v/>
      </c>
      <c r="Q13" s="19" t="str">
        <f>IF(Projects[[#This Row],[Target audience5]]="","",_xlfn.XLOOKUP(Projects[[#This Row],[Target audience5]],Table4[Target audience],Table4[Target audienceFR],"Check",FALSE))</f>
        <v/>
      </c>
      <c r="R13" s="19" t="str">
        <f>_xlfn.XLOOKUP(Projects[[#This Row],[Status]],Table8[Status],Table8[StatusFR],"",FALSE)</f>
        <v>Fonctionnel</v>
      </c>
      <c r="S13" s="19" t="str">
        <f>_xlfn.XLOOKUP(Projects[[#This Row],[Coverage]],Table7[Coverage],Table7[CoverageFR],"",FALSE)</f>
        <v xml:space="preserve">National </v>
      </c>
      <c r="T13" s="31" t="str">
        <f>IF(Projects[[#This Row],[To publish]]="","",Projects[[#This Row],[To publish]])</f>
        <v>Batch1</v>
      </c>
    </row>
    <row r="14" spans="1:20" ht="120" x14ac:dyDescent="0.25">
      <c r="A14" s="19">
        <f>Projects[[#This Row],[NR]]</f>
        <v>17</v>
      </c>
      <c r="B14" s="19" t="str">
        <f>IF(Projects[[#This Row],[Title]]="","",Projects[[#This Row],[Title]])</f>
        <v>JUSTITIA / Judicial chatbot</v>
      </c>
      <c r="C14" s="19" t="str">
        <f>IF(Projects[[#This Row],[AI Relevance]]="","",Projects[[#This Row],[AI Relevance]])</f>
        <v>AI</v>
      </c>
      <c r="D14" s="19" t="str">
        <f>_xlfn.XLOOKUP(Projects[[#This Row],[Area1]],Table1[Area],Table1[FRArea],"Check",FALSE)</f>
        <v>8 - Services d'information/assistance</v>
      </c>
      <c r="E14" s="19" t="str">
        <f>IF(Projects[[#This Row],[Area2]]="","",_xlfn.XLOOKUP(Projects[[#This Row],[Area2]],Table1[Area],Table1[FRArea],"Check",FALSE))</f>
        <v/>
      </c>
      <c r="F14" s="19">
        <f>IF(Projects[[#This Row],[Year]]="","",Projects[[#This Row],[Year]])</f>
        <v>2022</v>
      </c>
      <c r="G14" s="19" t="str">
        <f>_xlfn.XLOOKUP(Projects[[#This Row],[Country]],Table2[Country],Table2[Pays],"Check",FALSE)</f>
        <v>Autriche</v>
      </c>
      <c r="H14" s="19" t="str">
        <f>IF(Projects[[#This Row],[Description]]="","",Projects[[#This Row],[Description]])</f>
        <v xml:space="preserve">Information and navigation support for legal seekers. Application areas: natural language understanding as part of the Digital Service Platform Justice Online; definition and navigation support; support for registration. </v>
      </c>
      <c r="I14" s="29" t="str">
        <f>IF(Projects[[#This Row],[DescriptionFR]]="","",Projects[[#This Row],[DescriptionFR]])</f>
        <v xml:space="preserve">Information et aide à la navigation pour les demandeurs d'aide juridique. Domaines d'application : compréhension du langage naturel dans le cadre de la plateforme de services numériques Justice Online ; définition et aide à la navigation ; aide à l'enregistrement. </v>
      </c>
      <c r="J14" s="30" t="str">
        <f>IF(Projects[[#This Row],[Link]]="","",Projects[[#This Row],[Link]])</f>
        <v>https://justizonline.gv.at/jop/web/home</v>
      </c>
      <c r="K14" s="30" t="str">
        <f>IF(Projects[[#This Row],[Link1]]="","",Projects[[#This Row],[Link1]])</f>
        <v>https://www.justiz.gv.at/file/2c94848b6ff7074f017493349cf54406.de.0/it-anwendungen%20in%20der%20%C3%B6sterreichischen%20justiz%20stand%20august%202020.pdf?forcedownload=true</v>
      </c>
      <c r="L14" s="19" t="str">
        <f>_xlfn.XLOOKUP(Projects[[#This Row],[Implemented by]],Table3[Implemented by],Table3[ImplementedFR],"",FALSE)</f>
        <v xml:space="preserve">Publique </v>
      </c>
      <c r="M14" s="19" t="str">
        <f>_xlfn.XLOOKUP(Projects[[#This Row],[Target audience]],Table4[Target audience],Table4[Target audienceFR],"",FALSE)</f>
        <v>Usagers des tribunaux (Grand public)</v>
      </c>
      <c r="N14" s="19" t="str">
        <f>IF(Projects[[#This Row],[Target audience2]]="","",_xlfn.XLOOKUP(Projects[[#This Row],[Target audience2]],Table4[Target audience],Table4[Target audienceFR],"Check",FALSE))</f>
        <v/>
      </c>
      <c r="O14" s="19" t="str">
        <f>IF(Projects[[#This Row],[Target audience3]]="","",_xlfn.XLOOKUP(Projects[[#This Row],[Target audience3]],Table4[Target audience],Table4[Target audienceFR],"Check",FALSE))</f>
        <v/>
      </c>
      <c r="P14" s="19" t="str">
        <f>IF(Projects[[#This Row],[Target audience4]]="","",_xlfn.XLOOKUP(Projects[[#This Row],[Target audience4]],Table4[Target audience],Table4[Target audienceFR],"Check",FALSE))</f>
        <v/>
      </c>
      <c r="Q14" s="19" t="str">
        <f>IF(Projects[[#This Row],[Target audience5]]="","",_xlfn.XLOOKUP(Projects[[#This Row],[Target audience5]],Table4[Target audience],Table4[Target audienceFR],"Check",FALSE))</f>
        <v/>
      </c>
      <c r="R14" s="19" t="str">
        <f>_xlfn.XLOOKUP(Projects[[#This Row],[Status]],Table8[Status],Table8[StatusFR],"",FALSE)</f>
        <v>Fonctionnel</v>
      </c>
      <c r="S14" s="19" t="str">
        <f>_xlfn.XLOOKUP(Projects[[#This Row],[Coverage]],Table7[Coverage],Table7[CoverageFR],"",FALSE)</f>
        <v xml:space="preserve">National </v>
      </c>
      <c r="T14" s="31" t="str">
        <f>IF(Projects[[#This Row],[To publish]]="","",Projects[[#This Row],[To publish]])</f>
        <v>Batch1</v>
      </c>
    </row>
    <row r="15" spans="1:20" ht="210" x14ac:dyDescent="0.25">
      <c r="A15" s="19">
        <f>Projects[[#This Row],[NR]]</f>
        <v>24</v>
      </c>
      <c r="B15" s="19" t="str">
        <f>IF(Projects[[#This Row],[Title]]="","",Projects[[#This Row],[Title]])</f>
        <v xml:space="preserve">E-case / Document management system </v>
      </c>
      <c r="C15" s="19" t="str">
        <f>IF(Projects[[#This Row],[AI Relevance]]="","",Projects[[#This Row],[AI Relevance]])</f>
        <v>non-AI</v>
      </c>
      <c r="D15" s="19" t="str">
        <f>_xlfn.XLOOKUP(Projects[[#This Row],[Area1]],Table1[Area],Table1[FRArea],"Check",FALSE)</f>
        <v>6 - Triage, attribution et automatisation des flux de travail</v>
      </c>
      <c r="E15" s="19" t="str">
        <f>IF(Projects[[#This Row],[Area2]]="","",_xlfn.XLOOKUP(Projects[[#This Row],[Area2]],Table1[Area],Table1[FRArea],"Check",FALSE))</f>
        <v/>
      </c>
      <c r="F15" s="19">
        <f>IF(Projects[[#This Row],[Year]]="","",Projects[[#This Row],[Year]])</f>
        <v>2019</v>
      </c>
      <c r="G15" s="19" t="str">
        <f>_xlfn.XLOOKUP(Projects[[#This Row],[Country]],Table2[Country],Table2[Pays],"Check",FALSE)</f>
        <v>Croatie</v>
      </c>
      <c r="H15" s="19" t="str">
        <f>IF(Projects[[#This Row],[Description]]="","",Projects[[#This Row],[Description]])</f>
        <v xml:space="preserve">Public access to basic data on court cases is a free-of-charge public service for parties, attorneys and other interested persons involved in court proceedings. The search by court and file number allows the visitor to be informed about the progress and dynamics of case resolution in both first-instance and appellate procedures. Given that the system refreshes case data on a daily basis, parties are given access to the current status of their case, and the courts are thus relieved of such queries and can devote more time to effective resolution of cases. </v>
      </c>
      <c r="I15" s="29" t="str">
        <f>IF(Projects[[#This Row],[DescriptionFR]]="","",Projects[[#This Row],[DescriptionFR]])</f>
        <v xml:space="preserve">L'accès public aux données de base sur les affaires judiciaires est un service public gratuit pour les parties, les avocats et les autres personnes intéressées et impliquées dans les procédures judiciaires. La recherche par juridiction et par numéro de dossier permet au visiteur d'être informé de l'évolution et de l’avancement de la résolution des affaires, tant dans les procédures ordinaires que dans les procédures d'appel. Étant donné que le système actualise quotidiennement les données relatives aux affaires, les parties ont accès à l'état actuel de leur affaire, et les tribunaux sont ainsi déchargés de ces demandes et peuvent consacrer plus de temps à la résolution efficace des affaires. </v>
      </c>
      <c r="J15" s="30" t="str">
        <f>IF(Projects[[#This Row],[Link]]="","",Projects[[#This Row],[Link]])</f>
        <v>https://sudovi.hr/en/citizens/e-case</v>
      </c>
      <c r="K15" s="30" t="str">
        <f>IF(Projects[[#This Row],[Link1]]="","",Projects[[#This Row],[Link1]])</f>
        <v/>
      </c>
      <c r="L15" s="19" t="str">
        <f>_xlfn.XLOOKUP(Projects[[#This Row],[Implemented by]],Table3[Implemented by],Table3[ImplementedFR],"",FALSE)</f>
        <v xml:space="preserve">Publique </v>
      </c>
      <c r="M15" s="19" t="str">
        <f>_xlfn.XLOOKUP(Projects[[#This Row],[Target audience]],Table4[Target audience],Table4[Target audienceFR],"",FALSE)</f>
        <v>Gestion</v>
      </c>
      <c r="N15" s="19" t="str">
        <f>IF(Projects[[#This Row],[Target audience2]]="","",_xlfn.XLOOKUP(Projects[[#This Row],[Target audience2]],Table4[Target audience],Table4[Target audienceFR],"Check",FALSE))</f>
        <v/>
      </c>
      <c r="O15" s="19" t="str">
        <f>IF(Projects[[#This Row],[Target audience3]]="","",_xlfn.XLOOKUP(Projects[[#This Row],[Target audience3]],Table4[Target audience],Table4[Target audienceFR],"Check",FALSE))</f>
        <v/>
      </c>
      <c r="P15" s="19" t="str">
        <f>IF(Projects[[#This Row],[Target audience4]]="","",_xlfn.XLOOKUP(Projects[[#This Row],[Target audience4]],Table4[Target audience],Table4[Target audienceFR],"Check",FALSE))</f>
        <v/>
      </c>
      <c r="Q15" s="19" t="str">
        <f>IF(Projects[[#This Row],[Target audience5]]="","",_xlfn.XLOOKUP(Projects[[#This Row],[Target audience5]],Table4[Target audience],Table4[Target audienceFR],"Check",FALSE))</f>
        <v/>
      </c>
      <c r="R15" s="19" t="str">
        <f>_xlfn.XLOOKUP(Projects[[#This Row],[Status]],Table8[Status],Table8[StatusFR],"",FALSE)</f>
        <v>Fonctionnel</v>
      </c>
      <c r="S15" s="19" t="str">
        <f>_xlfn.XLOOKUP(Projects[[#This Row],[Coverage]],Table7[Coverage],Table7[CoverageFR],"",FALSE)</f>
        <v xml:space="preserve">National </v>
      </c>
      <c r="T15" s="31" t="str">
        <f>IF(Projects[[#This Row],[To publish]]="","",Projects[[#This Row],[To publish]])</f>
        <v>Batch1</v>
      </c>
    </row>
    <row r="16" spans="1:20" ht="165" x14ac:dyDescent="0.25">
      <c r="A16" s="19">
        <f>Projects[[#This Row],[NR]]</f>
        <v>26</v>
      </c>
      <c r="B16" s="19" t="str">
        <f>IF(Projects[[#This Row],[Title]]="","",Projects[[#This Row],[Title]])</f>
        <v xml:space="preserve">KIS / Court Information System </v>
      </c>
      <c r="C16" s="19" t="str">
        <f>IF(Projects[[#This Row],[AI Relevance]]="","",Projects[[#This Row],[AI Relevance]])</f>
        <v>AI</v>
      </c>
      <c r="D16" s="19" t="str">
        <f>_xlfn.XLOOKUP(Projects[[#This Row],[Area1]],Table1[Area],Table1[FRArea],"Check",FALSE)</f>
        <v>6 - Triage, attribution et automatisation des flux de travail</v>
      </c>
      <c r="E16" s="19" t="str">
        <f>IF(Projects[[#This Row],[Area2]]="","",_xlfn.XLOOKUP(Projects[[#This Row],[Area2]],Table1[Area],Table1[FRArea],"Check",FALSE))</f>
        <v>5 - Anonymisation et pseudonymisation</v>
      </c>
      <c r="F16" s="19">
        <f>IF(Projects[[#This Row],[Year]]="","",Projects[[#This Row],[Year]])</f>
        <v>2014</v>
      </c>
      <c r="G16" s="19" t="str">
        <f>_xlfn.XLOOKUP(Projects[[#This Row],[Country]],Table2[Country],Table2[Pays],"Check",FALSE)</f>
        <v>Estonie</v>
      </c>
      <c r="H16" s="19" t="str">
        <f>IF(Projects[[#This Row],[Description]]="","",Projects[[#This Row],[Description]])</f>
        <v xml:space="preserve">Court Information System (KIS) is the case management system created for the Estonian courts of the 1st and 2nd instance and the Supreme Court offering one information system for all types of court cases. KIS enables the registration of court cases, hearings and judgments, automatic allocation of cases to judges, creation of summons, publication of judgments on the official website and collection of metadata. </v>
      </c>
      <c r="I16" s="29" t="str">
        <f>IF(Projects[[#This Row],[DescriptionFR]]="","",Projects[[#This Row],[DescriptionFR]])</f>
        <v xml:space="preserve">Le système d'information des tribunaux (KIS) est le système de gestion des affaires créé pour les tribunaux estoniens de première et deuxième instance et pour la Cour suprême, offrant un système d'information unique pour tous les types d'affaires judiciaires. KIS permet l'enregistrement des affaires judiciaires, des audiences et des jugements, l'attribution automatique des affaires aux juges, la création de citations à comparaître, la publication des jugements sur le site web officiel et la collecte de métadonnées. </v>
      </c>
      <c r="J16" s="30" t="str">
        <f>IF(Projects[[#This Row],[Link]]="","",Projects[[#This Row],[Link]])</f>
        <v>https://www.rik.ee/en/international/court-information-system</v>
      </c>
      <c r="K16" s="30" t="str">
        <f>IF(Projects[[#This Row],[Link1]]="","",Projects[[#This Row],[Link1]])</f>
        <v/>
      </c>
      <c r="L16" s="19" t="str">
        <f>_xlfn.XLOOKUP(Projects[[#This Row],[Implemented by]],Table3[Implemented by],Table3[ImplementedFR],"",FALSE)</f>
        <v xml:space="preserve">Publique </v>
      </c>
      <c r="M16" s="19" t="str">
        <f>_xlfn.XLOOKUP(Projects[[#This Row],[Target audience]],Table4[Target audience],Table4[Target audienceFR],"",FALSE)</f>
        <v>Usagers des tribunaux (Grand public)</v>
      </c>
      <c r="N16" s="19" t="str">
        <f>IF(Projects[[#This Row],[Target audience2]]="","",_xlfn.XLOOKUP(Projects[[#This Row],[Target audience2]],Table4[Target audience],Table4[Target audienceFR],"Check",FALSE))</f>
        <v>Avocats</v>
      </c>
      <c r="O16" s="19" t="str">
        <f>IF(Projects[[#This Row],[Target audience3]]="","",_xlfn.XLOOKUP(Projects[[#This Row],[Target audience3]],Table4[Target audience],Table4[Target audienceFR],"Check",FALSE))</f>
        <v>Juges/greffiers</v>
      </c>
      <c r="P16" s="19" t="str">
        <f>IF(Projects[[#This Row],[Target audience4]]="","",_xlfn.XLOOKUP(Projects[[#This Row],[Target audience4]],Table4[Target audience],Table4[Target audienceFR],"Check",FALSE))</f>
        <v/>
      </c>
      <c r="Q16" s="19" t="str">
        <f>IF(Projects[[#This Row],[Target audience5]]="","",_xlfn.XLOOKUP(Projects[[#This Row],[Target audience5]],Table4[Target audience],Table4[Target audienceFR],"Check",FALSE))</f>
        <v/>
      </c>
      <c r="R16" s="19" t="str">
        <f>_xlfn.XLOOKUP(Projects[[#This Row],[Status]],Table8[Status],Table8[StatusFR],"",FALSE)</f>
        <v>Fonctionnel</v>
      </c>
      <c r="S16" s="19" t="str">
        <f>_xlfn.XLOOKUP(Projects[[#This Row],[Coverage]],Table7[Coverage],Table7[CoverageFR],"",FALSE)</f>
        <v xml:space="preserve">National </v>
      </c>
      <c r="T16" s="31" t="str">
        <f>IF(Projects[[#This Row],[To publish]]="","",Projects[[#This Row],[To publish]])</f>
        <v>Batch1</v>
      </c>
    </row>
    <row r="17" spans="1:20" ht="75" x14ac:dyDescent="0.25">
      <c r="A17" s="19">
        <f>Projects[[#This Row],[NR]]</f>
        <v>28</v>
      </c>
      <c r="B17" s="19" t="str">
        <f>IF(Projects[[#This Row],[Title]]="","",Projects[[#This Row],[Title]])</f>
        <v>Court Practice Database / Sudska praksa</v>
      </c>
      <c r="C17" s="19" t="str">
        <f>IF(Projects[[#This Row],[AI Relevance]]="","",Projects[[#This Row],[AI Relevance]])</f>
        <v>AI</v>
      </c>
      <c r="D17" s="19" t="str">
        <f>_xlfn.XLOOKUP(Projects[[#This Row],[Area1]],Table1[Area],Table1[FRArea],"Check",FALSE)</f>
        <v>1 - Recherche documentaire</v>
      </c>
      <c r="E17" s="19" t="str">
        <f>IF(Projects[[#This Row],[Area2]]="","",_xlfn.XLOOKUP(Projects[[#This Row],[Area2]],Table1[Area],Table1[FRArea],"Check",FALSE))</f>
        <v/>
      </c>
      <c r="F17" s="19">
        <f>IF(Projects[[#This Row],[Year]]="","",Projects[[#This Row],[Year]])</f>
        <v>2020</v>
      </c>
      <c r="G17" s="19" t="str">
        <f>_xlfn.XLOOKUP(Projects[[#This Row],[Country]],Table2[Country],Table2[Pays],"Check",FALSE)</f>
        <v>Serbie</v>
      </c>
      <c r="H17" s="19" t="str">
        <f>IF(Projects[[#This Row],[Description]]="","",Projects[[#This Row],[Description]])</f>
        <v>The tool, used to search case-law, has been enhanced with an advanced search module that recognizes patterns and search results with terms that appear frequently in a similar context.</v>
      </c>
      <c r="I17" s="29" t="str">
        <f>IF(Projects[[#This Row],[DescriptionFR]]="","",Projects[[#This Row],[DescriptionFR]])</f>
        <v>L'outil de recherche de la jurisprudence a été enrichi d'un module de recherche avancée qui reconnaît les modèles et les résultats de recherche avec des termes qui apparaissent fréquemment dans un contexte similaire.</v>
      </c>
      <c r="J17" s="30" t="str">
        <f>IF(Projects[[#This Row],[Link]]="","",Projects[[#This Row],[Link]])</f>
        <v>https://www.vk.sud.rs/sr-lat/baza-sudske-prakse-suda</v>
      </c>
      <c r="K17" s="30" t="str">
        <f>IF(Projects[[#This Row],[Link1]]="","",Projects[[#This Row],[Link1]])</f>
        <v/>
      </c>
      <c r="L17" s="19" t="str">
        <f>_xlfn.XLOOKUP(Projects[[#This Row],[Implemented by]],Table3[Implemented by],Table3[ImplementedFR],"",FALSE)</f>
        <v xml:space="preserve">Publique </v>
      </c>
      <c r="M17" s="19" t="str">
        <f>_xlfn.XLOOKUP(Projects[[#This Row],[Target audience]],Table4[Target audience],Table4[Target audienceFR],"",FALSE)</f>
        <v>Gestion</v>
      </c>
      <c r="N17" s="19" t="str">
        <f>IF(Projects[[#This Row],[Target audience2]]="","",_xlfn.XLOOKUP(Projects[[#This Row],[Target audience2]],Table4[Target audience],Table4[Target audienceFR],"Check",FALSE))</f>
        <v>Procureurs/greffiers</v>
      </c>
      <c r="O17" s="19" t="str">
        <f>IF(Projects[[#This Row],[Target audience3]]="","",_xlfn.XLOOKUP(Projects[[#This Row],[Target audience3]],Table4[Target audience],Table4[Target audienceFR],"Check",FALSE))</f>
        <v>Avocats</v>
      </c>
      <c r="P17" s="19" t="str">
        <f>IF(Projects[[#This Row],[Target audience4]]="","",_xlfn.XLOOKUP(Projects[[#This Row],[Target audience4]],Table4[Target audience],Table4[Target audienceFR],"Check",FALSE))</f>
        <v/>
      </c>
      <c r="Q17" s="19" t="str">
        <f>IF(Projects[[#This Row],[Target audience5]]="","",_xlfn.XLOOKUP(Projects[[#This Row],[Target audience5]],Table4[Target audience],Table4[Target audienceFR],"Check",FALSE))</f>
        <v/>
      </c>
      <c r="R17" s="19" t="str">
        <f>_xlfn.XLOOKUP(Projects[[#This Row],[Status]],Table8[Status],Table8[StatusFR],"",FALSE)</f>
        <v>Fonctionnel</v>
      </c>
      <c r="S17" s="19" t="str">
        <f>_xlfn.XLOOKUP(Projects[[#This Row],[Coverage]],Table7[Coverage],Table7[CoverageFR],"",FALSE)</f>
        <v xml:space="preserve">National </v>
      </c>
      <c r="T17" s="31" t="str">
        <f>IF(Projects[[#This Row],[To publish]]="","",Projects[[#This Row],[To publish]])</f>
        <v>Batch1</v>
      </c>
    </row>
    <row r="18" spans="1:20" ht="60" x14ac:dyDescent="0.25">
      <c r="A18" s="19">
        <f>Projects[[#This Row],[NR]]</f>
        <v>31</v>
      </c>
      <c r="B18" s="19" t="str">
        <f>IF(Projects[[#This Row],[Title]]="","",Projects[[#This Row],[Title]])</f>
        <v>Automated Creation of Decision Templates</v>
      </c>
      <c r="C18" s="19" t="str">
        <f>IF(Projects[[#This Row],[AI Relevance]]="","",Projects[[#This Row],[AI Relevance]])</f>
        <v>non-AI</v>
      </c>
      <c r="D18" s="19" t="str">
        <f>_xlfn.XLOOKUP(Projects[[#This Row],[Area1]],Table1[Area],Table1[FRArea],"Check",FALSE)</f>
        <v>4 - Aide à la décision</v>
      </c>
      <c r="E18" s="19" t="str">
        <f>IF(Projects[[#This Row],[Area2]]="","",_xlfn.XLOOKUP(Projects[[#This Row],[Area2]],Table1[Area],Table1[FRArea],"Check",FALSE))</f>
        <v/>
      </c>
      <c r="F18" s="19">
        <f>IF(Projects[[#This Row],[Year]]="","",Projects[[#This Row],[Year]])</f>
        <v>2010</v>
      </c>
      <c r="G18" s="19" t="str">
        <f>_xlfn.XLOOKUP(Projects[[#This Row],[Country]],Table2[Country],Table2[Pays],"Check",FALSE)</f>
        <v>Italie</v>
      </c>
      <c r="H18" s="19" t="str">
        <f>IF(Projects[[#This Row],[Description]]="","",Projects[[#This Row],[Description]])</f>
        <v>The system allows the creation of customizable templates, that are partially self-filling, using the metadata entered in the electronic registry.</v>
      </c>
      <c r="I18" s="29" t="str">
        <f>IF(Projects[[#This Row],[DescriptionFR]]="","",Projects[[#This Row],[DescriptionFR]])</f>
        <v>Le système PCT permet de créer des modèles personnalisables qui sont partiellement auto-remplis à l'aide des métadonnées saisies dans le registre électronique.</v>
      </c>
      <c r="J18" s="30" t="str">
        <f>IF(Projects[[#This Row],[Link]]="","",Projects[[#This Row],[Link]])</f>
        <v>https://rm.coe.int/internal-system/4880299b55</v>
      </c>
      <c r="K18" s="30" t="str">
        <f>IF(Projects[[#This Row],[Link1]]="","",Projects[[#This Row],[Link1]])</f>
        <v xml:space="preserve">https://pst.giustizia.it/PST/it/homepage.page# </v>
      </c>
      <c r="L18" s="19" t="str">
        <f>_xlfn.XLOOKUP(Projects[[#This Row],[Implemented by]],Table3[Implemented by],Table3[ImplementedFR],"",FALSE)</f>
        <v xml:space="preserve">Publique </v>
      </c>
      <c r="M18" s="19" t="str">
        <f>_xlfn.XLOOKUP(Projects[[#This Row],[Target audience]],Table4[Target audience],Table4[Target audienceFR],"",FALSE)</f>
        <v>Juges/greffiers</v>
      </c>
      <c r="N18" s="19" t="str">
        <f>IF(Projects[[#This Row],[Target audience2]]="","",_xlfn.XLOOKUP(Projects[[#This Row],[Target audience2]],Table4[Target audience],Table4[Target audienceFR],"Check",FALSE))</f>
        <v>Gestion</v>
      </c>
      <c r="O18" s="19" t="str">
        <f>IF(Projects[[#This Row],[Target audience3]]="","",_xlfn.XLOOKUP(Projects[[#This Row],[Target audience3]],Table4[Target audience],Table4[Target audienceFR],"Check",FALSE))</f>
        <v>Avocats</v>
      </c>
      <c r="P18" s="19" t="str">
        <f>IF(Projects[[#This Row],[Target audience4]]="","",_xlfn.XLOOKUP(Projects[[#This Row],[Target audience4]],Table4[Target audience],Table4[Target audienceFR],"Check",FALSE))</f>
        <v/>
      </c>
      <c r="Q18" s="19" t="str">
        <f>IF(Projects[[#This Row],[Target audience5]]="","",_xlfn.XLOOKUP(Projects[[#This Row],[Target audience5]],Table4[Target audience],Table4[Target audienceFR],"Check",FALSE))</f>
        <v/>
      </c>
      <c r="R18" s="19" t="str">
        <f>_xlfn.XLOOKUP(Projects[[#This Row],[Status]],Table8[Status],Table8[StatusFR],"",FALSE)</f>
        <v>Fonctionnel</v>
      </c>
      <c r="S18" s="19" t="str">
        <f>_xlfn.XLOOKUP(Projects[[#This Row],[Coverage]],Table7[Coverage],Table7[CoverageFR],"",FALSE)</f>
        <v xml:space="preserve">National </v>
      </c>
      <c r="T18" s="31" t="str">
        <f>IF(Projects[[#This Row],[To publish]]="","",Projects[[#This Row],[To publish]])</f>
        <v>Batch1</v>
      </c>
    </row>
    <row r="19" spans="1:20" ht="105" x14ac:dyDescent="0.25">
      <c r="A19" s="19">
        <f>Projects[[#This Row],[NR]]</f>
        <v>32</v>
      </c>
      <c r="B19" s="19" t="str">
        <f>IF(Projects[[#This Row],[Title]]="","",Projects[[#This Row],[Title]])</f>
        <v>Anonymization of Civil Decisions</v>
      </c>
      <c r="C19" s="19" t="str">
        <f>IF(Projects[[#This Row],[AI Relevance]]="","",Projects[[#This Row],[AI Relevance]])</f>
        <v>non-AI</v>
      </c>
      <c r="D19" s="19" t="str">
        <f>_xlfn.XLOOKUP(Projects[[#This Row],[Area1]],Table1[Area],Table1[FRArea],"Check",FALSE)</f>
        <v>5 - Anonymisation et pseudonymisation</v>
      </c>
      <c r="E19" s="19" t="str">
        <f>IF(Projects[[#This Row],[Area2]]="","",_xlfn.XLOOKUP(Projects[[#This Row],[Area2]],Table1[Area],Table1[FRArea],"Check",FALSE))</f>
        <v/>
      </c>
      <c r="F19" s="19">
        <f>IF(Projects[[#This Row],[Year]]="","",Projects[[#This Row],[Year]])</f>
        <v>2022</v>
      </c>
      <c r="G19" s="19" t="str">
        <f>_xlfn.XLOOKUP(Projects[[#This Row],[Country]],Table2[Country],Table2[Pays],"Check",FALSE)</f>
        <v>Italie</v>
      </c>
      <c r="H19" s="19" t="str">
        <f>IF(Projects[[#This Row],[Description]]="","",Projects[[#This Row],[Description]])</f>
        <v>Through a simple command, the system automatically removes all the references to the parties involved in the trial, the places and the dates of the proceedings. This is possible because those pieces of information are entered in the decision as metadata/place-holders. The anonymization is then refined by a human operator.</v>
      </c>
      <c r="I19" s="29" t="str">
        <f>IF(Projects[[#This Row],[DescriptionFR]]="","",Projects[[#This Row],[DescriptionFR]])</f>
        <v>Par une simple commande, le système supprime automatiquement toutes les références aux parties impliquées dans le procès, aux lieux et aux dates de la procédure. Ceci est possible parce que ces éléments d’information sont insérés dans la décision en tant que méta-données / caractères génériques. L'anonymisation est affinée par un opérateur humain.</v>
      </c>
      <c r="J19" s="30" t="str">
        <f>IF(Projects[[#This Row],[Link]]="","",Projects[[#This Row],[Link]])</f>
        <v>https://rm.coe.int/internal-system/4880299b55</v>
      </c>
      <c r="K19" s="30" t="str">
        <f>IF(Projects[[#This Row],[Link1]]="","",Projects[[#This Row],[Link1]])</f>
        <v xml:space="preserve">https://pst.giustizia.it/PST/it/homepage.page# </v>
      </c>
      <c r="L19" s="19" t="str">
        <f>_xlfn.XLOOKUP(Projects[[#This Row],[Implemented by]],Table3[Implemented by],Table3[ImplementedFR],"",FALSE)</f>
        <v xml:space="preserve">Publique </v>
      </c>
      <c r="M19" s="19" t="str">
        <f>_xlfn.XLOOKUP(Projects[[#This Row],[Target audience]],Table4[Target audience],Table4[Target audienceFR],"",FALSE)</f>
        <v>Usagers des tribunaux (Grand public)</v>
      </c>
      <c r="N19" s="19" t="str">
        <f>IF(Projects[[#This Row],[Target audience2]]="","",_xlfn.XLOOKUP(Projects[[#This Row],[Target audience2]],Table4[Target audience],Table4[Target audienceFR],"Check",FALSE))</f>
        <v>Avocats</v>
      </c>
      <c r="O19" s="19" t="str">
        <f>IF(Projects[[#This Row],[Target audience3]]="","",_xlfn.XLOOKUP(Projects[[#This Row],[Target audience3]],Table4[Target audience],Table4[Target audienceFR],"Check",FALSE))</f>
        <v>Juges/greffiers</v>
      </c>
      <c r="P19" s="19" t="str">
        <f>IF(Projects[[#This Row],[Target audience4]]="","",_xlfn.XLOOKUP(Projects[[#This Row],[Target audience4]],Table4[Target audience],Table4[Target audienceFR],"Check",FALSE))</f>
        <v/>
      </c>
      <c r="Q19" s="19" t="str">
        <f>IF(Projects[[#This Row],[Target audience5]]="","",_xlfn.XLOOKUP(Projects[[#This Row],[Target audience5]],Table4[Target audience],Table4[Target audienceFR],"Check",FALSE))</f>
        <v/>
      </c>
      <c r="R19" s="19" t="str">
        <f>_xlfn.XLOOKUP(Projects[[#This Row],[Status]],Table8[Status],Table8[StatusFR],"",FALSE)</f>
        <v>Fonctionnel</v>
      </c>
      <c r="S19" s="19" t="str">
        <f>_xlfn.XLOOKUP(Projects[[#This Row],[Coverage]],Table7[Coverage],Table7[CoverageFR],"",FALSE)</f>
        <v xml:space="preserve">National </v>
      </c>
      <c r="T19" s="31" t="str">
        <f>IF(Projects[[#This Row],[To publish]]="","",Projects[[#This Row],[To publish]])</f>
        <v>Batch1</v>
      </c>
    </row>
    <row r="20" spans="1:20" ht="105" x14ac:dyDescent="0.25">
      <c r="A20" s="19">
        <f>Projects[[#This Row],[NR]]</f>
        <v>33</v>
      </c>
      <c r="B20" s="19" t="str">
        <f>IF(Projects[[#This Row],[Title]]="","",Projects[[#This Row],[Title]])</f>
        <v>Automated Assignment of Criminal Cases</v>
      </c>
      <c r="C20" s="19" t="str">
        <f>IF(Projects[[#This Row],[AI Relevance]]="","",Projects[[#This Row],[AI Relevance]])</f>
        <v>non-AI</v>
      </c>
      <c r="D20" s="19" t="str">
        <f>_xlfn.XLOOKUP(Projects[[#This Row],[Area1]],Table1[Area],Table1[FRArea],"Check",FALSE)</f>
        <v>6 - Triage, attribution et automatisation des flux de travail</v>
      </c>
      <c r="E20" s="19" t="str">
        <f>IF(Projects[[#This Row],[Area2]]="","",_xlfn.XLOOKUP(Projects[[#This Row],[Area2]],Table1[Area],Table1[FRArea],"Check",FALSE))</f>
        <v/>
      </c>
      <c r="F20" s="19">
        <f>IF(Projects[[#This Row],[Year]]="","",Projects[[#This Row],[Year]])</f>
        <v>2015</v>
      </c>
      <c r="G20" s="19" t="str">
        <f>_xlfn.XLOOKUP(Projects[[#This Row],[Country]],Table2[Country],Table2[Pays],"Check",FALSE)</f>
        <v>Italie</v>
      </c>
      <c r="H20" s="19" t="str">
        <f>IF(Projects[[#This Row],[Description]]="","",Projects[[#This Row],[Description]])</f>
        <v>GIADA allows the assignment of trials to criminal judges, as well as the organization of the first hearing, by providing for both an objective and fair equal system of assignments. In addition, it determines the weight of the cases (e.g., 2 difficult-negligent manslaughter, 5 easy, 3 with prisoners, 2 urgent, 2 with statute of limitations, and so on).</v>
      </c>
      <c r="I20" s="29" t="str">
        <f>IF(Projects[[#This Row],[DescriptionFR]]="","",Projects[[#This Row],[DescriptionFR]])</f>
        <v>GIADA permet l'attribution des procès aux juges pénaux, ainsi que l'organisation de la première audience, en prévoyant un système de répartition à la fois objectif et équitable. En outre, il détermine le poids des affaires (par exemple, 2 difficile - homicide involontaire, ..., 5 facile, 3 avec des prisonniers, 2 urgent, 2 avec prescription).</v>
      </c>
      <c r="J20" s="30" t="str">
        <f>IF(Projects[[#This Row],[Link]]="","",Projects[[#This Row],[Link]])</f>
        <v>https://rm.coe.int/internal-system/4880299b55</v>
      </c>
      <c r="K20" s="30" t="str">
        <f>IF(Projects[[#This Row],[Link1]]="","",Projects[[#This Row],[Link1]])</f>
        <v xml:space="preserve">https://pst.giustizia.it/PST/it/homepage.page# </v>
      </c>
      <c r="L20" s="19" t="str">
        <f>_xlfn.XLOOKUP(Projects[[#This Row],[Implemented by]],Table3[Implemented by],Table3[ImplementedFR],"",FALSE)</f>
        <v xml:space="preserve">Publique </v>
      </c>
      <c r="M20" s="19" t="str">
        <f>_xlfn.XLOOKUP(Projects[[#This Row],[Target audience]],Table4[Target audience],Table4[Target audienceFR],"",FALSE)</f>
        <v>Juges/greffiers</v>
      </c>
      <c r="N20" s="19" t="str">
        <f>IF(Projects[[#This Row],[Target audience2]]="","",_xlfn.XLOOKUP(Projects[[#This Row],[Target audience2]],Table4[Target audience],Table4[Target audienceFR],"Check",FALSE))</f>
        <v>Gestion</v>
      </c>
      <c r="O20" s="19" t="str">
        <f>IF(Projects[[#This Row],[Target audience3]]="","",_xlfn.XLOOKUP(Projects[[#This Row],[Target audience3]],Table4[Target audience],Table4[Target audienceFR],"Check",FALSE))</f>
        <v>Procureurs/greffiers</v>
      </c>
      <c r="P20" s="19" t="str">
        <f>IF(Projects[[#This Row],[Target audience4]]="","",_xlfn.XLOOKUP(Projects[[#This Row],[Target audience4]],Table4[Target audience],Table4[Target audienceFR],"Check",FALSE))</f>
        <v/>
      </c>
      <c r="Q20" s="19" t="str">
        <f>IF(Projects[[#This Row],[Target audience5]]="","",_xlfn.XLOOKUP(Projects[[#This Row],[Target audience5]],Table4[Target audience],Table4[Target audienceFR],"Check",FALSE))</f>
        <v/>
      </c>
      <c r="R20" s="19" t="str">
        <f>_xlfn.XLOOKUP(Projects[[#This Row],[Status]],Table8[Status],Table8[StatusFR],"",FALSE)</f>
        <v>Fonctionnel</v>
      </c>
      <c r="S20" s="19" t="str">
        <f>_xlfn.XLOOKUP(Projects[[#This Row],[Coverage]],Table7[Coverage],Table7[CoverageFR],"",FALSE)</f>
        <v xml:space="preserve">National </v>
      </c>
      <c r="T20" s="31" t="str">
        <f>IF(Projects[[#This Row],[To publish]]="","",Projects[[#This Row],[To publish]])</f>
        <v>Batch1</v>
      </c>
    </row>
    <row r="21" spans="1:20" ht="120" x14ac:dyDescent="0.25">
      <c r="A21" s="19">
        <f>Projects[[#This Row],[NR]]</f>
        <v>35</v>
      </c>
      <c r="B21" s="19" t="str">
        <f>IF(Projects[[#This Row],[Title]]="","",Projects[[#This Row],[Title]])</f>
        <v xml:space="preserve">Electronic Insolvency Accounting System / Elektroniskās maksātnespējas uzskaites sistēma </v>
      </c>
      <c r="C21" s="19" t="str">
        <f>IF(Projects[[#This Row],[AI Relevance]]="","",Projects[[#This Row],[AI Relevance]])</f>
        <v>AI</v>
      </c>
      <c r="D21" s="19" t="str">
        <f>_xlfn.XLOOKUP(Projects[[#This Row],[Area1]],Table1[Area],Table1[FRArea],"Check",FALSE)</f>
        <v>6 - Triage, attribution et automatisation des flux de travail</v>
      </c>
      <c r="E21" s="19" t="str">
        <f>IF(Projects[[#This Row],[Area2]]="","",_xlfn.XLOOKUP(Projects[[#This Row],[Area2]],Table1[Area],Table1[FRArea],"Check",FALSE))</f>
        <v/>
      </c>
      <c r="F21" s="19">
        <f>IF(Projects[[#This Row],[Year]]="","",Projects[[#This Row],[Year]])</f>
        <v>2018</v>
      </c>
      <c r="G21" s="19" t="str">
        <f>_xlfn.XLOOKUP(Projects[[#This Row],[Country]],Table2[Country],Table2[Pays],"Check",FALSE)</f>
        <v>Lettonie</v>
      </c>
      <c r="H21" s="19" t="str">
        <f>IF(Projects[[#This Row],[Description]]="","",Projects[[#This Row],[Description]])</f>
        <v>The Electronic Insolvency Accounting System is a single electronic platform for all persons involved in insolvency proceedings and institutions. It ensures the circulation of information between parties involved, as well as the random and proportional distribution of administrators' queue(s).</v>
      </c>
      <c r="I21" s="29" t="str">
        <f>IF(Projects[[#This Row],[DescriptionFR]]="","",Projects[[#This Row],[DescriptionFR]])</f>
        <v>Le système comptable électronique pour l'insolvabilité est une plateforme électronique unique pour toutes les personnes impliquées dans les procédures d'insolvabilité et les institutions. Il assure la circulation des informations entre les parties concernées, ainsi que la répartition aléatoire et proportionnelle de la file d'attente des administrateurs pour la prise en charge des dossiers.</v>
      </c>
      <c r="J21" s="30" t="str">
        <f>IF(Projects[[#This Row],[Link]]="","",Projects[[#This Row],[Link]])</f>
        <v>https://www.mkd.gov.lv/en/information-about-emus</v>
      </c>
      <c r="K21" s="30" t="str">
        <f>IF(Projects[[#This Row],[Link1]]="","",Projects[[#This Row],[Link1]])</f>
        <v/>
      </c>
      <c r="L21" s="19" t="str">
        <f>_xlfn.XLOOKUP(Projects[[#This Row],[Implemented by]],Table3[Implemented by],Table3[ImplementedFR],"",FALSE)</f>
        <v xml:space="preserve">Publique </v>
      </c>
      <c r="M21" s="19" t="str">
        <f>_xlfn.XLOOKUP(Projects[[#This Row],[Target audience]],Table4[Target audience],Table4[Target audienceFR],"",FALSE)</f>
        <v>Gestion</v>
      </c>
      <c r="N21" s="19" t="str">
        <f>IF(Projects[[#This Row],[Target audience2]]="","",_xlfn.XLOOKUP(Projects[[#This Row],[Target audience2]],Table4[Target audience],Table4[Target audienceFR],"Check",FALSE))</f>
        <v/>
      </c>
      <c r="O21" s="19" t="str">
        <f>IF(Projects[[#This Row],[Target audience3]]="","",_xlfn.XLOOKUP(Projects[[#This Row],[Target audience3]],Table4[Target audience],Table4[Target audienceFR],"Check",FALSE))</f>
        <v/>
      </c>
      <c r="P21" s="19" t="str">
        <f>IF(Projects[[#This Row],[Target audience4]]="","",_xlfn.XLOOKUP(Projects[[#This Row],[Target audience4]],Table4[Target audience],Table4[Target audienceFR],"Check",FALSE))</f>
        <v/>
      </c>
      <c r="Q21" s="19" t="str">
        <f>IF(Projects[[#This Row],[Target audience5]]="","",_xlfn.XLOOKUP(Projects[[#This Row],[Target audience5]],Table4[Target audience],Table4[Target audienceFR],"Check",FALSE))</f>
        <v/>
      </c>
      <c r="R21" s="19" t="str">
        <f>_xlfn.XLOOKUP(Projects[[#This Row],[Status]],Table8[Status],Table8[StatusFR],"",FALSE)</f>
        <v>Fonctionnel</v>
      </c>
      <c r="S21" s="19" t="str">
        <f>_xlfn.XLOOKUP(Projects[[#This Row],[Coverage]],Table7[Coverage],Table7[CoverageFR],"",FALSE)</f>
        <v xml:space="preserve">National </v>
      </c>
      <c r="T21" s="31" t="str">
        <f>IF(Projects[[#This Row],[To publish]]="","",Projects[[#This Row],[To publish]])</f>
        <v>Batch1</v>
      </c>
    </row>
    <row r="22" spans="1:20" ht="105" x14ac:dyDescent="0.25">
      <c r="A22" s="19">
        <f>Projects[[#This Row],[NR]]</f>
        <v>36</v>
      </c>
      <c r="B22" s="19" t="str">
        <f>IF(Projects[[#This Row],[Title]]="","",Projects[[#This Row],[Title]])</f>
        <v xml:space="preserve">Case Allocation Module / Bylų skirsymo modulis </v>
      </c>
      <c r="C22" s="19" t="str">
        <f>IF(Projects[[#This Row],[AI Relevance]]="","",Projects[[#This Row],[AI Relevance]])</f>
        <v>AI</v>
      </c>
      <c r="D22" s="19" t="str">
        <f>_xlfn.XLOOKUP(Projects[[#This Row],[Area1]],Table1[Area],Table1[FRArea],"Check",FALSE)</f>
        <v>6 - Triage, attribution et automatisation des flux de travail</v>
      </c>
      <c r="E22" s="19" t="str">
        <f>IF(Projects[[#This Row],[Area2]]="","",_xlfn.XLOOKUP(Projects[[#This Row],[Area2]],Table1[Area],Table1[FRArea],"Check",FALSE))</f>
        <v/>
      </c>
      <c r="F22" s="19">
        <f>IF(Projects[[#This Row],[Year]]="","",Projects[[#This Row],[Year]])</f>
        <v>2010</v>
      </c>
      <c r="G22" s="19" t="str">
        <f>_xlfn.XLOOKUP(Projects[[#This Row],[Country]],Table2[Country],Table2[Pays],"Check",FALSE)</f>
        <v>Lituanie</v>
      </c>
      <c r="H22" s="19" t="str">
        <f>IF(Projects[[#This Row],[Description]]="","",Projects[[#This Row],[Description]])</f>
        <v>This tool was developed for random allocation of cases between judges, based on features such as: case type, number of cases received by the court during a given period, random factor, specialization, cases received by a judge during a given period.</v>
      </c>
      <c r="I22" s="29" t="str">
        <f>IF(Projects[[#This Row],[DescriptionFR]]="","",Projects[[#This Row],[DescriptionFR]])</f>
        <v>Cet outil a été développé pour la répartition aléatoire des affaires entre les juges, sur la base de caractéristiques telles que : le type d'affaire, le nombre d'affaires reçues par le tribunal au cours d'une période donnée, le facteur aléatoire, la spécialisation, les affaires reçues par un juge au cours d'une période donnée.</v>
      </c>
      <c r="J22" s="30" t="str">
        <f>IF(Projects[[#This Row],[Link]]="","",Projects[[#This Row],[Link]])</f>
        <v>https://www.teismai.lt/data/public/uploads/2022/03/teismai2022-taisytas.pdf</v>
      </c>
      <c r="K22" s="30" t="str">
        <f>IF(Projects[[#This Row],[Link1]]="","",Projects[[#This Row],[Link1]])</f>
        <v/>
      </c>
      <c r="L22" s="19" t="str">
        <f>_xlfn.XLOOKUP(Projects[[#This Row],[Implemented by]],Table3[Implemented by],Table3[ImplementedFR],"",FALSE)</f>
        <v xml:space="preserve">Publique </v>
      </c>
      <c r="M22" s="19" t="str">
        <f>_xlfn.XLOOKUP(Projects[[#This Row],[Target audience]],Table4[Target audience],Table4[Target audienceFR],"",FALSE)</f>
        <v>Gestion</v>
      </c>
      <c r="N22" s="19" t="str">
        <f>IF(Projects[[#This Row],[Target audience2]]="","",_xlfn.XLOOKUP(Projects[[#This Row],[Target audience2]],Table4[Target audience],Table4[Target audienceFR],"Check",FALSE))</f>
        <v/>
      </c>
      <c r="O22" s="19" t="str">
        <f>IF(Projects[[#This Row],[Target audience3]]="","",_xlfn.XLOOKUP(Projects[[#This Row],[Target audience3]],Table4[Target audience],Table4[Target audienceFR],"Check",FALSE))</f>
        <v/>
      </c>
      <c r="P22" s="19" t="str">
        <f>IF(Projects[[#This Row],[Target audience4]]="","",_xlfn.XLOOKUP(Projects[[#This Row],[Target audience4]],Table4[Target audience],Table4[Target audienceFR],"Check",FALSE))</f>
        <v/>
      </c>
      <c r="Q22" s="19" t="str">
        <f>IF(Projects[[#This Row],[Target audience5]]="","",_xlfn.XLOOKUP(Projects[[#This Row],[Target audience5]],Table4[Target audience],Table4[Target audienceFR],"Check",FALSE))</f>
        <v/>
      </c>
      <c r="R22" s="19" t="str">
        <f>_xlfn.XLOOKUP(Projects[[#This Row],[Status]],Table8[Status],Table8[StatusFR],"",FALSE)</f>
        <v>Fonctionnel</v>
      </c>
      <c r="S22" s="19" t="str">
        <f>_xlfn.XLOOKUP(Projects[[#This Row],[Coverage]],Table7[Coverage],Table7[CoverageFR],"",FALSE)</f>
        <v xml:space="preserve">National </v>
      </c>
      <c r="T22" s="31" t="str">
        <f>IF(Projects[[#This Row],[To publish]]="","",Projects[[#This Row],[To publish]])</f>
        <v>Batch1</v>
      </c>
    </row>
    <row r="23" spans="1:20" ht="135" x14ac:dyDescent="0.25">
      <c r="A23" s="19">
        <f>Projects[[#This Row],[NR]]</f>
        <v>38</v>
      </c>
      <c r="B23" s="19" t="str">
        <f>IF(Projects[[#This Row],[Title]]="","",Projects[[#This Row],[Title]])</f>
        <v>VICTOR</v>
      </c>
      <c r="C23" s="19" t="str">
        <f>IF(Projects[[#This Row],[AI Relevance]]="","",Projects[[#This Row],[AI Relevance]])</f>
        <v>AI</v>
      </c>
      <c r="D23" s="19" t="str">
        <f>_xlfn.XLOOKUP(Projects[[#This Row],[Area1]],Table1[Area],Table1[FRArea],"Check",FALSE)</f>
        <v>6 - Triage, attribution et automatisation des flux de travail</v>
      </c>
      <c r="E23" s="19" t="str">
        <f>IF(Projects[[#This Row],[Area2]]="","",_xlfn.XLOOKUP(Projects[[#This Row],[Area2]],Table1[Area],Table1[FRArea],"Check",FALSE))</f>
        <v/>
      </c>
      <c r="F23" s="19">
        <f>IF(Projects[[#This Row],[Year]]="","",Projects[[#This Row],[Year]])</f>
        <v>2020</v>
      </c>
      <c r="G23" s="19" t="str">
        <f>_xlfn.XLOOKUP(Projects[[#This Row],[Country]],Table2[Country],Table2[Pays],"Check",FALSE)</f>
        <v>Brésil</v>
      </c>
      <c r="H23" s="19" t="str">
        <f>IF(Projects[[#This Row],[Description]]="","",Projects[[#This Row],[Description]])</f>
        <v>Victor is an AI system applied to cases pending before the Brazilian Federal Supreme Court and seeks to facilitate the process of identifying the so-called general repercussion (only questions that are considered relevant to Brazilian society are heard by the court), contributing to increased performance and efficiency in the processing stages of extraordinary appeals.</v>
      </c>
      <c r="I23" s="29" t="str">
        <f>IF(Projects[[#This Row],[DescriptionFR]]="","",Projects[[#This Row],[DescriptionFR]])</f>
        <v>Victor est un système d'intelligence artificielle appliqué aux affaires pendantes devant la Cour suprême fédérale du Brésil. Il vise à faciliter le processus d'identification de ce que l'on appelle la répercussion générale (seules les questions réellement pertinentes pour la société brésilienne sont entendues par la Cour), contribuant ainsi à accroître les performances et l'efficacité dans les phases de traitement des appels extraordinaires.</v>
      </c>
      <c r="J23" s="30" t="str">
        <f>IF(Projects[[#This Row],[Link]]="","",Projects[[#This Row],[Link]])</f>
        <v>https://ciapj.fgv.br/sites/ciapj.fgv.br/files/relatorio_ia_3a_edicao_0.pdf</v>
      </c>
      <c r="K23" s="30" t="str">
        <f>IF(Projects[[#This Row],[Link1]]="","",Projects[[#This Row],[Link1]])</f>
        <v/>
      </c>
      <c r="L23" s="19" t="str">
        <f>_xlfn.XLOOKUP(Projects[[#This Row],[Implemented by]],Table3[Implemented by],Table3[ImplementedFR],"",FALSE)</f>
        <v xml:space="preserve">Publique </v>
      </c>
      <c r="M23" s="19" t="str">
        <f>_xlfn.XLOOKUP(Projects[[#This Row],[Target audience]],Table4[Target audience],Table4[Target audienceFR],"",FALSE)</f>
        <v>Gestion</v>
      </c>
      <c r="N23" s="19" t="str">
        <f>IF(Projects[[#This Row],[Target audience2]]="","",_xlfn.XLOOKUP(Projects[[#This Row],[Target audience2]],Table4[Target audience],Table4[Target audienceFR],"Check",FALSE))</f>
        <v>Usagers des tribunaux (Grand public)</v>
      </c>
      <c r="O23" s="19" t="str">
        <f>IF(Projects[[#This Row],[Target audience3]]="","",_xlfn.XLOOKUP(Projects[[#This Row],[Target audience3]],Table4[Target audience],Table4[Target audienceFR],"Check",FALSE))</f>
        <v/>
      </c>
      <c r="P23" s="19" t="str">
        <f>IF(Projects[[#This Row],[Target audience4]]="","",_xlfn.XLOOKUP(Projects[[#This Row],[Target audience4]],Table4[Target audience],Table4[Target audienceFR],"Check",FALSE))</f>
        <v/>
      </c>
      <c r="Q23" s="19" t="str">
        <f>IF(Projects[[#This Row],[Target audience5]]="","",_xlfn.XLOOKUP(Projects[[#This Row],[Target audience5]],Table4[Target audience],Table4[Target audienceFR],"Check",FALSE))</f>
        <v/>
      </c>
      <c r="R23" s="19" t="str">
        <f>_xlfn.XLOOKUP(Projects[[#This Row],[Status]],Table8[Status],Table8[StatusFR],"",FALSE)</f>
        <v>Fonctionnel</v>
      </c>
      <c r="S23" s="19" t="str">
        <f>_xlfn.XLOOKUP(Projects[[#This Row],[Coverage]],Table7[Coverage],Table7[CoverageFR],"",FALSE)</f>
        <v xml:space="preserve">National </v>
      </c>
      <c r="T23" s="31" t="str">
        <f>IF(Projects[[#This Row],[To publish]]="","",Projects[[#This Row],[To publish]])</f>
        <v>Batch1</v>
      </c>
    </row>
    <row r="24" spans="1:20" ht="90" x14ac:dyDescent="0.25">
      <c r="A24" s="19">
        <f>Projects[[#This Row],[NR]]</f>
        <v>39</v>
      </c>
      <c r="B24" s="19" t="str">
        <f>IF(Projects[[#This Row],[Title]]="","",Projects[[#This Row],[Title]])</f>
        <v xml:space="preserve">Interlex </v>
      </c>
      <c r="C24" s="19" t="str">
        <f>IF(Projects[[#This Row],[AI Relevance]]="","",Projects[[#This Row],[AI Relevance]])</f>
        <v>AI</v>
      </c>
      <c r="D24" s="19" t="str">
        <f>_xlfn.XLOOKUP(Projects[[#This Row],[Area1]],Table1[Area],Table1[FRArea],"Check",FALSE)</f>
        <v>8 - Services d'information/assistance</v>
      </c>
      <c r="E24" s="19" t="str">
        <f>IF(Projects[[#This Row],[Area2]]="","",_xlfn.XLOOKUP(Projects[[#This Row],[Area2]],Table1[Area],Table1[FRArea],"Check",FALSE))</f>
        <v>4 - Aide à la décision</v>
      </c>
      <c r="F24" s="19">
        <f>IF(Projects[[#This Row],[Year]]="","",Projects[[#This Row],[Year]])</f>
        <v>2020</v>
      </c>
      <c r="G24" s="19" t="str">
        <f>_xlfn.XLOOKUP(Projects[[#This Row],[Country]],Table2[Country],Table2[Pays],"Check",FALSE)</f>
        <v>Italie</v>
      </c>
      <c r="H24" s="19" t="str">
        <f>IF(Projects[[#This Row],[Description]]="","",Projects[[#This Row],[Description]])</f>
        <v xml:space="preserve">InterLex aims to provide information, decision-support and training on private international law. It addresses the identification of the legal system having jurisdiction and of the national law to be applied to a specific case, as well as the retrieval of relevant legal materials. </v>
      </c>
      <c r="I24" s="29" t="str">
        <f>IF(Projects[[#This Row],[DescriptionFR]]="","",Projects[[#This Row],[DescriptionFR]])</f>
        <v xml:space="preserve">InterLex vise à fournir des informations, une aide à la décision et une formation en matière de droit international privé. Il permet d'identifier le système juridique compétent et le droit national à appliquer à un cas spécifique, ainsi que de rechercher les documents juridiques pertinents. </v>
      </c>
      <c r="J24" s="30" t="str">
        <f>IF(Projects[[#This Row],[Link]]="","",Projects[[#This Row],[Link]])</f>
        <v>https://interlex-portal.eu/en/index.html</v>
      </c>
      <c r="K24" s="30" t="str">
        <f>IF(Projects[[#This Row],[Link1]]="","",Projects[[#This Row],[Link1]])</f>
        <v/>
      </c>
      <c r="L24" s="19" t="str">
        <f>_xlfn.XLOOKUP(Projects[[#This Row],[Implemented by]],Table3[Implemented by],Table3[ImplementedFR],"",FALSE)</f>
        <v>Recherche/Universitaire</v>
      </c>
      <c r="M24" s="19" t="str">
        <f>_xlfn.XLOOKUP(Projects[[#This Row],[Target audience]],Table4[Target audience],Table4[Target audienceFR],"",FALSE)</f>
        <v>Usagers des tribunaux (Grand public)</v>
      </c>
      <c r="N24" s="19" t="str">
        <f>IF(Projects[[#This Row],[Target audience2]]="","",_xlfn.XLOOKUP(Projects[[#This Row],[Target audience2]],Table4[Target audience],Table4[Target audienceFR],"Check",FALSE))</f>
        <v>Juges/greffiers</v>
      </c>
      <c r="O24" s="19" t="str">
        <f>IF(Projects[[#This Row],[Target audience3]]="","",_xlfn.XLOOKUP(Projects[[#This Row],[Target audience3]],Table4[Target audience],Table4[Target audienceFR],"Check",FALSE))</f>
        <v>Avocats</v>
      </c>
      <c r="P24" s="19" t="str">
        <f>IF(Projects[[#This Row],[Target audience4]]="","",_xlfn.XLOOKUP(Projects[[#This Row],[Target audience4]],Table4[Target audience],Table4[Target audienceFR],"Check",FALSE))</f>
        <v/>
      </c>
      <c r="Q24" s="19" t="str">
        <f>IF(Projects[[#This Row],[Target audience5]]="","",_xlfn.XLOOKUP(Projects[[#This Row],[Target audience5]],Table4[Target audience],Table4[Target audienceFR],"Check",FALSE))</f>
        <v/>
      </c>
      <c r="R24" s="19" t="str">
        <f>_xlfn.XLOOKUP(Projects[[#This Row],[Status]],Table8[Status],Table8[StatusFR],"",FALSE)</f>
        <v>Fonctionnel</v>
      </c>
      <c r="S24" s="19" t="str">
        <f>_xlfn.XLOOKUP(Projects[[#This Row],[Coverage]],Table7[Coverage],Table7[CoverageFR],"",FALSE)</f>
        <v>International</v>
      </c>
      <c r="T24" s="31" t="str">
        <f>IF(Projects[[#This Row],[To publish]]="","",Projects[[#This Row],[To publish]])</f>
        <v>Batch1</v>
      </c>
    </row>
    <row r="25" spans="1:20" ht="75" x14ac:dyDescent="0.25">
      <c r="A25" s="19">
        <f>Projects[[#This Row],[NR]]</f>
        <v>40</v>
      </c>
      <c r="B25" s="19" t="str">
        <f>IF(Projects[[#This Row],[Title]]="","",Projects[[#This Row],[Title]])</f>
        <v xml:space="preserve">JURI says </v>
      </c>
      <c r="C25" s="19" t="str">
        <f>IF(Projects[[#This Row],[AI Relevance]]="","",Projects[[#This Row],[AI Relevance]])</f>
        <v/>
      </c>
      <c r="D25" s="19" t="str">
        <f>_xlfn.XLOOKUP(Projects[[#This Row],[Area1]],Table1[Area],Table1[FRArea],"Check",FALSE)</f>
        <v>3 - Prévision des résultats des litiges</v>
      </c>
      <c r="E25" s="19" t="str">
        <f>IF(Projects[[#This Row],[Area2]]="","",_xlfn.XLOOKUP(Projects[[#This Row],[Area2]],Table1[Area],Table1[FRArea],"Check",FALSE))</f>
        <v/>
      </c>
      <c r="F25" s="19">
        <f>IF(Projects[[#This Row],[Year]]="","",Projects[[#This Row],[Year]])</f>
        <v>2020</v>
      </c>
      <c r="G25" s="19" t="str">
        <f>_xlfn.XLOOKUP(Projects[[#This Row],[Country]],Table2[Country],Table2[Pays],"Check",FALSE)</f>
        <v>Pays-Bas</v>
      </c>
      <c r="H25" s="19" t="str">
        <f>IF(Projects[[#This Row],[Description]]="","",Projects[[#This Row],[Description]])</f>
        <v xml:space="preserve">JURI reads published documents from previous years and decisions of the cases judged by the European Court of Human Rights and predicts the outcomes of the decisions that the Court will make. The system learns from its mistakes every month. </v>
      </c>
      <c r="I25" s="29" t="str">
        <f>IF(Projects[[#This Row],[DescriptionFR]]="","",Projects[[#This Row],[DescriptionFR]])</f>
        <v xml:space="preserve">JURI lit les documents publiés les années précédentes et les décisions des affaires jugées par la Cour européenne des droits de l'homme et prédit les décisions que la Cour prendra. Le système apprend chaque mois de ses erreurs. </v>
      </c>
      <c r="J25" s="30" t="str">
        <f>IF(Projects[[#This Row],[Link]]="","",Projects[[#This Row],[Link]])</f>
        <v>https://jurisays.com</v>
      </c>
      <c r="K25" s="30" t="str">
        <f>IF(Projects[[#This Row],[Link1]]="","",Projects[[#This Row],[Link1]])</f>
        <v/>
      </c>
      <c r="L25" s="19" t="str">
        <f>_xlfn.XLOOKUP(Projects[[#This Row],[Implemented by]],Table3[Implemented by],Table3[ImplementedFR],"",FALSE)</f>
        <v>Recherche/Universitaire</v>
      </c>
      <c r="M25" s="19" t="str">
        <f>_xlfn.XLOOKUP(Projects[[#This Row],[Target audience]],Table4[Target audience],Table4[Target audienceFR],"",FALSE)</f>
        <v>Usagers des tribunaux (Grand public)</v>
      </c>
      <c r="N25" s="19" t="str">
        <f>IF(Projects[[#This Row],[Target audience2]]="","",_xlfn.XLOOKUP(Projects[[#This Row],[Target audience2]],Table4[Target audience],Table4[Target audienceFR],"Check",FALSE))</f>
        <v/>
      </c>
      <c r="O25" s="19" t="str">
        <f>IF(Projects[[#This Row],[Target audience3]]="","",_xlfn.XLOOKUP(Projects[[#This Row],[Target audience3]],Table4[Target audience],Table4[Target audienceFR],"Check",FALSE))</f>
        <v/>
      </c>
      <c r="P25" s="19" t="str">
        <f>IF(Projects[[#This Row],[Target audience4]]="","",_xlfn.XLOOKUP(Projects[[#This Row],[Target audience4]],Table4[Target audience],Table4[Target audienceFR],"Check",FALSE))</f>
        <v/>
      </c>
      <c r="Q25" s="19" t="str">
        <f>IF(Projects[[#This Row],[Target audience5]]="","",_xlfn.XLOOKUP(Projects[[#This Row],[Target audience5]],Table4[Target audience],Table4[Target audienceFR],"Check",FALSE))</f>
        <v/>
      </c>
      <c r="R25" s="19" t="str">
        <f>_xlfn.XLOOKUP(Projects[[#This Row],[Status]],Table8[Status],Table8[StatusFR],"",FALSE)</f>
        <v>Fonctionnel</v>
      </c>
      <c r="S25" s="19" t="str">
        <f>_xlfn.XLOOKUP(Projects[[#This Row],[Coverage]],Table7[Coverage],Table7[CoverageFR],"",FALSE)</f>
        <v>International</v>
      </c>
      <c r="T25" s="31" t="str">
        <f>IF(Projects[[#This Row],[To publish]]="","",Projects[[#This Row],[To publish]])</f>
        <v>Withdrawn</v>
      </c>
    </row>
    <row r="26" spans="1:20" ht="180" x14ac:dyDescent="0.25">
      <c r="A26" s="19">
        <f>Projects[[#This Row],[NR]]</f>
        <v>41</v>
      </c>
      <c r="B26" s="19" t="str">
        <f>IF(Projects[[#This Row],[Title]]="","",Projects[[#This Row],[Title]])</f>
        <v xml:space="preserve">CRT / Civil Resolution Tribunal </v>
      </c>
      <c r="C26" s="19" t="str">
        <f>IF(Projects[[#This Row],[AI Relevance]]="","",Projects[[#This Row],[AI Relevance]])</f>
        <v>AI</v>
      </c>
      <c r="D26" s="19" t="str">
        <f>_xlfn.XLOOKUP(Projects[[#This Row],[Area1]],Table1[Area],Table1[FRArea],"Check",FALSE)</f>
        <v>2 - Résolution automatisée des litiges</v>
      </c>
      <c r="E26" s="19" t="str">
        <f>IF(Projects[[#This Row],[Area2]]="","",_xlfn.XLOOKUP(Projects[[#This Row],[Area2]],Table1[Area],Table1[FRArea],"Check",FALSE))</f>
        <v/>
      </c>
      <c r="F26" s="19">
        <f>IF(Projects[[#This Row],[Year]]="","",Projects[[#This Row],[Year]])</f>
        <v>2015</v>
      </c>
      <c r="G26" s="19" t="str">
        <f>_xlfn.XLOOKUP(Projects[[#This Row],[Country]],Table2[Country],Table2[Pays],"Check",FALSE)</f>
        <v>Canada</v>
      </c>
      <c r="H26" s="19" t="str">
        <f>IF(Projects[[#This Row],[Description]]="","",Projects[[#This Row],[Description]])</f>
        <v xml:space="preserve">The Civil Resolution Tribunal is located in British Columbia, Canada. It has been created to help people without lawyers resolve certain types of disputes quickly. It deals with: small claims in civil matters worth under $5,000, condo disputes, motor vehicle injury claims up to $50,000, and societies and cooperative association disputes. Its decisions can be appealed either before the Provincial Court or the Supreme Court for Judicial Review, depending on the type of issue. </v>
      </c>
      <c r="I26" s="29" t="str">
        <f>IF(Projects[[#This Row],[DescriptionFR]]="","",Projects[[#This Row],[DescriptionFR]])</f>
        <v>Le « Civil Resolution Tribunal » est situé en Colombie-Britannique, au Canada. Il a été créé pour aider les personnes qui n'ont pas d'avocat à résoudre rapidement certains types de litiges. Il s'occupe des petites réclamations en matière civile d'une valeur inférieure à 5 000 dollars, des litiges entre copropriétaires, des réclamations pour dommages corporels causés par des véhicules à moteur jusqu'à 50 000 dollars, et des litiges entre sociétés et associations coopératives. Ses décisions peuvent faire l'objet d'un appel devant la Cour provinciale ou la Cour suprême de révision judiciaire, selon le type de problème.</v>
      </c>
      <c r="J26" s="30" t="str">
        <f>IF(Projects[[#This Row],[Link]]="","",Projects[[#This Row],[Link]])</f>
        <v>https://civilresolutionbc.ca/</v>
      </c>
      <c r="K26" s="30" t="str">
        <f>IF(Projects[[#This Row],[Link1]]="","",Projects[[#This Row],[Link1]])</f>
        <v/>
      </c>
      <c r="L26" s="19" t="str">
        <f>_xlfn.XLOOKUP(Projects[[#This Row],[Implemented by]],Table3[Implemented by],Table3[ImplementedFR],"",FALSE)</f>
        <v xml:space="preserve">Publique </v>
      </c>
      <c r="M26" s="19" t="str">
        <f>_xlfn.XLOOKUP(Projects[[#This Row],[Target audience]],Table4[Target audience],Table4[Target audienceFR],"",FALSE)</f>
        <v>Gestion</v>
      </c>
      <c r="N26" s="19" t="str">
        <f>IF(Projects[[#This Row],[Target audience2]]="","",_xlfn.XLOOKUP(Projects[[#This Row],[Target audience2]],Table4[Target audience],Table4[Target audienceFR],"Check",FALSE))</f>
        <v>Usagers des tribunaux (Grand public)</v>
      </c>
      <c r="O26" s="19" t="str">
        <f>IF(Projects[[#This Row],[Target audience3]]="","",_xlfn.XLOOKUP(Projects[[#This Row],[Target audience3]],Table4[Target audience],Table4[Target audienceFR],"Check",FALSE))</f>
        <v/>
      </c>
      <c r="P26" s="19" t="str">
        <f>IF(Projects[[#This Row],[Target audience4]]="","",_xlfn.XLOOKUP(Projects[[#This Row],[Target audience4]],Table4[Target audience],Table4[Target audienceFR],"Check",FALSE))</f>
        <v/>
      </c>
      <c r="Q26" s="19" t="str">
        <f>IF(Projects[[#This Row],[Target audience5]]="","",_xlfn.XLOOKUP(Projects[[#This Row],[Target audience5]],Table4[Target audience],Table4[Target audienceFR],"Check",FALSE))</f>
        <v/>
      </c>
      <c r="R26" s="19" t="str">
        <f>_xlfn.XLOOKUP(Projects[[#This Row],[Status]],Table8[Status],Table8[StatusFR],"",FALSE)</f>
        <v>Fonctionnel</v>
      </c>
      <c r="S26" s="19" t="str">
        <f>_xlfn.XLOOKUP(Projects[[#This Row],[Coverage]],Table7[Coverage],Table7[CoverageFR],"",FALSE)</f>
        <v xml:space="preserve">National </v>
      </c>
      <c r="T26" s="31" t="str">
        <f>IF(Projects[[#This Row],[To publish]]="","",Projects[[#This Row],[To publish]])</f>
        <v>Batch1</v>
      </c>
    </row>
    <row r="27" spans="1:20" ht="60" x14ac:dyDescent="0.25">
      <c r="A27" s="19">
        <f>Projects[[#This Row],[NR]]</f>
        <v>42</v>
      </c>
      <c r="B27" s="19" t="str">
        <f>IF(Projects[[#This Row],[Title]]="","",Projects[[#This Row],[Title]])</f>
        <v>ANOPPI</v>
      </c>
      <c r="C27" s="19" t="str">
        <f>IF(Projects[[#This Row],[AI Relevance]]="","",Projects[[#This Row],[AI Relevance]])</f>
        <v>AI</v>
      </c>
      <c r="D27" s="19" t="str">
        <f>_xlfn.XLOOKUP(Projects[[#This Row],[Area1]],Table1[Area],Table1[FRArea],"Check",FALSE)</f>
        <v>5 - Anonymisation et pseudonymisation</v>
      </c>
      <c r="E27" s="19" t="str">
        <f>IF(Projects[[#This Row],[Area2]]="","",_xlfn.XLOOKUP(Projects[[#This Row],[Area2]],Table1[Area],Table1[FRArea],"Check",FALSE))</f>
        <v/>
      </c>
      <c r="F27" s="19">
        <f>IF(Projects[[#This Row],[Year]]="","",Projects[[#This Row],[Year]])</f>
        <v>2019</v>
      </c>
      <c r="G27" s="19" t="str">
        <f>_xlfn.XLOOKUP(Projects[[#This Row],[Country]],Table2[Country],Table2[Pays],"Check",FALSE)</f>
        <v>Finlande</v>
      </c>
      <c r="H27" s="19" t="str">
        <f>IF(Projects[[#This Row],[Description]]="","",Projects[[#This Row],[Description]])</f>
        <v xml:space="preserve">A pseudonymization tool for legal documents for linked data publication and use on the semantic web. </v>
      </c>
      <c r="I27" s="29" t="str">
        <f>IF(Projects[[#This Row],[DescriptionFR]]="","",Projects[[#This Row],[DescriptionFR]])</f>
        <v xml:space="preserve">Un outil de pseudonymisation des documents juridiques pour la publication et l'utilisation de données liées sur le web sémantique. </v>
      </c>
      <c r="J27" s="30" t="str">
        <f>IF(Projects[[#This Row],[Link]]="","",Projects[[#This Row],[Link]])</f>
        <v>https://seco-cs-aalto-fi.translate.goog/projects/anoppi/?_x_tr_sl=fi&amp;_x_tr_tl=en&amp;_x_tr_hl=fi</v>
      </c>
      <c r="K27" s="30" t="str">
        <f>IF(Projects[[#This Row],[Link1]]="","",Projects[[#This Row],[Link1]])</f>
        <v>https://seco.cs.aalto.fi/publications/2022/oksanen-et-al-anoppi-2022.pdf</v>
      </c>
      <c r="L27" s="19" t="str">
        <f>_xlfn.XLOOKUP(Projects[[#This Row],[Implemented by]],Table3[Implemented by],Table3[ImplementedFR],"",FALSE)</f>
        <v xml:space="preserve">Publique </v>
      </c>
      <c r="M27" s="19" t="str">
        <f>_xlfn.XLOOKUP(Projects[[#This Row],[Target audience]],Table4[Target audience],Table4[Target audienceFR],"",FALSE)</f>
        <v>Usagers des tribunaux (Grand public)</v>
      </c>
      <c r="N27" s="19" t="str">
        <f>IF(Projects[[#This Row],[Target audience2]]="","",_xlfn.XLOOKUP(Projects[[#This Row],[Target audience2]],Table4[Target audience],Table4[Target audienceFR],"Check",FALSE))</f>
        <v>Avocats</v>
      </c>
      <c r="O27" s="19" t="str">
        <f>IF(Projects[[#This Row],[Target audience3]]="","",_xlfn.XLOOKUP(Projects[[#This Row],[Target audience3]],Table4[Target audience],Table4[Target audienceFR],"Check",FALSE))</f>
        <v>Juges/greffiers</v>
      </c>
      <c r="P27" s="19" t="str">
        <f>IF(Projects[[#This Row],[Target audience4]]="","",_xlfn.XLOOKUP(Projects[[#This Row],[Target audience4]],Table4[Target audience],Table4[Target audienceFR],"Check",FALSE))</f>
        <v/>
      </c>
      <c r="Q27" s="19" t="str">
        <f>IF(Projects[[#This Row],[Target audience5]]="","",_xlfn.XLOOKUP(Projects[[#This Row],[Target audience5]],Table4[Target audience],Table4[Target audienceFR],"Check",FALSE))</f>
        <v/>
      </c>
      <c r="R27" s="19" t="str">
        <f>_xlfn.XLOOKUP(Projects[[#This Row],[Status]],Table8[Status],Table8[StatusFR],"",FALSE)</f>
        <v>Fonctionnel</v>
      </c>
      <c r="S27" s="19" t="str">
        <f>_xlfn.XLOOKUP(Projects[[#This Row],[Coverage]],Table7[Coverage],Table7[CoverageFR],"",FALSE)</f>
        <v xml:space="preserve">National </v>
      </c>
      <c r="T27" s="31" t="str">
        <f>IF(Projects[[#This Row],[To publish]]="","",Projects[[#This Row],[To publish]])</f>
        <v>Batch1</v>
      </c>
    </row>
    <row r="28" spans="1:20" ht="195" x14ac:dyDescent="0.25">
      <c r="A28" s="19">
        <f>Projects[[#This Row],[NR]]</f>
        <v>43</v>
      </c>
      <c r="B28" s="19" t="str">
        <f>IF(Projects[[#This Row],[Title]]="","",Projects[[#This Row],[Title]])</f>
        <v xml:space="preserve">Socrates </v>
      </c>
      <c r="C28" s="19" t="str">
        <f>IF(Projects[[#This Row],[AI Relevance]]="","",Projects[[#This Row],[AI Relevance]])</f>
        <v>AI</v>
      </c>
      <c r="D28" s="19" t="str">
        <f>_xlfn.XLOOKUP(Projects[[#This Row],[Area1]],Table1[Area],Table1[FRArea],"Check",FALSE)</f>
        <v>1 - Recherche documentaire</v>
      </c>
      <c r="E28" s="19" t="str">
        <f>IF(Projects[[#This Row],[Area2]]="","",_xlfn.XLOOKUP(Projects[[#This Row],[Area2]],Table1[Area],Table1[FRArea],"Check",FALSE))</f>
        <v>4 - Aide à la décision</v>
      </c>
      <c r="F28" s="19">
        <f>IF(Projects[[#This Row],[Year]]="","",Projects[[#This Row],[Year]])</f>
        <v>2019</v>
      </c>
      <c r="G28" s="19" t="str">
        <f>_xlfn.XLOOKUP(Projects[[#This Row],[Country]],Table2[Country],Table2[Pays],"Check",FALSE)</f>
        <v>Brésil</v>
      </c>
      <c r="H28" s="19" t="str">
        <f>IF(Projects[[#This Row],[Description]]="","",Projects[[#This Row],[Description]])</f>
        <v xml:space="preserve">Sócrates provides for an automated examination of each appeal sent to the Brazil’s Superior Court of Justice (STJ) and previous decisions of the process, recommends normative sources and legal precedents, and provides a recommendation for action; the final decision is always made by the Minister of the STJ. The project is focused on: data classification, implementing natural language processing and unsupervised machine learning techniques, that have as training data previous petitions and decisions of the Court; identifying cases with potential for failure to register with the Presidency; and subsidy to the STJ’s Corporate School in the definitions of training. </v>
      </c>
      <c r="I28" s="29" t="str">
        <f>IF(Projects[[#This Row],[DescriptionFR]]="","",Projects[[#This Row],[DescriptionFR]])</f>
        <v xml:space="preserve">Sócrates prévoit un examen automatisé de chaque recours envoyé à la Cour supérieure de justice du Brésil (STJ) et des décisions intervenues antérieurement dans la procédure, recommande des sources normatives et des précédents juridiques, et fournit une recommandation d'action ; la décision finale est toujours prise par le ministre de la STJ. Le projet se concentre sur la classification des données, en mettant en œuvre des techniques de traitement du langage naturel et d'apprentissage automatique non supervisé qui utilisent comme données d'entraînement les requêtes et décisions antérieures. </v>
      </c>
      <c r="J28" s="30" t="str">
        <f>IF(Projects[[#This Row],[Link]]="","",Projects[[#This Row],[Link]])</f>
        <v>https://ciapj.fgv.br/sites/ciapj.fgv.br/files/relatorio_ia_3a_edicao_0.pdf</v>
      </c>
      <c r="K28" s="30" t="str">
        <f>IF(Projects[[#This Row],[Link1]]="","",Projects[[#This Row],[Link1]])</f>
        <v/>
      </c>
      <c r="L28" s="19" t="str">
        <f>_xlfn.XLOOKUP(Projects[[#This Row],[Implemented by]],Table3[Implemented by],Table3[ImplementedFR],"",FALSE)</f>
        <v xml:space="preserve">Publique </v>
      </c>
      <c r="M28" s="19" t="str">
        <f>_xlfn.XLOOKUP(Projects[[#This Row],[Target audience]],Table4[Target audience],Table4[Target audienceFR],"",FALSE)</f>
        <v>Juges/greffiers</v>
      </c>
      <c r="N28" s="19" t="str">
        <f>IF(Projects[[#This Row],[Target audience2]]="","",_xlfn.XLOOKUP(Projects[[#This Row],[Target audience2]],Table4[Target audience],Table4[Target audienceFR],"Check",FALSE))</f>
        <v/>
      </c>
      <c r="O28" s="19" t="str">
        <f>IF(Projects[[#This Row],[Target audience3]]="","",_xlfn.XLOOKUP(Projects[[#This Row],[Target audience3]],Table4[Target audience],Table4[Target audienceFR],"Check",FALSE))</f>
        <v/>
      </c>
      <c r="P28" s="19" t="str">
        <f>IF(Projects[[#This Row],[Target audience4]]="","",_xlfn.XLOOKUP(Projects[[#This Row],[Target audience4]],Table4[Target audience],Table4[Target audienceFR],"Check",FALSE))</f>
        <v/>
      </c>
      <c r="Q28" s="19" t="str">
        <f>IF(Projects[[#This Row],[Target audience5]]="","",_xlfn.XLOOKUP(Projects[[#This Row],[Target audience5]],Table4[Target audience],Table4[Target audienceFR],"Check",FALSE))</f>
        <v/>
      </c>
      <c r="R28" s="19" t="str">
        <f>_xlfn.XLOOKUP(Projects[[#This Row],[Status]],Table8[Status],Table8[StatusFR],"",FALSE)</f>
        <v>Fonctionnel</v>
      </c>
      <c r="S28" s="19" t="str">
        <f>_xlfn.XLOOKUP(Projects[[#This Row],[Coverage]],Table7[Coverage],Table7[CoverageFR],"",FALSE)</f>
        <v xml:space="preserve">National </v>
      </c>
      <c r="T28" s="31" t="str">
        <f>IF(Projects[[#This Row],[To publish]]="","",Projects[[#This Row],[To publish]])</f>
        <v>Batch1</v>
      </c>
    </row>
    <row r="29" spans="1:20" ht="195" x14ac:dyDescent="0.25">
      <c r="A29" s="19">
        <f>Projects[[#This Row],[NR]]</f>
        <v>44</v>
      </c>
      <c r="B29" s="19" t="str">
        <f>IF(Projects[[#This Row],[Title]]="","",Projects[[#This Row],[Title]])</f>
        <v>SIGMA</v>
      </c>
      <c r="C29" s="19" t="str">
        <f>IF(Projects[[#This Row],[AI Relevance]]="","",Projects[[#This Row],[AI Relevance]])</f>
        <v>AI</v>
      </c>
      <c r="D29" s="19" t="str">
        <f>_xlfn.XLOOKUP(Projects[[#This Row],[Area1]],Table1[Area],Table1[FRArea],"Check",FALSE)</f>
        <v>4 - Aide à la décision</v>
      </c>
      <c r="E29" s="19" t="str">
        <f>IF(Projects[[#This Row],[Area2]]="","",_xlfn.XLOOKUP(Projects[[#This Row],[Area2]],Table1[Area],Table1[FRArea],"Check",FALSE))</f>
        <v>1 - Recherche documentaire</v>
      </c>
      <c r="F29" s="19">
        <f>IF(Projects[[#This Row],[Year]]="","",Projects[[#This Row],[Year]])</f>
        <v>2020</v>
      </c>
      <c r="G29" s="19" t="str">
        <f>_xlfn.XLOOKUP(Projects[[#This Row],[Country]],Table2[Country],Table2[Pays],"Check",FALSE)</f>
        <v>Brésil</v>
      </c>
      <c r="H29" s="19" t="str">
        <f>IF(Projects[[#This Row],[Description]]="","",Projects[[#This Row],[Description]])</f>
        <v>SIGMA is an intelligent system for the use of models towards producing drafts of decisions. It is designed to assist in preparing reports, decisions, and judgments in the TRF3 Electronic Judicial Process (PJe) system. The system sorts stored texts, comparing information extracted from procedural documents with how each unit uses its models, and generates inputs for the report’s writing. Observing the procedural documents suggests models already used for the same type of process, accelerating magistrates and civil servants’ productivity to avoid conflicting decisions.</v>
      </c>
      <c r="I29" s="29" t="str">
        <f>IF(Projects[[#This Row],[DescriptionFR]]="","",Projects[[#This Row],[DescriptionFR]])</f>
        <v>SIGMA est un système intelligent d'utilisation de modèles pour la production de projets de décisions. Il est conçu pour aider à la préparation des rapports, des décisions et des jugements dans le système TRF3 Electronic Judicial Process (PJe). Le système trie les textes stockés, compare les informations extraites des documents de procédure avec la manière dont chaque unité utilise ses modèles et génère des entrées pour la rédaction du rapport. L'observation des documents de procédure suggère des modèles déjà utilisés pour le même type de processus, ce qui accélère la productivité des magistrats et des fonctionnaires pour éviter les décisions contradictoires.</v>
      </c>
      <c r="J29" s="30" t="str">
        <f>IF(Projects[[#This Row],[Link]]="","",Projects[[#This Row],[Link]])</f>
        <v>https://ciapj.fgv.br/sites/ciapj.fgv.br/files/relatorio_ia_3a_edicao_0.pdf</v>
      </c>
      <c r="K29" s="30" t="str">
        <f>IF(Projects[[#This Row],[Link1]]="","",Projects[[#This Row],[Link1]])</f>
        <v/>
      </c>
      <c r="L29" s="19" t="str">
        <f>_xlfn.XLOOKUP(Projects[[#This Row],[Implemented by]],Table3[Implemented by],Table3[ImplementedFR],"",FALSE)</f>
        <v xml:space="preserve">Publique </v>
      </c>
      <c r="M29" s="19" t="str">
        <f>_xlfn.XLOOKUP(Projects[[#This Row],[Target audience]],Table4[Target audience],Table4[Target audienceFR],"",FALSE)</f>
        <v>Juges/greffiers</v>
      </c>
      <c r="N29" s="19" t="str">
        <f>IF(Projects[[#This Row],[Target audience2]]="","",_xlfn.XLOOKUP(Projects[[#This Row],[Target audience2]],Table4[Target audience],Table4[Target audienceFR],"Check",FALSE))</f>
        <v/>
      </c>
      <c r="O29" s="19" t="str">
        <f>IF(Projects[[#This Row],[Target audience3]]="","",_xlfn.XLOOKUP(Projects[[#This Row],[Target audience3]],Table4[Target audience],Table4[Target audienceFR],"Check",FALSE))</f>
        <v/>
      </c>
      <c r="P29" s="19" t="str">
        <f>IF(Projects[[#This Row],[Target audience4]]="","",_xlfn.XLOOKUP(Projects[[#This Row],[Target audience4]],Table4[Target audience],Table4[Target audienceFR],"Check",FALSE))</f>
        <v/>
      </c>
      <c r="Q29" s="19" t="str">
        <f>IF(Projects[[#This Row],[Target audience5]]="","",_xlfn.XLOOKUP(Projects[[#This Row],[Target audience5]],Table4[Target audience],Table4[Target audienceFR],"Check",FALSE))</f>
        <v/>
      </c>
      <c r="R29" s="19" t="str">
        <f>_xlfn.XLOOKUP(Projects[[#This Row],[Status]],Table8[Status],Table8[StatusFR],"",FALSE)</f>
        <v>Fonctionnel</v>
      </c>
      <c r="S29" s="19" t="str">
        <f>_xlfn.XLOOKUP(Projects[[#This Row],[Coverage]],Table7[Coverage],Table7[CoverageFR],"",FALSE)</f>
        <v xml:space="preserve">National </v>
      </c>
      <c r="T29" s="31" t="str">
        <f>IF(Projects[[#This Row],[To publish]]="","",Projects[[#This Row],[To publish]])</f>
        <v>Batch1</v>
      </c>
    </row>
    <row r="30" spans="1:20" ht="240" x14ac:dyDescent="0.25">
      <c r="A30" s="19">
        <f>Projects[[#This Row],[NR]]</f>
        <v>45</v>
      </c>
      <c r="B30" s="19" t="str">
        <f>IF(Projects[[#This Row],[Title]]="","",Projects[[#This Row],[Title]])</f>
        <v>Salme</v>
      </c>
      <c r="C30" s="19" t="str">
        <f>IF(Projects[[#This Row],[AI Relevance]]="","",Projects[[#This Row],[AI Relevance]])</f>
        <v>non-AI</v>
      </c>
      <c r="D30" s="19" t="str">
        <f>_xlfn.XLOOKUP(Projects[[#This Row],[Area1]],Table1[Area],Table1[FRArea],"Check",FALSE)</f>
        <v>7 - Enregistrement, transcription et traduction</v>
      </c>
      <c r="E30" s="19" t="str">
        <f>IF(Projects[[#This Row],[Area2]]="","",_xlfn.XLOOKUP(Projects[[#This Row],[Area2]],Table1[Area],Table1[FRArea],"Check",FALSE))</f>
        <v/>
      </c>
      <c r="F30" s="19">
        <f>IF(Projects[[#This Row],[Year]]="","",Projects[[#This Row],[Year]])</f>
        <v>2022</v>
      </c>
      <c r="G30" s="19" t="str">
        <f>_xlfn.XLOOKUP(Projects[[#This Row],[Country]],Table2[Country],Table2[Pays],"Check",FALSE)</f>
        <v>Estonie</v>
      </c>
      <c r="H30" s="19" t="str">
        <f>IF(Projects[[#This Row],[Description]]="","",Projects[[#This Row],[Description]])</f>
        <v>Salme is a speech recognition tool developed by the Estonian Ministry of Justice in partnership with the IT company CGI Estonia and language-tech company Tilde. It has been introduced to Estonian courts to simplify and optimise this operation. It is a machine learning and NLP tool that is connected to the Estonian X-Road (a secure data exchange layer for sending and receiving data between both private and public sector organisations) to process the recording and transcription data. Salme can transcribe in real-time or offline, which even if being time-consuming, it is also more accurate. Time stamping by the user is possible which allows for adding notes to find the related audio recording more easily.</v>
      </c>
      <c r="I30" s="29" t="str">
        <f>IF(Projects[[#This Row],[DescriptionFR]]="","",Projects[[#This Row],[DescriptionFR]])</f>
        <v>Salme est un outil de reconnaissance vocale développé par le ministère estonien de la Justice en partenariat avec la société informatique CGI Estonia et l'entreprise de technologie linguistique Tilde, qui a été introduit dans les tribunaux estoniens pour simplifier et optimiser cette opération. Il s'agit d'un outil d'apprentissage automatique et de NLP qui est connecté au X-Road estonien (une couche d'échange de données sécurisée pour l'envoi et la réception de données entre les organisations des secteurs privé et public) pour traiter les données d'enregistrement et de transcription. Salme peut transcrire en temps réel ou hors ligne, ce qui prend plus de temps mais est plus précis. L'horodatage par l'utilisateur est possible, ce qui permet d'ajouter des notes pour retrouver plus facilement l'enregistrement audio correspondant.</v>
      </c>
      <c r="J30" s="30" t="str">
        <f>IF(Projects[[#This Row],[Link]]="","",Projects[[#This Row],[Link]])</f>
        <v>https://e-estonia.com/introducing-salme-estonian-courts-speech-recognition-assistant/</v>
      </c>
      <c r="K30" s="30" t="str">
        <f>IF(Projects[[#This Row],[Link1]]="","",Projects[[#This Row],[Link1]])</f>
        <v/>
      </c>
      <c r="L30" s="19" t="str">
        <f>_xlfn.XLOOKUP(Projects[[#This Row],[Implemented by]],Table3[Implemented by],Table3[ImplementedFR],"",FALSE)</f>
        <v xml:space="preserve">Publique </v>
      </c>
      <c r="M30" s="19" t="str">
        <f>_xlfn.XLOOKUP(Projects[[#This Row],[Target audience]],Table4[Target audience],Table4[Target audienceFR],"",FALSE)</f>
        <v>Gestion</v>
      </c>
      <c r="N30" s="19" t="str">
        <f>IF(Projects[[#This Row],[Target audience2]]="","",_xlfn.XLOOKUP(Projects[[#This Row],[Target audience2]],Table4[Target audience],Table4[Target audienceFR],"Check",FALSE))</f>
        <v/>
      </c>
      <c r="O30" s="19" t="str">
        <f>IF(Projects[[#This Row],[Target audience3]]="","",_xlfn.XLOOKUP(Projects[[#This Row],[Target audience3]],Table4[Target audience],Table4[Target audienceFR],"Check",FALSE))</f>
        <v/>
      </c>
      <c r="P30" s="19" t="str">
        <f>IF(Projects[[#This Row],[Target audience4]]="","",_xlfn.XLOOKUP(Projects[[#This Row],[Target audience4]],Table4[Target audience],Table4[Target audienceFR],"Check",FALSE))</f>
        <v/>
      </c>
      <c r="Q30" s="19" t="str">
        <f>IF(Projects[[#This Row],[Target audience5]]="","",_xlfn.XLOOKUP(Projects[[#This Row],[Target audience5]],Table4[Target audience],Table4[Target audienceFR],"Check",FALSE))</f>
        <v/>
      </c>
      <c r="R30" s="19" t="str">
        <f>_xlfn.XLOOKUP(Projects[[#This Row],[Status]],Table8[Status],Table8[StatusFR],"",FALSE)</f>
        <v>Fonctionnel</v>
      </c>
      <c r="S30" s="19" t="str">
        <f>_xlfn.XLOOKUP(Projects[[#This Row],[Coverage]],Table7[Coverage],Table7[CoverageFR],"",FALSE)</f>
        <v xml:space="preserve">National </v>
      </c>
      <c r="T30" s="31" t="str">
        <f>IF(Projects[[#This Row],[To publish]]="","",Projects[[#This Row],[To publish]])</f>
        <v>Batch1</v>
      </c>
    </row>
    <row r="31" spans="1:20" ht="75" x14ac:dyDescent="0.25">
      <c r="A31" s="19">
        <f>Projects[[#This Row],[NR]]</f>
        <v>46</v>
      </c>
      <c r="B31" s="19" t="str">
        <f>IF(Projects[[#This Row],[Title]]="","",Projects[[#This Row],[Title]])</f>
        <v xml:space="preserve">Process mining / Dataanalys för verksamhetsutveckling </v>
      </c>
      <c r="C31" s="19" t="str">
        <f>IF(Projects[[#This Row],[AI Relevance]]="","",Projects[[#This Row],[AI Relevance]])</f>
        <v>AI</v>
      </c>
      <c r="D31" s="19" t="str">
        <f>_xlfn.XLOOKUP(Projects[[#This Row],[Area1]],Table1[Area],Table1[FRArea],"Check",FALSE)</f>
        <v>6 - Triage, attribution et automatisation des flux de travail</v>
      </c>
      <c r="E31" s="19" t="str">
        <f>IF(Projects[[#This Row],[Area2]]="","",_xlfn.XLOOKUP(Projects[[#This Row],[Area2]],Table1[Area],Table1[FRArea],"Check",FALSE))</f>
        <v/>
      </c>
      <c r="F31" s="19">
        <f>IF(Projects[[#This Row],[Year]]="","",Projects[[#This Row],[Year]])</f>
        <v>2022</v>
      </c>
      <c r="G31" s="19" t="str">
        <f>_xlfn.XLOOKUP(Projects[[#This Row],[Country]],Table2[Country],Table2[Pays],"Check",FALSE)</f>
        <v>Suède</v>
      </c>
      <c r="H31" s="19" t="str">
        <f>IF(Projects[[#This Row],[Description]]="","",Projects[[#This Row],[Description]])</f>
        <v>A tool for collecting data from IT-systems to analyze processes. Creates objective statistics in order to develop and change the courts' workflow.</v>
      </c>
      <c r="I31" s="29" t="str">
        <f>IF(Projects[[#This Row],[DescriptionFR]]="","",Projects[[#This Row],[DescriptionFR]])</f>
        <v>Outil permettant de collecter des données à partir des systèmes informatiques afin d'analyser les processus. Il permet de créer des statistiques objectives afin de développer et de modifier le flux de travail des tribunaux.</v>
      </c>
      <c r="J31" s="30" t="str">
        <f>IF(Projects[[#This Row],[Link]]="","",Projects[[#This Row],[Link]])</f>
        <v>https://rm.coe.int/internal-system/4880299b55</v>
      </c>
      <c r="K31" s="30" t="str">
        <f>IF(Projects[[#This Row],[Link1]]="","",Projects[[#This Row],[Link1]])</f>
        <v/>
      </c>
      <c r="L31" s="19" t="str">
        <f>_xlfn.XLOOKUP(Projects[[#This Row],[Implemented by]],Table3[Implemented by],Table3[ImplementedFR],"",FALSE)</f>
        <v xml:space="preserve">Publique </v>
      </c>
      <c r="M31" s="19" t="str">
        <f>_xlfn.XLOOKUP(Projects[[#This Row],[Target audience]],Table4[Target audience],Table4[Target audienceFR],"",FALSE)</f>
        <v>Gestion</v>
      </c>
      <c r="N31" s="19" t="str">
        <f>IF(Projects[[#This Row],[Target audience2]]="","",_xlfn.XLOOKUP(Projects[[#This Row],[Target audience2]],Table4[Target audience],Table4[Target audienceFR],"Check",FALSE))</f>
        <v/>
      </c>
      <c r="O31" s="19" t="str">
        <f>IF(Projects[[#This Row],[Target audience3]]="","",_xlfn.XLOOKUP(Projects[[#This Row],[Target audience3]],Table4[Target audience],Table4[Target audienceFR],"Check",FALSE))</f>
        <v/>
      </c>
      <c r="P31" s="19" t="str">
        <f>IF(Projects[[#This Row],[Target audience4]]="","",_xlfn.XLOOKUP(Projects[[#This Row],[Target audience4]],Table4[Target audience],Table4[Target audienceFR],"Check",FALSE))</f>
        <v/>
      </c>
      <c r="Q31" s="19" t="str">
        <f>IF(Projects[[#This Row],[Target audience5]]="","",_xlfn.XLOOKUP(Projects[[#This Row],[Target audience5]],Table4[Target audience],Table4[Target audienceFR],"Check",FALSE))</f>
        <v/>
      </c>
      <c r="R31" s="19" t="str">
        <f>_xlfn.XLOOKUP(Projects[[#This Row],[Status]],Table8[Status],Table8[StatusFR],"",FALSE)</f>
        <v>Fonctionnel</v>
      </c>
      <c r="S31" s="19" t="str">
        <f>_xlfn.XLOOKUP(Projects[[#This Row],[Coverage]],Table7[Coverage],Table7[CoverageFR],"",FALSE)</f>
        <v xml:space="preserve">National </v>
      </c>
      <c r="T31" s="31" t="str">
        <f>IF(Projects[[#This Row],[To publish]]="","",Projects[[#This Row],[To publish]])</f>
        <v>Batch1</v>
      </c>
    </row>
    <row r="32" spans="1:20" ht="150" x14ac:dyDescent="0.25">
      <c r="A32" s="19">
        <f>Projects[[#This Row],[NR]]</f>
        <v>47</v>
      </c>
      <c r="B32" s="19" t="str">
        <f>IF(Projects[[#This Row],[Title]]="","",Projects[[#This Row],[Title]])</f>
        <v xml:space="preserve">Court Information System / Tiesu informatīvā sistēma </v>
      </c>
      <c r="C32" s="19" t="str">
        <f>IF(Projects[[#This Row],[AI Relevance]]="","",Projects[[#This Row],[AI Relevance]])</f>
        <v>non-AI</v>
      </c>
      <c r="D32" s="19" t="str">
        <f>_xlfn.XLOOKUP(Projects[[#This Row],[Area1]],Table1[Area],Table1[FRArea],"Check",FALSE)</f>
        <v>5 - Anonymisation et pseudonymisation</v>
      </c>
      <c r="E32" s="19" t="str">
        <f>IF(Projects[[#This Row],[Area2]]="","",_xlfn.XLOOKUP(Projects[[#This Row],[Area2]],Table1[Area],Table1[FRArea],"Check",FALSE))</f>
        <v/>
      </c>
      <c r="F32" s="19">
        <f>IF(Projects[[#This Row],[Year]]="","",Projects[[#This Row],[Year]])</f>
        <v>2022</v>
      </c>
      <c r="G32" s="19" t="str">
        <f>_xlfn.XLOOKUP(Projects[[#This Row],[Country]],Table2[Country],Table2[Pays],"Check",FALSE)</f>
        <v>Lettonie</v>
      </c>
      <c r="H32" s="19" t="str">
        <f>IF(Projects[[#This Row],[Description]]="","",Projects[[#This Row],[Description]])</f>
        <v xml:space="preserve">Integrated in the Court information System and based on courts' decisions, the tool is already trained to recognise all text values which should be anonymized according to the legislation (i.e., names, addresses, personal identification data). In addition, it can be further trained to recognise and anonymize additional values, if necessary. Before publishing the decisions on the court's portal, there is a human operator verifying and changing any anonymization errors, if needed. </v>
      </c>
      <c r="I32" s="29" t="str">
        <f>IF(Projects[[#This Row],[DescriptionFR]]="","",Projects[[#This Row],[DescriptionFR]])</f>
        <v>Intégré au système d'information de la Cour  et sur la base des décisions des tribunaux, l'outil est déjà formé pour reconnaître toutes les valeurs textuelles qui doivent être rendues anonymes conformément à la législation (c'est-à-dire les noms, les adresses, les données d'identification personnelle). En outre, il peut être entraîné à reconnaître et à rendre anonymes d'autres valeurs, si nécessaire. Avant de publier les décisions sur le portail de la Cour, un humain vérifie et modifie, si nécessaire, les erreurs d'anonymisation.</v>
      </c>
      <c r="J32" s="30" t="str">
        <f>IF(Projects[[#This Row],[Link]]="","",Projects[[#This Row],[Link]])</f>
        <v>https://rm.coe.int/internal-system/4880299b55</v>
      </c>
      <c r="K32" s="30" t="str">
        <f>IF(Projects[[#This Row],[Link1]]="","",Projects[[#This Row],[Link1]])</f>
        <v/>
      </c>
      <c r="L32" s="19" t="str">
        <f>_xlfn.XLOOKUP(Projects[[#This Row],[Implemented by]],Table3[Implemented by],Table3[ImplementedFR],"",FALSE)</f>
        <v xml:space="preserve">Publique </v>
      </c>
      <c r="M32" s="19" t="str">
        <f>_xlfn.XLOOKUP(Projects[[#This Row],[Target audience]],Table4[Target audience],Table4[Target audienceFR],"",FALSE)</f>
        <v>Usagers des tribunaux (Grand public)</v>
      </c>
      <c r="N32" s="19" t="str">
        <f>IF(Projects[[#This Row],[Target audience2]]="","",_xlfn.XLOOKUP(Projects[[#This Row],[Target audience2]],Table4[Target audience],Table4[Target audienceFR],"Check",FALSE))</f>
        <v>Avocats</v>
      </c>
      <c r="O32" s="19" t="str">
        <f>IF(Projects[[#This Row],[Target audience3]]="","",_xlfn.XLOOKUP(Projects[[#This Row],[Target audience3]],Table4[Target audience],Table4[Target audienceFR],"Check",FALSE))</f>
        <v>Juges/greffiers</v>
      </c>
      <c r="P32" s="19" t="str">
        <f>IF(Projects[[#This Row],[Target audience4]]="","",_xlfn.XLOOKUP(Projects[[#This Row],[Target audience4]],Table4[Target audience],Table4[Target audienceFR],"Check",FALSE))</f>
        <v/>
      </c>
      <c r="Q32" s="19" t="str">
        <f>IF(Projects[[#This Row],[Target audience5]]="","",_xlfn.XLOOKUP(Projects[[#This Row],[Target audience5]],Table4[Target audience],Table4[Target audienceFR],"Check",FALSE))</f>
        <v/>
      </c>
      <c r="R32" s="19" t="str">
        <f>_xlfn.XLOOKUP(Projects[[#This Row],[Status]],Table8[Status],Table8[StatusFR],"",FALSE)</f>
        <v>Fonctionnel</v>
      </c>
      <c r="S32" s="19" t="str">
        <f>_xlfn.XLOOKUP(Projects[[#This Row],[Coverage]],Table7[Coverage],Table7[CoverageFR],"",FALSE)</f>
        <v xml:space="preserve">National </v>
      </c>
      <c r="T32" s="31" t="str">
        <f>IF(Projects[[#This Row],[To publish]]="","",Projects[[#This Row],[To publish]])</f>
        <v>Batch1</v>
      </c>
    </row>
    <row r="33" spans="1:20" ht="165" x14ac:dyDescent="0.25">
      <c r="A33" s="19">
        <f>Projects[[#This Row],[NR]]</f>
        <v>48</v>
      </c>
      <c r="B33" s="19" t="str">
        <f>IF(Projects[[#This Row],[Title]]="","",Projects[[#This Row],[Title]])</f>
        <v xml:space="preserve">Predictive Justice / Giustizia Predittiva (Brescia) </v>
      </c>
      <c r="C33" s="19" t="str">
        <f>IF(Projects[[#This Row],[AI Relevance]]="","",Projects[[#This Row],[AI Relevance]])</f>
        <v>AI</v>
      </c>
      <c r="D33" s="19" t="str">
        <f>_xlfn.XLOOKUP(Projects[[#This Row],[Area1]],Table1[Area],Table1[FRArea],"Check",FALSE)</f>
        <v>3 - Prévision des résultats des litiges</v>
      </c>
      <c r="E33" s="19" t="str">
        <f>IF(Projects[[#This Row],[Area2]]="","",_xlfn.XLOOKUP(Projects[[#This Row],[Area2]],Table1[Area],Table1[FRArea],"Check",FALSE))</f>
        <v/>
      </c>
      <c r="F33" s="19">
        <f>IF(Projects[[#This Row],[Year]]="","",Projects[[#This Row],[Year]])</f>
        <v>2017</v>
      </c>
      <c r="G33" s="19" t="str">
        <f>_xlfn.XLOOKUP(Projects[[#This Row],[Country]],Table2[Country],Table2[Pays],"Check",FALSE)</f>
        <v>Italie</v>
      </c>
      <c r="H33" s="19" t="str">
        <f>IF(Projects[[#This Row],[Description]]="","",Projects[[#This Row],[Description]])</f>
        <v xml:space="preserve">The site presents - grouped by thematic areas - selected decision of the Brescia Court of Appeal and Second Instance Court. Once the area of interest is chosen (labour/business law), a guided 'itinerary' can be followed, aimed at identifying the most appropriate case-law for answering one's question.  The system is a collaboration between the Brescia Court of Appeal and Tribunal and the University of Brescia. (Last database update: unknown). </v>
      </c>
      <c r="I33" s="29" t="str">
        <f>IF(Projects[[#This Row],[DescriptionFR]]="","",Projects[[#This Row],[DescriptionFR]])</f>
        <v>Le site présente - regroupées par domaines thématiques - des décisions sélectionnées de la Cour d'appel et du Tribunal de seconde instance de Brescia. Une fois le domaine d'intérêt choisi (droit du travail/droit des affaires), il est possible de suivre un "itinéraire" guidé, visant à identifier la décision judiciaire la plus appropriée pour répondre à la question posée.  Le système est le fruit d'une collaboration entre la Cour d'appel et le Tribunal de Brescia et l'Université de Brescia.  (Dernière mise à jour de la base de données inconnue).</v>
      </c>
      <c r="J33" s="30" t="str">
        <f>IF(Projects[[#This Row],[Link]]="","",Projects[[#This Row],[Link]])</f>
        <v xml:space="preserve">https://giustiziapredittiva.unibs.it </v>
      </c>
      <c r="K33" s="30" t="str">
        <f>IF(Projects[[#This Row],[Link1]]="","",Projects[[#This Row],[Link1]])</f>
        <v/>
      </c>
      <c r="L33" s="19" t="str">
        <f>_xlfn.XLOOKUP(Projects[[#This Row],[Implemented by]],Table3[Implemented by],Table3[ImplementedFR],"",FALSE)</f>
        <v>Recherche/Universitaire</v>
      </c>
      <c r="M33" s="19" t="str">
        <f>_xlfn.XLOOKUP(Projects[[#This Row],[Target audience]],Table4[Target audience],Table4[Target audienceFR],"",FALSE)</f>
        <v>Avocats</v>
      </c>
      <c r="N33" s="19" t="str">
        <f>IF(Projects[[#This Row],[Target audience2]]="","",_xlfn.XLOOKUP(Projects[[#This Row],[Target audience2]],Table4[Target audience],Table4[Target audienceFR],"Check",FALSE))</f>
        <v>Usagers des tribunaux (Grand public)</v>
      </c>
      <c r="O33" s="19" t="str">
        <f>IF(Projects[[#This Row],[Target audience3]]="","",_xlfn.XLOOKUP(Projects[[#This Row],[Target audience3]],Table4[Target audience],Table4[Target audienceFR],"Check",FALSE))</f>
        <v/>
      </c>
      <c r="P33" s="19" t="str">
        <f>IF(Projects[[#This Row],[Target audience4]]="","",_xlfn.XLOOKUP(Projects[[#This Row],[Target audience4]],Table4[Target audience],Table4[Target audienceFR],"Check",FALSE))</f>
        <v/>
      </c>
      <c r="Q33" s="19" t="str">
        <f>IF(Projects[[#This Row],[Target audience5]]="","",_xlfn.XLOOKUP(Projects[[#This Row],[Target audience5]],Table4[Target audience],Table4[Target audienceFR],"Check",FALSE))</f>
        <v/>
      </c>
      <c r="R33" s="19" t="str">
        <f>_xlfn.XLOOKUP(Projects[[#This Row],[Status]],Table8[Status],Table8[StatusFR],"",FALSE)</f>
        <v>Fonctionnel</v>
      </c>
      <c r="S33" s="19" t="str">
        <f>_xlfn.XLOOKUP(Projects[[#This Row],[Coverage]],Table7[Coverage],Table7[CoverageFR],"",FALSE)</f>
        <v>Régional</v>
      </c>
      <c r="T33" s="31" t="str">
        <f>IF(Projects[[#This Row],[To publish]]="","",Projects[[#This Row],[To publish]])</f>
        <v>Batch1</v>
      </c>
    </row>
    <row r="34" spans="1:20" ht="75" x14ac:dyDescent="0.25">
      <c r="A34" s="19">
        <f>Projects[[#This Row],[NR]]</f>
        <v>49</v>
      </c>
      <c r="B34" s="19" t="str">
        <f>IF(Projects[[#This Row],[Title]]="","",Projects[[#This Row],[Title]])</f>
        <v xml:space="preserve">ANOM / Anonymization </v>
      </c>
      <c r="C34" s="19" t="str">
        <f>IF(Projects[[#This Row],[AI Relevance]]="","",Projects[[#This Row],[AI Relevance]])</f>
        <v>AI</v>
      </c>
      <c r="D34" s="19" t="str">
        <f>_xlfn.XLOOKUP(Projects[[#This Row],[Area1]],Table1[Area],Table1[FRArea],"Check",FALSE)</f>
        <v>5 - Anonymisation et pseudonymisation</v>
      </c>
      <c r="E34" s="19" t="str">
        <f>IF(Projects[[#This Row],[Area2]]="","",_xlfn.XLOOKUP(Projects[[#This Row],[Area2]],Table1[Area],Table1[FRArea],"Check",FALSE))</f>
        <v/>
      </c>
      <c r="F34" s="19">
        <f>IF(Projects[[#This Row],[Year]]="","",Projects[[#This Row],[Year]])</f>
        <v>2021</v>
      </c>
      <c r="G34" s="19" t="str">
        <f>_xlfn.XLOOKUP(Projects[[#This Row],[Country]],Table2[Country],Table2[Pays],"Check",FALSE)</f>
        <v>Suisse</v>
      </c>
      <c r="H34" s="19" t="str">
        <f>IF(Projects[[#This Row],[Description]]="","",Projects[[#This Row],[Description]])</f>
        <v xml:space="preserve">ANOM  uses AI to detect the name of experts or other information, for instance plot numbers, which are not parties to the procedure, and proposes them as candidates to anonymization in light of publication of the judgment. </v>
      </c>
      <c r="I34" s="29" t="str">
        <f>IF(Projects[[#This Row],[DescriptionFR]]="","",Projects[[#This Row],[DescriptionFR]])</f>
        <v xml:space="preserve">ANOM utilise l'IA pour détecter le nom d'experts ou d'autres informations, par exemple des numéros de parcelles, qui ne sont pas parties à la procédure, et les propose comme candidats à l'anonymisation à la lumière de la publication de l'arrêt. </v>
      </c>
      <c r="J34" s="30" t="str">
        <f>IF(Projects[[#This Row],[Link]]="","",Projects[[#This Row],[Link]])</f>
        <v>https://rm.coe.int/internal-system/4880299b55</v>
      </c>
      <c r="K34" s="30" t="str">
        <f>IF(Projects[[#This Row],[Link1]]="","",Projects[[#This Row],[Link1]])</f>
        <v/>
      </c>
      <c r="L34" s="19" t="str">
        <f>_xlfn.XLOOKUP(Projects[[#This Row],[Implemented by]],Table3[Implemented by],Table3[ImplementedFR],"",FALSE)</f>
        <v xml:space="preserve">Publique </v>
      </c>
      <c r="M34" s="19" t="str">
        <f>_xlfn.XLOOKUP(Projects[[#This Row],[Target audience]],Table4[Target audience],Table4[Target audienceFR],"",FALSE)</f>
        <v>Usagers des tribunaux (Grand public)</v>
      </c>
      <c r="N34" s="19" t="str">
        <f>IF(Projects[[#This Row],[Target audience2]]="","",_xlfn.XLOOKUP(Projects[[#This Row],[Target audience2]],Table4[Target audience],Table4[Target audienceFR],"Check",FALSE))</f>
        <v>Avocats</v>
      </c>
      <c r="O34" s="19" t="str">
        <f>IF(Projects[[#This Row],[Target audience3]]="","",_xlfn.XLOOKUP(Projects[[#This Row],[Target audience3]],Table4[Target audience],Table4[Target audienceFR],"Check",FALSE))</f>
        <v>Juges/greffiers</v>
      </c>
      <c r="P34" s="19" t="str">
        <f>IF(Projects[[#This Row],[Target audience4]]="","",_xlfn.XLOOKUP(Projects[[#This Row],[Target audience4]],Table4[Target audience],Table4[Target audienceFR],"Check",FALSE))</f>
        <v/>
      </c>
      <c r="Q34" s="19" t="str">
        <f>IF(Projects[[#This Row],[Target audience5]]="","",_xlfn.XLOOKUP(Projects[[#This Row],[Target audience5]],Table4[Target audience],Table4[Target audienceFR],"Check",FALSE))</f>
        <v/>
      </c>
      <c r="R34" s="19" t="str">
        <f>_xlfn.XLOOKUP(Projects[[#This Row],[Status]],Table8[Status],Table8[StatusFR],"",FALSE)</f>
        <v>Fonctionnel</v>
      </c>
      <c r="S34" s="19" t="str">
        <f>_xlfn.XLOOKUP(Projects[[#This Row],[Coverage]],Table7[Coverage],Table7[CoverageFR],"",FALSE)</f>
        <v>Régional</v>
      </c>
      <c r="T34" s="31" t="str">
        <f>IF(Projects[[#This Row],[To publish]]="","",Projects[[#This Row],[To publish]])</f>
        <v>Batch 2</v>
      </c>
    </row>
    <row r="35" spans="1:20" ht="285" x14ac:dyDescent="0.25">
      <c r="A35" s="19">
        <f>Projects[[#This Row],[NR]]</f>
        <v>51</v>
      </c>
      <c r="B35" s="19" t="str">
        <f>IF(Projects[[#This Row],[Title]]="","",Projects[[#This Row],[Title]])</f>
        <v xml:space="preserve">Sinapses </v>
      </c>
      <c r="C35" s="19" t="str">
        <f>IF(Projects[[#This Row],[AI Relevance]]="","",Projects[[#This Row],[AI Relevance]])</f>
        <v>AI</v>
      </c>
      <c r="D35" s="19" t="str">
        <f>_xlfn.XLOOKUP(Projects[[#This Row],[Area1]],Table1[Area],Table1[FRArea],"Check",FALSE)</f>
        <v>1 - Recherche documentaire</v>
      </c>
      <c r="E35" s="19" t="str">
        <f>IF(Projects[[#This Row],[Area2]]="","",_xlfn.XLOOKUP(Projects[[#This Row],[Area2]],Table1[Area],Table1[FRArea],"Check",FALSE))</f>
        <v>6 - Triage, attribution et automatisation des flux de travail</v>
      </c>
      <c r="F35" s="19">
        <f>IF(Projects[[#This Row],[Year]]="","",Projects[[#This Row],[Year]])</f>
        <v>2020</v>
      </c>
      <c r="G35" s="19" t="str">
        <f>_xlfn.XLOOKUP(Projects[[#This Row],[Country]],Table2[Country],Table2[Pays],"Check",FALSE)</f>
        <v>Brésil</v>
      </c>
      <c r="H35" s="19" t="str">
        <f>IF(Projects[[#This Row],[Description]]="","",Projects[[#This Row],[Description]])</f>
        <v xml:space="preserve">Sinapses is a national platform for storage, supervised training, versioning control, distribution and auditing of AI models, in addition to establishing the parameters for its implementation and operation. Sinapses provides a link to Codex that consolidates procedural databases and, thus, provides the textual content of documents and structured data.
It works as a data lake of procedural information, which can be consumed by the most diverse applications: the production of business intelligence dashboards and reports; the implementation of intelligent and unified searches; automated feeding of statistical data; and even providing data for the creation of AI models.
</v>
      </c>
      <c r="I35" s="29" t="str">
        <f>IF(Projects[[#This Row],[DescriptionFR]]="","",Projects[[#This Row],[DescriptionFR]])</f>
        <v>Sinapses en tant que plateforme nationale pour le stockage, la formation supervisée, le contrôle des versions, la distribution et l'audit des modèles d'intelligence artificielle, en plus d'établir les paramètres de sa mise en œuvre et de son fonctionnement. Sinapsis fournit un lien vers le Codex qui consolide les bases de données procédurales et, par conséquent, fournit le contenu textuel des documents et des données structurées.
Il fonctionne comme un lac de données d'informations procédurales, qui peut être consommé par les applications les plus diverses : la production de tableaux de bord et de rapports de business intelligence ; la mise en œuvre de recherches intelligentes et unifiées ; l'alimentation automatisée de données statistiques ; et même la fourniture de données pour la création de modèles d'Intelligence Artificielle.</v>
      </c>
      <c r="J35" s="30" t="str">
        <f>IF(Projects[[#This Row],[Link]]="","",Projects[[#This Row],[Link]])</f>
        <v>https://www.cnj.jus.br/sistemas/plataforma-sinapses/</v>
      </c>
      <c r="K35" s="30" t="str">
        <f>IF(Projects[[#This Row],[Link1]]="","",Projects[[#This Row],[Link1]])</f>
        <v>https://ciapj.fgv.br/sites/ciapj.fgv.br/files/relatorio_ia_3a_edicao_0.pdf</v>
      </c>
      <c r="L35" s="19" t="str">
        <f>_xlfn.XLOOKUP(Projects[[#This Row],[Implemented by]],Table3[Implemented by],Table3[ImplementedFR],"",FALSE)</f>
        <v xml:space="preserve">Publique </v>
      </c>
      <c r="M35" s="19" t="str">
        <f>_xlfn.XLOOKUP(Projects[[#This Row],[Target audience]],Table4[Target audience],Table4[Target audienceFR],"",FALSE)</f>
        <v>Usagers des tribunaux (Grand public)</v>
      </c>
      <c r="N35" s="19" t="str">
        <f>IF(Projects[[#This Row],[Target audience2]]="","",_xlfn.XLOOKUP(Projects[[#This Row],[Target audience2]],Table4[Target audience],Table4[Target audienceFR],"Check",FALSE))</f>
        <v>Gestion</v>
      </c>
      <c r="O35" s="19" t="str">
        <f>IF(Projects[[#This Row],[Target audience3]]="","",_xlfn.XLOOKUP(Projects[[#This Row],[Target audience3]],Table4[Target audience],Table4[Target audienceFR],"Check",FALSE))</f>
        <v>Avocats</v>
      </c>
      <c r="P35" s="19" t="str">
        <f>IF(Projects[[#This Row],[Target audience4]]="","",_xlfn.XLOOKUP(Projects[[#This Row],[Target audience4]],Table4[Target audience],Table4[Target audienceFR],"Check",FALSE))</f>
        <v>Juges/greffiers</v>
      </c>
      <c r="Q35" s="19" t="str">
        <f>IF(Projects[[#This Row],[Target audience5]]="","",_xlfn.XLOOKUP(Projects[[#This Row],[Target audience5]],Table4[Target audience],Table4[Target audienceFR],"Check",FALSE))</f>
        <v/>
      </c>
      <c r="R35" s="19" t="str">
        <f>_xlfn.XLOOKUP(Projects[[#This Row],[Status]],Table8[Status],Table8[StatusFR],"",FALSE)</f>
        <v>Fonctionnel</v>
      </c>
      <c r="S35" s="19" t="str">
        <f>_xlfn.XLOOKUP(Projects[[#This Row],[Coverage]],Table7[Coverage],Table7[CoverageFR],"",FALSE)</f>
        <v xml:space="preserve">National </v>
      </c>
      <c r="T35" s="31" t="str">
        <f>IF(Projects[[#This Row],[To publish]]="","",Projects[[#This Row],[To publish]])</f>
        <v>Batch 2</v>
      </c>
    </row>
    <row r="36" spans="1:20" ht="90" x14ac:dyDescent="0.25">
      <c r="A36" s="19">
        <f>Projects[[#This Row],[NR]]</f>
        <v>52</v>
      </c>
      <c r="B36" s="19" t="str">
        <f>IF(Projects[[#This Row],[Title]]="","",Projects[[#This Row],[Title]])</f>
        <v>Anonymization tool</v>
      </c>
      <c r="C36" s="19" t="str">
        <f>IF(Projects[[#This Row],[AI Relevance]]="","",Projects[[#This Row],[AI Relevance]])</f>
        <v>AI</v>
      </c>
      <c r="D36" s="19" t="str">
        <f>_xlfn.XLOOKUP(Projects[[#This Row],[Area1]],Table1[Area],Table1[FRArea],"Check",FALSE)</f>
        <v>5 - Anonymisation et pseudonymisation</v>
      </c>
      <c r="E36" s="19" t="str">
        <f>IF(Projects[[#This Row],[Area2]]="","",_xlfn.XLOOKUP(Projects[[#This Row],[Area2]],Table1[Area],Table1[FRArea],"Check",FALSE))</f>
        <v/>
      </c>
      <c r="F36" s="19">
        <f>IF(Projects[[#This Row],[Year]]="","",Projects[[#This Row],[Year]])</f>
        <v>2021</v>
      </c>
      <c r="G36" s="19" t="str">
        <f>_xlfn.XLOOKUP(Projects[[#This Row],[Country]],Table2[Country],Table2[Pays],"Check",FALSE)</f>
        <v>République tchèque</v>
      </c>
      <c r="H36" s="19" t="str">
        <f>IF(Projects[[#This Row],[Description]]="","",Projects[[#This Row],[Description]])</f>
        <v>The anonymization tool automatically detects specified personal and private data in court decisions. It anonymizes this data and ensures the publication of anonymized court decisions. In-house development, rule-based AI.</v>
      </c>
      <c r="I36" s="29" t="str">
        <f>IF(Projects[[#This Row],[DescriptionFR]]="","",Projects[[#This Row],[DescriptionFR]])</f>
        <v>L'outil d'anonymisation détecte automatiquement les données personnelles et privées spécifiées dans les décisions de justice. Il rend ces données anonymes et assure la publication des décisions judiciaires anonymes. Développement interne, IA basée sur des règles.</v>
      </c>
      <c r="J36" s="30" t="str">
        <f>IF(Projects[[#This Row],[Link]]="","",Projects[[#This Row],[Link]])</f>
        <v>https://rm.coe.int/internal-system/4880299b55</v>
      </c>
      <c r="K36" s="30" t="str">
        <f>IF(Projects[[#This Row],[Link1]]="","",Projects[[#This Row],[Link1]])</f>
        <v/>
      </c>
      <c r="L36" s="19" t="str">
        <f>_xlfn.XLOOKUP(Projects[[#This Row],[Implemented by]],Table3[Implemented by],Table3[ImplementedFR],"",FALSE)</f>
        <v xml:space="preserve">Publique </v>
      </c>
      <c r="M36" s="19" t="str">
        <f>_xlfn.XLOOKUP(Projects[[#This Row],[Target audience]],Table4[Target audience],Table4[Target audienceFR],"",FALSE)</f>
        <v>Usagers des tribunaux (Grand public)</v>
      </c>
      <c r="N36" s="19" t="str">
        <f>IF(Projects[[#This Row],[Target audience2]]="","",_xlfn.XLOOKUP(Projects[[#This Row],[Target audience2]],Table4[Target audience],Table4[Target audienceFR],"Check",FALSE))</f>
        <v>Avocats</v>
      </c>
      <c r="O36" s="19" t="str">
        <f>IF(Projects[[#This Row],[Target audience3]]="","",_xlfn.XLOOKUP(Projects[[#This Row],[Target audience3]],Table4[Target audience],Table4[Target audienceFR],"Check",FALSE))</f>
        <v>Juges/greffiers</v>
      </c>
      <c r="P36" s="19" t="str">
        <f>IF(Projects[[#This Row],[Target audience4]]="","",_xlfn.XLOOKUP(Projects[[#This Row],[Target audience4]],Table4[Target audience],Table4[Target audienceFR],"Check",FALSE))</f>
        <v/>
      </c>
      <c r="Q36" s="19" t="str">
        <f>IF(Projects[[#This Row],[Target audience5]]="","",_xlfn.XLOOKUP(Projects[[#This Row],[Target audience5]],Table4[Target audience],Table4[Target audienceFR],"Check",FALSE))</f>
        <v/>
      </c>
      <c r="R36" s="19" t="str">
        <f>_xlfn.XLOOKUP(Projects[[#This Row],[Status]],Table8[Status],Table8[StatusFR],"",FALSE)</f>
        <v>Fonctionnel</v>
      </c>
      <c r="S36" s="19" t="str">
        <f>_xlfn.XLOOKUP(Projects[[#This Row],[Coverage]],Table7[Coverage],Table7[CoverageFR],"",FALSE)</f>
        <v xml:space="preserve">National </v>
      </c>
      <c r="T36" s="31" t="str">
        <f>IF(Projects[[#This Row],[To publish]]="","",Projects[[#This Row],[To publish]])</f>
        <v>Batch 2</v>
      </c>
    </row>
    <row r="37" spans="1:20" ht="345" x14ac:dyDescent="0.25">
      <c r="A37" s="19">
        <f>Projects[[#This Row],[NR]]</f>
        <v>53</v>
      </c>
      <c r="B37" s="19" t="str">
        <f>IF(Projects[[#This Row],[Title]]="","",Projects[[#This Row],[Title]])</f>
        <v xml:space="preserve">Judgment database with anonymisation / Domsdatabasen </v>
      </c>
      <c r="C37" s="19" t="str">
        <f>IF(Projects[[#This Row],[AI Relevance]]="","",Projects[[#This Row],[AI Relevance]])</f>
        <v>AI</v>
      </c>
      <c r="D37" s="19" t="str">
        <f>_xlfn.XLOOKUP(Projects[[#This Row],[Area1]],Table1[Area],Table1[FRArea],"Check",FALSE)</f>
        <v>5 - Anonymisation et pseudonymisation</v>
      </c>
      <c r="E37" s="19" t="str">
        <f>IF(Projects[[#This Row],[Area2]]="","",_xlfn.XLOOKUP(Projects[[#This Row],[Area2]],Table1[Area],Table1[FRArea],"Check",FALSE))</f>
        <v/>
      </c>
      <c r="F37" s="19">
        <f>IF(Projects[[#This Row],[Year]]="","",Projects[[#This Row],[Year]])</f>
        <v>2022</v>
      </c>
      <c r="G37" s="19" t="str">
        <f>_xlfn.XLOOKUP(Projects[[#This Row],[Country]],Table2[Country],Table2[Pays],"Check",FALSE)</f>
        <v>Danemark</v>
      </c>
      <c r="H37" s="19" t="str">
        <f>IF(Projects[[#This Row],[Description]]="","",Projects[[#This Row],[Description]])</f>
        <v>A central judgment database is compulsary  for the publication of judgments handed down by Denmark's courts. The purpose is increased openness - to give the public free access to the judgments and the opportunity to gain insight into legal practice.
The judgment database consists of two system components: (i) an internal portal, where the judgments are handled and pseudonomized, and (ii) a web portal from which the public can access the judgments.
The internal portal is where the pseudonomization of the judgments is carried out and this is where the AI system is implemented. The AI system, called NER, analyses the pdf document of the judgment and identifies and suggests text and names that need to be pseudonomized. An employee looks over the suggestions, accepts or corrects them and decides when the judgment with associated metadata and documents can be published in the public web portal. The NER system will learn from the employee´s acceptance or correction of its suggestions and how many user generated pseudonomizations the employee adds to the judgments.</v>
      </c>
      <c r="I37" s="29" t="str">
        <f>IF(Projects[[#This Row],[DescriptionFR]]="","",Projects[[#This Row],[DescriptionFR]])</f>
        <v>Une base de données centrale des jugements est obligatoire pour la publication des jugements rendus par les tribunaux danois. L'objectif est d'accroître l'ouverture - de donner au public un accès libre aux jugements et la possibilité de se faire une idée de la pratique juridique.
La base de données des jugements se compose de deux éléments : un portail interne, où les jugements sont traités et pseudonymisés, et un portail web à partir duquel le public peut accéder aux jugements.
C'est sur le portail interne que la pseudonomisation des jugements est effectuée et que le système d'intelligence artificielle est mis en œuvre. Le système d'IA appelé NER analyse le document pdf de l'arrêt et identifie et suggère le texte et les noms qui doivent être pseudonymisés. Un employé examine les suggestions, les accepte ou les corrige et décide quand l'arrêt, avec les métadonnées et les documents associés, peut être publié sur le portail web public. Le système NER apprend de l'acceptation ou de la correction de ses suggestions par l'employé et du nombre de pseudonomisations générées par l'utilisateur que l'employé ajoute aux jugements.</v>
      </c>
      <c r="J37" s="30" t="str">
        <f>IF(Projects[[#This Row],[Link]]="","",Projects[[#This Row],[Link]])</f>
        <v>domsdatabasen.dk</v>
      </c>
      <c r="K37" s="30" t="str">
        <f>IF(Projects[[#This Row],[Link1]]="","",Projects[[#This Row],[Link1]])</f>
        <v/>
      </c>
      <c r="L37" s="19" t="str">
        <f>_xlfn.XLOOKUP(Projects[[#This Row],[Implemented by]],Table3[Implemented by],Table3[ImplementedFR],"",FALSE)</f>
        <v xml:space="preserve">Publique </v>
      </c>
      <c r="M37" s="19" t="str">
        <f>_xlfn.XLOOKUP(Projects[[#This Row],[Target audience]],Table4[Target audience],Table4[Target audienceFR],"",FALSE)</f>
        <v>Usagers des tribunaux (Grand public)</v>
      </c>
      <c r="N37" s="19" t="str">
        <f>IF(Projects[[#This Row],[Target audience2]]="","",_xlfn.XLOOKUP(Projects[[#This Row],[Target audience2]],Table4[Target audience],Table4[Target audienceFR],"Check",FALSE))</f>
        <v>Avocats</v>
      </c>
      <c r="O37" s="19" t="str">
        <f>IF(Projects[[#This Row],[Target audience3]]="","",_xlfn.XLOOKUP(Projects[[#This Row],[Target audience3]],Table4[Target audience],Table4[Target audienceFR],"Check",FALSE))</f>
        <v>Juges/greffiers</v>
      </c>
      <c r="P37" s="19" t="str">
        <f>IF(Projects[[#This Row],[Target audience4]]="","",_xlfn.XLOOKUP(Projects[[#This Row],[Target audience4]],Table4[Target audience],Table4[Target audienceFR],"Check",FALSE))</f>
        <v>Gestion</v>
      </c>
      <c r="Q37" s="19" t="str">
        <f>IF(Projects[[#This Row],[Target audience5]]="","",_xlfn.XLOOKUP(Projects[[#This Row],[Target audience5]],Table4[Target audience],Table4[Target audienceFR],"Check",FALSE))</f>
        <v/>
      </c>
      <c r="R37" s="19" t="str">
        <f>_xlfn.XLOOKUP(Projects[[#This Row],[Status]],Table8[Status],Table8[StatusFR],"",FALSE)</f>
        <v>Fonctionnel</v>
      </c>
      <c r="S37" s="19" t="str">
        <f>_xlfn.XLOOKUP(Projects[[#This Row],[Coverage]],Table7[Coverage],Table7[CoverageFR],"",FALSE)</f>
        <v>Régional</v>
      </c>
      <c r="T37" s="31" t="str">
        <f>IF(Projects[[#This Row],[To publish]]="","",Projects[[#This Row],[To publish]])</f>
        <v>Batch 2</v>
      </c>
    </row>
    <row r="38" spans="1:20" ht="285" x14ac:dyDescent="0.25">
      <c r="A38" s="19">
        <f>Projects[[#This Row],[NR]]</f>
        <v>54</v>
      </c>
      <c r="B38" s="19" t="str">
        <f>IF(Projects[[#This Row],[Title]]="","",Projects[[#This Row],[Title]])</f>
        <v>COMPAS / Correctional Offender Management Profiling for Alternative Sanctions</v>
      </c>
      <c r="C38" s="19" t="str">
        <f>IF(Projects[[#This Row],[AI Relevance]]="","",Projects[[#This Row],[AI Relevance]])</f>
        <v>non-AI</v>
      </c>
      <c r="D38" s="19" t="str">
        <f>_xlfn.XLOOKUP(Projects[[#This Row],[Area1]],Table1[Area],Table1[FRArea],"Check",FALSE)</f>
        <v>4 - Aide à la décision</v>
      </c>
      <c r="E38" s="19" t="str">
        <f>IF(Projects[[#This Row],[Area2]]="","",_xlfn.XLOOKUP(Projects[[#This Row],[Area2]],Table1[Area],Table1[FRArea],"Check",FALSE))</f>
        <v/>
      </c>
      <c r="F38" s="19">
        <f>IF(Projects[[#This Row],[Year]]="","",Projects[[#This Row],[Year]])</f>
        <v>1990</v>
      </c>
      <c r="G38" s="19" t="str">
        <f>_xlfn.XLOOKUP(Projects[[#This Row],[Country]],Table2[Country],Table2[Pays],"Check",FALSE)</f>
        <v>Etats-Unis</v>
      </c>
      <c r="H38" s="19" t="str">
        <f>IF(Projects[[#This Row],[Description]]="","",Projects[[#This Row],[Description]])</f>
        <v xml:space="preserve">A proprietary software created to help U.S. judges assess whether a defendant is likely to re-offend, both in bail and sentencing. The system automates the risk assessment by asking a total of 137 questions based on an interview with the person concerned and their criminal record.  From this, it calculates scores from 1 to 10 in 43 different categories (scales). Scores in some categories (so-called risk scales) are supposed to make statements on the risk of recidivism - in general, for special types of offences (e.g. violent crimes) or specifically for individual identified risk factors (e.g. previous convictions, drug use, social integration). The higher the score, the higher the risk of recidivism. This is not intended to represent an 'absolute' risk, but only a relative one in relation to the 'norm group'. </v>
      </c>
      <c r="I38" s="29" t="str">
        <f>IF(Projects[[#This Row],[DescriptionFR]]="","",Projects[[#This Row],[DescriptionFR]])</f>
        <v>Logiciel propriétaire créé pour aider les juges américains à évaluer si un défendeur est susceptible de récidiver, tant pour la mise en liberté sous caution que pour la détermination de la peine. Le système automatise l'évaluation du risque en posant un total de 137 questions basées sur un entretien avec la personne concernée et son casier judiciaire.  Il calcule ensuite des scores de 1 à 10 dans 43 catégories différentes (échelles). Les scores obtenus dans certaines catégories (appelées échelles de risque) sont censés indiquer le risque de récidive - en général, pour des types particuliers d'infractions (par exemple, les crimes violents) ou spécifiquement pour des facteurs de risque individuels identifiés (par exemple, les condamnations antérieures, la consommation de drogue, l'intégration sociale). Plus le score est élevé, plus le risque de récidive est important. Il ne s'agit pas d'un risque "absolu", mais seulement d'un risque relatif par rapport au "groupe de référence".</v>
      </c>
      <c r="J38" s="30" t="str">
        <f>IF(Projects[[#This Row],[Link]]="","",Projects[[#This Row],[Link]])</f>
        <v>https://www.equivant.com/wp-content/uploads/Practitioners-Guide-to-COMPAS-Core-040419.pdf</v>
      </c>
      <c r="K38" s="30" t="str">
        <f>IF(Projects[[#This Row],[Link1]]="","",Projects[[#This Row],[Link1]])</f>
        <v/>
      </c>
      <c r="L38" s="19" t="str">
        <f>_xlfn.XLOOKUP(Projects[[#This Row],[Implemented by]],Table3[Implemented by],Table3[ImplementedFR],"",FALSE)</f>
        <v xml:space="preserve">Publique </v>
      </c>
      <c r="M38" s="19" t="str">
        <f>_xlfn.XLOOKUP(Projects[[#This Row],[Target audience]],Table4[Target audience],Table4[Target audienceFR],"",FALSE)</f>
        <v>Juges/greffiers</v>
      </c>
      <c r="N38" s="19" t="str">
        <f>IF(Projects[[#This Row],[Target audience2]]="","",_xlfn.XLOOKUP(Projects[[#This Row],[Target audience2]],Table4[Target audience],Table4[Target audienceFR],"Check",FALSE))</f>
        <v>Gestion</v>
      </c>
      <c r="O38" s="19" t="str">
        <f>IF(Projects[[#This Row],[Target audience3]]="","",_xlfn.XLOOKUP(Projects[[#This Row],[Target audience3]],Table4[Target audience],Table4[Target audienceFR],"Check",FALSE))</f>
        <v/>
      </c>
      <c r="P38" s="19" t="str">
        <f>IF(Projects[[#This Row],[Target audience4]]="","",_xlfn.XLOOKUP(Projects[[#This Row],[Target audience4]],Table4[Target audience],Table4[Target audienceFR],"Check",FALSE))</f>
        <v/>
      </c>
      <c r="Q38" s="19" t="str">
        <f>IF(Projects[[#This Row],[Target audience5]]="","",_xlfn.XLOOKUP(Projects[[#This Row],[Target audience5]],Table4[Target audience],Table4[Target audienceFR],"Check",FALSE))</f>
        <v/>
      </c>
      <c r="R38" s="19" t="str">
        <f>_xlfn.XLOOKUP(Projects[[#This Row],[Status]],Table8[Status],Table8[StatusFR],"",FALSE)</f>
        <v>Fonctionnel</v>
      </c>
      <c r="S38" s="19" t="str">
        <f>_xlfn.XLOOKUP(Projects[[#This Row],[Coverage]],Table7[Coverage],Table7[CoverageFR],"",FALSE)</f>
        <v>Régional</v>
      </c>
      <c r="T38" s="31" t="str">
        <f>IF(Projects[[#This Row],[To publish]]="","",Projects[[#This Row],[To publish]])</f>
        <v>Batch 2</v>
      </c>
    </row>
    <row r="39" spans="1:20" ht="90" x14ac:dyDescent="0.25">
      <c r="A39" s="19">
        <f>Projects[[#This Row],[NR]]</f>
        <v>55</v>
      </c>
      <c r="B39" s="19" t="str">
        <f>IF(Projects[[#This Row],[Title]]="","",Projects[[#This Row],[Title]])</f>
        <v>HART /Harm Assessment Risk Tool</v>
      </c>
      <c r="C39" s="19" t="str">
        <f>IF(Projects[[#This Row],[AI Relevance]]="","",Projects[[#This Row],[AI Relevance]])</f>
        <v>non-AI</v>
      </c>
      <c r="D39" s="19" t="str">
        <f>_xlfn.XLOOKUP(Projects[[#This Row],[Area1]],Table1[Area],Table1[FRArea],"Check",FALSE)</f>
        <v>4 - Aide à la décision</v>
      </c>
      <c r="E39" s="19" t="str">
        <f>IF(Projects[[#This Row],[Area2]]="","",_xlfn.XLOOKUP(Projects[[#This Row],[Area2]],Table1[Area],Table1[FRArea],"Check",FALSE))</f>
        <v/>
      </c>
      <c r="F39" s="19">
        <f>IF(Projects[[#This Row],[Year]]="","",Projects[[#This Row],[Year]])</f>
        <v>2017</v>
      </c>
      <c r="G39" s="19" t="str">
        <f>_xlfn.XLOOKUP(Projects[[#This Row],[Country]],Table2[Country],Table2[Pays],"Check",FALSE)</f>
        <v>Royaume Uni</v>
      </c>
      <c r="H39" s="19" t="str">
        <f>IF(Projects[[#This Row],[Description]]="","",Projects[[#This Row],[Description]])</f>
        <v>Created by statistical experts from Cambridge University together with the Durhanm Constabulary, HART aims to help police officers determine whether arrested individuals are eligible for an alternative route to incarceration. It allows for a modelling of a ratio of error-costs.</v>
      </c>
      <c r="I39" s="29" t="str">
        <f>IF(Projects[[#This Row],[DescriptionFR]]="","",Projects[[#This Row],[DescriptionFR]])</f>
        <v>Créé par des experts en statistiques de l'université de Cambridge en collaboration avec la gendarmerie de Durhanm, HART a pour but d'aider les policiers à déterminer si les personnes arrêtées peuvent bénéficier d'une alternative à l'incarcération. Il permet de modéliser un ratio erreurs-coûts.</v>
      </c>
      <c r="J39" s="30" t="str">
        <f>IF(Projects[[#This Row],[Link]]="","",Projects[[#This Row],[Link]])</f>
        <v>https://rm.coe.int/internal-system/4880299b55</v>
      </c>
      <c r="K39" s="30" t="str">
        <f>IF(Projects[[#This Row],[Link1]]="","",Projects[[#This Row],[Link1]])</f>
        <v>https://www.durham.police.uk/News/News-Articles/2022/January/AI-can-predict-reoffending-university-study-finds.aspx</v>
      </c>
      <c r="L39" s="19" t="str">
        <f>_xlfn.XLOOKUP(Projects[[#This Row],[Implemented by]],Table3[Implemented by],Table3[ImplementedFR],"",FALSE)</f>
        <v xml:space="preserve">Publique </v>
      </c>
      <c r="M39" s="19" t="str">
        <f>_xlfn.XLOOKUP(Projects[[#This Row],[Target audience]],Table4[Target audience],Table4[Target audienceFR],"",FALSE)</f>
        <v>Gestion</v>
      </c>
      <c r="N39" s="19" t="str">
        <f>IF(Projects[[#This Row],[Target audience2]]="","",_xlfn.XLOOKUP(Projects[[#This Row],[Target audience2]],Table4[Target audience],Table4[Target audienceFR],"Check",FALSE))</f>
        <v>Usagers des tribunaux (Grand public)</v>
      </c>
      <c r="O39" s="19" t="str">
        <f>IF(Projects[[#This Row],[Target audience3]]="","",_xlfn.XLOOKUP(Projects[[#This Row],[Target audience3]],Table4[Target audience],Table4[Target audienceFR],"Check",FALSE))</f>
        <v/>
      </c>
      <c r="P39" s="19" t="str">
        <f>IF(Projects[[#This Row],[Target audience4]]="","",_xlfn.XLOOKUP(Projects[[#This Row],[Target audience4]],Table4[Target audience],Table4[Target audienceFR],"Check",FALSE))</f>
        <v/>
      </c>
      <c r="Q39" s="19" t="str">
        <f>IF(Projects[[#This Row],[Target audience5]]="","",_xlfn.XLOOKUP(Projects[[#This Row],[Target audience5]],Table4[Target audience],Table4[Target audienceFR],"Check",FALSE))</f>
        <v/>
      </c>
      <c r="R39" s="19" t="str">
        <f>_xlfn.XLOOKUP(Projects[[#This Row],[Status]],Table8[Status],Table8[StatusFR],"",FALSE)</f>
        <v>Fonctionnel</v>
      </c>
      <c r="S39" s="19" t="str">
        <f>_xlfn.XLOOKUP(Projects[[#This Row],[Coverage]],Table7[Coverage],Table7[CoverageFR],"",FALSE)</f>
        <v>Spécifique au tribunal</v>
      </c>
      <c r="T39" s="31" t="str">
        <f>IF(Projects[[#This Row],[To publish]]="","",Projects[[#This Row],[To publish]])</f>
        <v>Batch 2</v>
      </c>
    </row>
    <row r="40" spans="1:20" ht="90" x14ac:dyDescent="0.25">
      <c r="A40" s="19">
        <f>Projects[[#This Row],[NR]]</f>
        <v>56</v>
      </c>
      <c r="B40" s="19" t="str">
        <f>IF(Projects[[#This Row],[Title]]="","",Projects[[#This Row],[Title]])</f>
        <v>OASys/ Offender Assessment and Sentence Management</v>
      </c>
      <c r="C40" s="19" t="str">
        <f>IF(Projects[[#This Row],[AI Relevance]]="","",Projects[[#This Row],[AI Relevance]])</f>
        <v>non-AI</v>
      </c>
      <c r="D40" s="19" t="str">
        <f>_xlfn.XLOOKUP(Projects[[#This Row],[Area1]],Table1[Area],Table1[FRArea],"Check",FALSE)</f>
        <v>4 - Aide à la décision</v>
      </c>
      <c r="E40" s="19" t="str">
        <f>IF(Projects[[#This Row],[Area2]]="","",_xlfn.XLOOKUP(Projects[[#This Row],[Area2]],Table1[Area],Table1[FRArea],"Check",FALSE))</f>
        <v/>
      </c>
      <c r="F40" s="19">
        <f>IF(Projects[[#This Row],[Year]]="","",Projects[[#This Row],[Year]])</f>
        <v>2005</v>
      </c>
      <c r="G40" s="19" t="str">
        <f>_xlfn.XLOOKUP(Projects[[#This Row],[Country]],Table2[Country],Table2[Pays],"Check",FALSE)</f>
        <v>Royaume Uni</v>
      </c>
      <c r="H40" s="19" t="str">
        <f>IF(Projects[[#This Row],[Description]]="","",Projects[[#This Row],[Description]])</f>
        <v xml:space="preserve">OASys is a general statistical risk-needs assessment tool, used for both parole (by the Prison Services) and sentencing decisions (by the Probation Services). It focuses on rehabilitation, which in turn reduces recidivism. </v>
      </c>
      <c r="I40" s="29" t="str">
        <f>IF(Projects[[#This Row],[DescriptionFR]]="","",Projects[[#This Row],[DescriptionFR]])</f>
        <v>OASys est un outil statistique général d'évaluation des risques et des besoins, utilisé à la fois pour la libération conditionnelle (par les services pénitentiaires) et pour les décisions de condamnation (par les services de probation). Il met l'accent sur la réinsertion, ce qui permet de réduire la récidive.</v>
      </c>
      <c r="J40" s="30" t="str">
        <f>IF(Projects[[#This Row],[Link]]="","",Projects[[#This Row],[Link]])</f>
        <v>https://rm.coe.int/internal-system/4880299b55</v>
      </c>
      <c r="K40" s="30" t="str">
        <f>IF(Projects[[#This Row],[Link1]]="","",Projects[[#This Row],[Link1]])</f>
        <v>https://assets.publishing.service.gov.uk/government/uploads/system/uploads/attachment_data/file/491688/oasys-methodology.pdf</v>
      </c>
      <c r="L40" s="19" t="str">
        <f>_xlfn.XLOOKUP(Projects[[#This Row],[Implemented by]],Table3[Implemented by],Table3[ImplementedFR],"",FALSE)</f>
        <v xml:space="preserve">Publique </v>
      </c>
      <c r="M40" s="19" t="str">
        <f>_xlfn.XLOOKUP(Projects[[#This Row],[Target audience]],Table4[Target audience],Table4[Target audienceFR],"",FALSE)</f>
        <v>Juges/greffiers</v>
      </c>
      <c r="N40" s="19" t="str">
        <f>IF(Projects[[#This Row],[Target audience2]]="","",_xlfn.XLOOKUP(Projects[[#This Row],[Target audience2]],Table4[Target audience],Table4[Target audienceFR],"Check",FALSE))</f>
        <v>Usagers des tribunaux (Grand public)</v>
      </c>
      <c r="O40" s="19" t="str">
        <f>IF(Projects[[#This Row],[Target audience3]]="","",_xlfn.XLOOKUP(Projects[[#This Row],[Target audience3]],Table4[Target audience],Table4[Target audienceFR],"Check",FALSE))</f>
        <v>Gestion</v>
      </c>
      <c r="P40" s="19" t="str">
        <f>IF(Projects[[#This Row],[Target audience4]]="","",_xlfn.XLOOKUP(Projects[[#This Row],[Target audience4]],Table4[Target audience],Table4[Target audienceFR],"Check",FALSE))</f>
        <v/>
      </c>
      <c r="Q40" s="19" t="str">
        <f>IF(Projects[[#This Row],[Target audience5]]="","",_xlfn.XLOOKUP(Projects[[#This Row],[Target audience5]],Table4[Target audience],Table4[Target audienceFR],"Check",FALSE))</f>
        <v/>
      </c>
      <c r="R40" s="19" t="str">
        <f>_xlfn.XLOOKUP(Projects[[#This Row],[Status]],Table8[Status],Table8[StatusFR],"",FALSE)</f>
        <v>Fonctionnel</v>
      </c>
      <c r="S40" s="19" t="str">
        <f>_xlfn.XLOOKUP(Projects[[#This Row],[Coverage]],Table7[Coverage],Table7[CoverageFR],"",FALSE)</f>
        <v>Spécifique au tribunal</v>
      </c>
      <c r="T40" s="31" t="str">
        <f>IF(Projects[[#This Row],[To publish]]="","",Projects[[#This Row],[To publish]])</f>
        <v>Batch 2</v>
      </c>
    </row>
    <row r="41" spans="1:20" ht="105" x14ac:dyDescent="0.25">
      <c r="A41" s="19">
        <f>Projects[[#This Row],[NR]]</f>
        <v>57</v>
      </c>
      <c r="B41" s="19" t="str">
        <f>IF(Projects[[#This Row],[Title]]="","",Projects[[#This Row],[Title]])</f>
        <v>RITA (Riski-ja tarvearvio) / Finnish Risk and Needs Assessment Form</v>
      </c>
      <c r="C41" s="19" t="str">
        <f>IF(Projects[[#This Row],[AI Relevance]]="","",Projects[[#This Row],[AI Relevance]])</f>
        <v>non-AI</v>
      </c>
      <c r="D41" s="19" t="str">
        <f>_xlfn.XLOOKUP(Projects[[#This Row],[Area1]],Table1[Area],Table1[FRArea],"Check",FALSE)</f>
        <v>4 - Aide à la décision</v>
      </c>
      <c r="E41" s="19" t="str">
        <f>IF(Projects[[#This Row],[Area2]]="","",_xlfn.XLOOKUP(Projects[[#This Row],[Area2]],Table1[Area],Table1[FRArea],"Check",FALSE))</f>
        <v/>
      </c>
      <c r="F41" s="19">
        <f>IF(Projects[[#This Row],[Year]]="","",Projects[[#This Row],[Year]])</f>
        <v>2006</v>
      </c>
      <c r="G41" s="19" t="str">
        <f>_xlfn.XLOOKUP(Projects[[#This Row],[Country]],Table2[Country],Table2[Pays],"Check",FALSE)</f>
        <v>Finlande</v>
      </c>
      <c r="H41" s="19" t="str">
        <f>IF(Projects[[#This Row],[Description]]="","",Projects[[#This Row],[Description]])</f>
        <v xml:space="preserve">Finland 'translated and adapted' OASys, a  statistical risk-needs assessment tool for parole and sentencing decisions to its needs. It is a semi-structured interview, which gives the person in charge a considerable margin of appreciation when interpreting the results.  </v>
      </c>
      <c r="I41" s="29" t="str">
        <f>IF(Projects[[#This Row],[DescriptionFR]]="","",Projects[[#This Row],[DescriptionFR]])</f>
        <v>La Finlande a "traduit et adapté" à ses besoins OASys, un outil statistique d'évaluation des risques et des besoins pour les décisions de libération conditionnelle et de condamnation. Il s'agit d'un entretien semi-structuré, ce qui donne à la personne responsable une marge d'appréciation considérable lors de l'interprétation des résultats.</v>
      </c>
      <c r="J41" s="30" t="str">
        <f>IF(Projects[[#This Row],[Link]]="","",Projects[[#This Row],[Link]])</f>
        <v>https://rm.coe.int/internal-system/4880299b55</v>
      </c>
      <c r="K41" s="30" t="str">
        <f>IF(Projects[[#This Row],[Link1]]="","",Projects[[#This Row],[Link1]])</f>
        <v>https://journals.sagepub.com/doi/10.1177/0093854819848793</v>
      </c>
      <c r="L41" s="19" t="str">
        <f>_xlfn.XLOOKUP(Projects[[#This Row],[Implemented by]],Table3[Implemented by],Table3[ImplementedFR],"",FALSE)</f>
        <v xml:space="preserve">Publique </v>
      </c>
      <c r="M41" s="19" t="str">
        <f>_xlfn.XLOOKUP(Projects[[#This Row],[Target audience]],Table4[Target audience],Table4[Target audienceFR],"",FALSE)</f>
        <v>Juges/greffiers</v>
      </c>
      <c r="N41" s="19" t="str">
        <f>IF(Projects[[#This Row],[Target audience2]]="","",_xlfn.XLOOKUP(Projects[[#This Row],[Target audience2]],Table4[Target audience],Table4[Target audienceFR],"Check",FALSE))</f>
        <v>Usagers des tribunaux (Grand public)</v>
      </c>
      <c r="O41" s="19" t="str">
        <f>IF(Projects[[#This Row],[Target audience3]]="","",_xlfn.XLOOKUP(Projects[[#This Row],[Target audience3]],Table4[Target audience],Table4[Target audienceFR],"Check",FALSE))</f>
        <v>Gestion</v>
      </c>
      <c r="P41" s="19" t="str">
        <f>IF(Projects[[#This Row],[Target audience4]]="","",_xlfn.XLOOKUP(Projects[[#This Row],[Target audience4]],Table4[Target audience],Table4[Target audienceFR],"Check",FALSE))</f>
        <v/>
      </c>
      <c r="Q41" s="19" t="str">
        <f>IF(Projects[[#This Row],[Target audience5]]="","",_xlfn.XLOOKUP(Projects[[#This Row],[Target audience5]],Table4[Target audience],Table4[Target audienceFR],"Check",FALSE))</f>
        <v/>
      </c>
      <c r="R41" s="19" t="str">
        <f>_xlfn.XLOOKUP(Projects[[#This Row],[Status]],Table8[Status],Table8[StatusFR],"",FALSE)</f>
        <v>Fonctionnel</v>
      </c>
      <c r="S41" s="19" t="str">
        <f>_xlfn.XLOOKUP(Projects[[#This Row],[Coverage]],Table7[Coverage],Table7[CoverageFR],"",FALSE)</f>
        <v xml:space="preserve">National </v>
      </c>
      <c r="T41" s="31" t="str">
        <f>IF(Projects[[#This Row],[To publish]]="","",Projects[[#This Row],[To publish]])</f>
        <v>Batch 2</v>
      </c>
    </row>
    <row r="42" spans="1:20" ht="90" x14ac:dyDescent="0.25">
      <c r="A42" s="19">
        <f>Projects[[#This Row],[NR]]</f>
        <v>58</v>
      </c>
      <c r="B42" s="19" t="str">
        <f>IF(Projects[[#This Row],[Title]]="","",Projects[[#This Row],[Title]])</f>
        <v>RISc (Recidive InschattingsSchalen) / Recidivism Assessment Scales</v>
      </c>
      <c r="C42" s="19" t="str">
        <f>IF(Projects[[#This Row],[AI Relevance]]="","",Projects[[#This Row],[AI Relevance]])</f>
        <v>non-AI</v>
      </c>
      <c r="D42" s="19" t="str">
        <f>_xlfn.XLOOKUP(Projects[[#This Row],[Area1]],Table1[Area],Table1[FRArea],"Check",FALSE)</f>
        <v>4 - Aide à la décision</v>
      </c>
      <c r="E42" s="19" t="str">
        <f>IF(Projects[[#This Row],[Area2]]="","",_xlfn.XLOOKUP(Projects[[#This Row],[Area2]],Table1[Area],Table1[FRArea],"Check",FALSE))</f>
        <v/>
      </c>
      <c r="F42" s="19">
        <f>IF(Projects[[#This Row],[Year]]="","",Projects[[#This Row],[Year]])</f>
        <v>2004</v>
      </c>
      <c r="G42" s="19" t="str">
        <f>_xlfn.XLOOKUP(Projects[[#This Row],[Country]],Table2[Country],Table2[Pays],"Check",FALSE)</f>
        <v>Pays-Bas</v>
      </c>
      <c r="H42" s="19" t="str">
        <f>IF(Projects[[#This Row],[Description]]="","",Projects[[#This Row],[Description]])</f>
        <v>RISc is a  statistical risk-needs assessment tool for parole and sentencing decisions. Usually, it is used when an individual is placed under preventive arrest and when the crime severity level is high.</v>
      </c>
      <c r="I42" s="29" t="str">
        <f>IF(Projects[[#This Row],[DescriptionFR]]="","",Projects[[#This Row],[DescriptionFR]])</f>
        <v>Le RISc est un outil statistique d'évaluation des risques et des besoins pour les décisions de libération conditionnelle et de condamnation. Il est généralement utilisé lorsqu'un individu est placé en état d'arrestation préventive et que le niveau de gravité du crime est élevé.</v>
      </c>
      <c r="J42" s="30" t="str">
        <f>IF(Projects[[#This Row],[Link]]="","",Projects[[#This Row],[Link]])</f>
        <v>https://rm.coe.int/internal-system/4880299b55</v>
      </c>
      <c r="K42" s="30" t="str">
        <f>IF(Projects[[#This Row],[Link1]]="","",Projects[[#This Row],[Link1]])</f>
        <v>https://www.cep-probation.org/risk-assessment-the-dutch-way-a-scalable-easy-to-use-tool-for-probation-reports/</v>
      </c>
      <c r="L42" s="19" t="str">
        <f>_xlfn.XLOOKUP(Projects[[#This Row],[Implemented by]],Table3[Implemented by],Table3[ImplementedFR],"",FALSE)</f>
        <v xml:space="preserve">Publique </v>
      </c>
      <c r="M42" s="19" t="str">
        <f>_xlfn.XLOOKUP(Projects[[#This Row],[Target audience]],Table4[Target audience],Table4[Target audienceFR],"",FALSE)</f>
        <v>Juges/greffiers</v>
      </c>
      <c r="N42" s="19" t="str">
        <f>IF(Projects[[#This Row],[Target audience2]]="","",_xlfn.XLOOKUP(Projects[[#This Row],[Target audience2]],Table4[Target audience],Table4[Target audienceFR],"Check",FALSE))</f>
        <v>Usagers des tribunaux (Grand public)</v>
      </c>
      <c r="O42" s="19" t="str">
        <f>IF(Projects[[#This Row],[Target audience3]]="","",_xlfn.XLOOKUP(Projects[[#This Row],[Target audience3]],Table4[Target audience],Table4[Target audienceFR],"Check",FALSE))</f>
        <v>Gestion</v>
      </c>
      <c r="P42" s="19" t="str">
        <f>IF(Projects[[#This Row],[Target audience4]]="","",_xlfn.XLOOKUP(Projects[[#This Row],[Target audience4]],Table4[Target audience],Table4[Target audienceFR],"Check",FALSE))</f>
        <v/>
      </c>
      <c r="Q42" s="19" t="str">
        <f>IF(Projects[[#This Row],[Target audience5]]="","",_xlfn.XLOOKUP(Projects[[#This Row],[Target audience5]],Table4[Target audience],Table4[Target audienceFR],"Check",FALSE))</f>
        <v/>
      </c>
      <c r="R42" s="19" t="str">
        <f>_xlfn.XLOOKUP(Projects[[#This Row],[Status]],Table8[Status],Table8[StatusFR],"",FALSE)</f>
        <v>Fonctionnel</v>
      </c>
      <c r="S42" s="19" t="str">
        <f>_xlfn.XLOOKUP(Projects[[#This Row],[Coverage]],Table7[Coverage],Table7[CoverageFR],"",FALSE)</f>
        <v xml:space="preserve">National </v>
      </c>
      <c r="T42" s="31" t="str">
        <f>IF(Projects[[#This Row],[To publish]]="","",Projects[[#This Row],[To publish]])</f>
        <v>Withdrawn</v>
      </c>
    </row>
    <row r="43" spans="1:20" ht="120" x14ac:dyDescent="0.25">
      <c r="A43" s="19">
        <f>Projects[[#This Row],[NR]]</f>
        <v>59</v>
      </c>
      <c r="B43" s="19" t="str">
        <f>IF(Projects[[#This Row],[Title]]="","",Projects[[#This Row],[Title]])</f>
        <v xml:space="preserve">OxRec / Oxford Risk of Recidivism Tool </v>
      </c>
      <c r="C43" s="19" t="str">
        <f>IF(Projects[[#This Row],[AI Relevance]]="","",Projects[[#This Row],[AI Relevance]])</f>
        <v/>
      </c>
      <c r="D43" s="19" t="str">
        <f>_xlfn.XLOOKUP(Projects[[#This Row],[Area1]],Table1[Area],Table1[FRArea],"Check",FALSE)</f>
        <v>4 - Aide à la décision</v>
      </c>
      <c r="E43" s="19" t="str">
        <f>IF(Projects[[#This Row],[Area2]]="","",_xlfn.XLOOKUP(Projects[[#This Row],[Area2]],Table1[Area],Table1[FRArea],"Check",FALSE))</f>
        <v/>
      </c>
      <c r="F43" s="19">
        <f>IF(Projects[[#This Row],[Year]]="","",Projects[[#This Row],[Year]])</f>
        <v>2016</v>
      </c>
      <c r="G43" s="19" t="str">
        <f>_xlfn.XLOOKUP(Projects[[#This Row],[Country]],Table2[Country],Table2[Pays],"Check",FALSE)</f>
        <v>Suède</v>
      </c>
      <c r="H43" s="19" t="str">
        <f>IF(Projects[[#This Row],[Description]]="","",Projects[[#This Row],[Description]])</f>
        <v>OxRec is a web-based risk calculator for assessing risk of recidivism of prisoners. This tool was developed by the Forensic Psychiatry and Psychology group at the University of Oxford. It was derived and externally validated in Sweden followed by validations in the other countries. It is available in Swedish, Greek, French, Chinese, Russian, Italian, Spanish, Finnish, German, and Polish.</v>
      </c>
      <c r="I43" s="29" t="str">
        <f>IF(Projects[[#This Row],[DescriptionFR]]="","",Projects[[#This Row],[DescriptionFR]])</f>
        <v>OxRec est un calculateur de risque en ligne permettant d'évaluer le risque de récidive chez les détenus. Cet outil a été développé par le groupe de psychiatrie et de psychologie légale de l'Université d'Oxford. Il a été dérivé et validé en Suède, puis dans les autres pays. Il est disponible en suédois, grec, français, chinois, russe, italien, espagnol, finlandais, allemand et polonais.</v>
      </c>
      <c r="J43" s="30" t="str">
        <f>IF(Projects[[#This Row],[Link]]="","",Projects[[#This Row],[Link]])</f>
        <v>https://oxrisk.com/oxrec-9/</v>
      </c>
      <c r="K43" s="30" t="str">
        <f>IF(Projects[[#This Row],[Link1]]="","",Projects[[#This Row],[Link1]])</f>
        <v>https://oxrisk.com/home-2-2/</v>
      </c>
      <c r="L43" s="19" t="str">
        <f>_xlfn.XLOOKUP(Projects[[#This Row],[Implemented by]],Table3[Implemented by],Table3[ImplementedFR],"",FALSE)</f>
        <v>Recherche/Universitaire</v>
      </c>
      <c r="M43" s="19" t="str">
        <f>_xlfn.XLOOKUP(Projects[[#This Row],[Target audience]],Table4[Target audience],Table4[Target audienceFR],"",FALSE)</f>
        <v>Juges/greffiers</v>
      </c>
      <c r="N43" s="19" t="str">
        <f>IF(Projects[[#This Row],[Target audience2]]="","",_xlfn.XLOOKUP(Projects[[#This Row],[Target audience2]],Table4[Target audience],Table4[Target audienceFR],"Check",FALSE))</f>
        <v>Usagers des tribunaux (Grand public)</v>
      </c>
      <c r="O43" s="19" t="str">
        <f>IF(Projects[[#This Row],[Target audience3]]="","",_xlfn.XLOOKUP(Projects[[#This Row],[Target audience3]],Table4[Target audience],Table4[Target audienceFR],"Check",FALSE))</f>
        <v/>
      </c>
      <c r="P43" s="19" t="str">
        <f>IF(Projects[[#This Row],[Target audience4]]="","",_xlfn.XLOOKUP(Projects[[#This Row],[Target audience4]],Table4[Target audience],Table4[Target audienceFR],"Check",FALSE))</f>
        <v/>
      </c>
      <c r="Q43" s="19" t="str">
        <f>IF(Projects[[#This Row],[Target audience5]]="","",_xlfn.XLOOKUP(Projects[[#This Row],[Target audience5]],Table4[Target audience],Table4[Target audienceFR],"Check",FALSE))</f>
        <v/>
      </c>
      <c r="R43" s="19" t="str">
        <f>_xlfn.XLOOKUP(Projects[[#This Row],[Status]],Table8[Status],Table8[StatusFR],"",FALSE)</f>
        <v>Fonctionnel</v>
      </c>
      <c r="S43" s="19" t="str">
        <f>_xlfn.XLOOKUP(Projects[[#This Row],[Coverage]],Table7[Coverage],Table7[CoverageFR],"",FALSE)</f>
        <v>International</v>
      </c>
      <c r="T43" s="31" t="str">
        <f>IF(Projects[[#This Row],[To publish]]="","",Projects[[#This Row],[To publish]])</f>
        <v>Batch 2</v>
      </c>
    </row>
    <row r="44" spans="1:20" ht="195" x14ac:dyDescent="0.25">
      <c r="A44" s="19">
        <f>Projects[[#This Row],[NR]]</f>
        <v>60</v>
      </c>
      <c r="B44" s="19" t="str">
        <f>IF(Projects[[#This Row],[Title]]="","",Projects[[#This Row],[Title]])</f>
        <v>RisCanvi / Risk Change protocol</v>
      </c>
      <c r="C44" s="19" t="str">
        <f>IF(Projects[[#This Row],[AI Relevance]]="","",Projects[[#This Row],[AI Relevance]])</f>
        <v>AI</v>
      </c>
      <c r="D44" s="19" t="str">
        <f>_xlfn.XLOOKUP(Projects[[#This Row],[Area1]],Table1[Area],Table1[FRArea],"Check",FALSE)</f>
        <v>4 - Aide à la décision</v>
      </c>
      <c r="E44" s="19" t="str">
        <f>IF(Projects[[#This Row],[Area2]]="","",_xlfn.XLOOKUP(Projects[[#This Row],[Area2]],Table1[Area],Table1[FRArea],"Check",FALSE))</f>
        <v/>
      </c>
      <c r="F44" s="19">
        <f>IF(Projects[[#This Row],[Year]]="","",Projects[[#This Row],[Year]])</f>
        <v>2009</v>
      </c>
      <c r="G44" s="19" t="str">
        <f>_xlfn.XLOOKUP(Projects[[#This Row],[Country]],Table2[Country],Table2[Pays],"Check",FALSE)</f>
        <v>Espagne</v>
      </c>
      <c r="H44" s="19" t="str">
        <f>IF(Projects[[#This Row],[Description]]="","",Projects[[#This Row],[Description]])</f>
        <v>A tool designed by the Catalan prison services and the Group of Advance Studies on Violence at the University of Barcelona. It is used to decide whether inmates can go on prison furlough (when they are allowed to leave the prison for a short period), but also to make choices about moving inmates from one prison to another or about parole (early release). RisCanvi analyzes five different outcomes: violent recidivism, self-inflicted harm, violence with other inmates or inside the facilities, breaking of furlough and recidivism in general.</v>
      </c>
      <c r="I44" s="29" t="str">
        <f>IF(Projects[[#This Row],[DescriptionFR]]="","",Projects[[#This Row],[DescriptionFR]])</f>
        <v>Outil conçu par les services pénitentiaires catalans et le Groupe d'études avancées sur la violence de l'Université de Barcelone. Il est utilisé pour décider si les détenus peuvent bénéficier d'une permission de sortie (lorsqu'ils sont autorisés à quitter la prison pour une courte période), mais aussi pour prendre des décisions concernant le transfert des détenus d'une prison à l'autre ou la libération conditionnelle (libération anticipée). RisCanvi analyse cinq résultats différents : la récidive violente, les lésions auto-infligées, la violence avec d'autres détenus ou à l'intérieur des établissements, la rupture de la permission de sortie et la récidive en général.</v>
      </c>
      <c r="J44" s="30" t="str">
        <f>IF(Projects[[#This Row],[Link]]="","",Projects[[#This Row],[Link]])</f>
        <v>https://rm.coe.int/internal-system/4880299b55</v>
      </c>
      <c r="K44" s="30" t="str">
        <f>IF(Projects[[#This Row],[Link1]]="","",Projects[[#This Row],[Link1]])</f>
        <v xml:space="preserve">https://onlinelibrary.wiley.com/doi/abs/10.1002/9781119184256.ch13 </v>
      </c>
      <c r="L44" s="19" t="str">
        <f>_xlfn.XLOOKUP(Projects[[#This Row],[Implemented by]],Table3[Implemented by],Table3[ImplementedFR],"",FALSE)</f>
        <v xml:space="preserve">Publique </v>
      </c>
      <c r="M44" s="19" t="str">
        <f>_xlfn.XLOOKUP(Projects[[#This Row],[Target audience]],Table4[Target audience],Table4[Target audienceFR],"",FALSE)</f>
        <v>Gestion</v>
      </c>
      <c r="N44" s="19" t="str">
        <f>IF(Projects[[#This Row],[Target audience2]]="","",_xlfn.XLOOKUP(Projects[[#This Row],[Target audience2]],Table4[Target audience],Table4[Target audienceFR],"Check",FALSE))</f>
        <v>Juges/greffiers</v>
      </c>
      <c r="O44" s="19" t="str">
        <f>IF(Projects[[#This Row],[Target audience3]]="","",_xlfn.XLOOKUP(Projects[[#This Row],[Target audience3]],Table4[Target audience],Table4[Target audienceFR],"Check",FALSE))</f>
        <v>Usagers des tribunaux (Grand public)</v>
      </c>
      <c r="P44" s="19" t="str">
        <f>IF(Projects[[#This Row],[Target audience4]]="","",_xlfn.XLOOKUP(Projects[[#This Row],[Target audience4]],Table4[Target audience],Table4[Target audienceFR],"Check",FALSE))</f>
        <v/>
      </c>
      <c r="Q44" s="19" t="str">
        <f>IF(Projects[[#This Row],[Target audience5]]="","",_xlfn.XLOOKUP(Projects[[#This Row],[Target audience5]],Table4[Target audience],Table4[Target audienceFR],"Check",FALSE))</f>
        <v/>
      </c>
      <c r="R44" s="19" t="str">
        <f>_xlfn.XLOOKUP(Projects[[#This Row],[Status]],Table8[Status],Table8[StatusFR],"",FALSE)</f>
        <v>Fonctionnel</v>
      </c>
      <c r="S44" s="19" t="str">
        <f>_xlfn.XLOOKUP(Projects[[#This Row],[Coverage]],Table7[Coverage],Table7[CoverageFR],"",FALSE)</f>
        <v>Spécifique au tribunal</v>
      </c>
      <c r="T44" s="31" t="str">
        <f>IF(Projects[[#This Row],[To publish]]="","",Projects[[#This Row],[To publish]])</f>
        <v>Batch 2</v>
      </c>
    </row>
    <row r="45" spans="1:20" ht="75" x14ac:dyDescent="0.25">
      <c r="A45" s="19">
        <f>Projects[[#This Row],[NR]]</f>
        <v>61</v>
      </c>
      <c r="B45" s="19" t="str">
        <f>IF(Projects[[#This Row],[Title]]="","",Projects[[#This Row],[Title]])</f>
        <v xml:space="preserve">Software to combat child pornography / Software zur Bekämpfung von Kinderpornografie </v>
      </c>
      <c r="C45" s="19" t="str">
        <f>IF(Projects[[#This Row],[AI Relevance]]="","",Projects[[#This Row],[AI Relevance]])</f>
        <v>AI</v>
      </c>
      <c r="D45" s="19" t="str">
        <f>_xlfn.XLOOKUP(Projects[[#This Row],[Area1]],Table1[Area],Table1[FRArea],"Check",FALSE)</f>
        <v>1 - Recherche documentaire</v>
      </c>
      <c r="E45" s="19" t="str">
        <f>IF(Projects[[#This Row],[Area2]]="","",_xlfn.XLOOKUP(Projects[[#This Row],[Area2]],Table1[Area],Table1[FRArea],"Check",FALSE))</f>
        <v/>
      </c>
      <c r="F45" s="19">
        <f>IF(Projects[[#This Row],[Year]]="","",Projects[[#This Row],[Year]])</f>
        <v>2020</v>
      </c>
      <c r="G45" s="19" t="str">
        <f>_xlfn.XLOOKUP(Projects[[#This Row],[Country]],Table2[Country],Table2[Pays],"Check",FALSE)</f>
        <v>Allemagne</v>
      </c>
      <c r="H45" s="19" t="str">
        <f>IF(Projects[[#This Row],[Description]]="","",Projects[[#This Row],[Description]])</f>
        <v>The system is intended to make it possible to examine data volumes obtained in the course of investigative activities, some of which are considerable, for child pornography material that may be contained therein.</v>
      </c>
      <c r="I45" s="29" t="str">
        <f>IF(Projects[[#This Row],[DescriptionFR]]="","",Projects[[#This Row],[DescriptionFR]])</f>
        <v>Le système doit permettre d'examiner les volumes de données obtenus dans le cadre d'activités d'enquête, parfois considérables, afin de détecter le matériel pédopornographique qu'ils pourraient contenir.</v>
      </c>
      <c r="J45" s="30" t="str">
        <f>IF(Projects[[#This Row],[Link]]="","",Projects[[#This Row],[Link]])</f>
        <v>https://rm.coe.int/internal-system/4880299b55</v>
      </c>
      <c r="K45" s="30" t="str">
        <f>IF(Projects[[#This Row],[Link1]]="","",Projects[[#This Row],[Link1]])</f>
        <v>https://www.bundestag.de/resource/blob/832204/6813d064fab52e9b6d54cbbf5319cea3/WD-7-017-21-pdf-data.pdf</v>
      </c>
      <c r="L45" s="19" t="str">
        <f>_xlfn.XLOOKUP(Projects[[#This Row],[Implemented by]],Table3[Implemented by],Table3[ImplementedFR],"",FALSE)</f>
        <v xml:space="preserve">Publique </v>
      </c>
      <c r="M45" s="19" t="str">
        <f>_xlfn.XLOOKUP(Projects[[#This Row],[Target audience]],Table4[Target audience],Table4[Target audienceFR],"",FALSE)</f>
        <v>Procureurs/greffiers</v>
      </c>
      <c r="N45" s="19" t="str">
        <f>IF(Projects[[#This Row],[Target audience2]]="","",_xlfn.XLOOKUP(Projects[[#This Row],[Target audience2]],Table4[Target audience],Table4[Target audienceFR],"Check",FALSE))</f>
        <v/>
      </c>
      <c r="O45" s="19" t="str">
        <f>IF(Projects[[#This Row],[Target audience3]]="","",_xlfn.XLOOKUP(Projects[[#This Row],[Target audience3]],Table4[Target audience],Table4[Target audienceFR],"Check",FALSE))</f>
        <v/>
      </c>
      <c r="P45" s="19" t="str">
        <f>IF(Projects[[#This Row],[Target audience4]]="","",_xlfn.XLOOKUP(Projects[[#This Row],[Target audience4]],Table4[Target audience],Table4[Target audienceFR],"Check",FALSE))</f>
        <v/>
      </c>
      <c r="Q45" s="19" t="str">
        <f>IF(Projects[[#This Row],[Target audience5]]="","",_xlfn.XLOOKUP(Projects[[#This Row],[Target audience5]],Table4[Target audience],Table4[Target audienceFR],"Check",FALSE))</f>
        <v/>
      </c>
      <c r="R45" s="19" t="str">
        <f>_xlfn.XLOOKUP(Projects[[#This Row],[Status]],Table8[Status],Table8[StatusFR],"",FALSE)</f>
        <v>Fonctionnel</v>
      </c>
      <c r="S45" s="19" t="str">
        <f>_xlfn.XLOOKUP(Projects[[#This Row],[Coverage]],Table7[Coverage],Table7[CoverageFR],"",FALSE)</f>
        <v xml:space="preserve">National </v>
      </c>
      <c r="T45" s="31" t="str">
        <f>IF(Projects[[#This Row],[To publish]]="","",Projects[[#This Row],[To publish]])</f>
        <v>Batch 2</v>
      </c>
    </row>
    <row r="46" spans="1:20" ht="75" x14ac:dyDescent="0.25">
      <c r="A46" s="19">
        <f>Projects[[#This Row],[NR]]</f>
        <v>62</v>
      </c>
      <c r="B46" s="19" t="str">
        <f>IF(Projects[[#This Row],[Title]]="","",Projects[[#This Row],[Title]])</f>
        <v>Speech to Text - Legal</v>
      </c>
      <c r="C46" s="19" t="str">
        <f>IF(Projects[[#This Row],[AI Relevance]]="","",Projects[[#This Row],[AI Relevance]])</f>
        <v>AI</v>
      </c>
      <c r="D46" s="19" t="str">
        <f>_xlfn.XLOOKUP(Projects[[#This Row],[Area1]],Table1[Area],Table1[FRArea],"Check",FALSE)</f>
        <v>7 - Enregistrement, transcription et traduction</v>
      </c>
      <c r="E46" s="19" t="str">
        <f>IF(Projects[[#This Row],[Area2]]="","",_xlfn.XLOOKUP(Projects[[#This Row],[Area2]],Table1[Area],Table1[FRArea],"Check",FALSE))</f>
        <v/>
      </c>
      <c r="F46" s="19">
        <f>IF(Projects[[#This Row],[Year]]="","",Projects[[#This Row],[Year]])</f>
        <v>2008</v>
      </c>
      <c r="G46" s="19" t="str">
        <f>_xlfn.XLOOKUP(Projects[[#This Row],[Country]],Table2[Country],Table2[Pays],"Check",FALSE)</f>
        <v>Allemagne</v>
      </c>
      <c r="H46" s="19" t="str">
        <f>IF(Projects[[#This Row],[Description]]="","",Projects[[#This Row],[Description]])</f>
        <v>Language recognition and dictation software used by the Justizminsterium North Rhine-Westphalia. Dragon Naturally Speaking Legal Edition customised.</v>
      </c>
      <c r="I46" s="29" t="str">
        <f>IF(Projects[[#This Row],[DescriptionFR]]="","",Projects[[#This Row],[DescriptionFR]])</f>
        <v>Logiciel de reconnaissance linguistique et de dictée utilisé par le Justizminsterium North Rhine- Westphalia. Dragon NaturallySpeaking Legal Edition personnalisé.</v>
      </c>
      <c r="J46" s="30" t="str">
        <f>IF(Projects[[#This Row],[Link]]="","",Projects[[#This Row],[Link]])</f>
        <v/>
      </c>
      <c r="K46" s="30" t="str">
        <f>IF(Projects[[#This Row],[Link1]]="","",Projects[[#This Row],[Link1]])</f>
        <v>https://www.bundestag.de/resource/blob/832204/6813d064fab52e9b6d54cbbf5319cea3/WD-7-017-21-pdf-data.pdf</v>
      </c>
      <c r="L46" s="19" t="str">
        <f>_xlfn.XLOOKUP(Projects[[#This Row],[Implemented by]],Table3[Implemented by],Table3[ImplementedFR],"",FALSE)</f>
        <v xml:space="preserve">Publique </v>
      </c>
      <c r="M46" s="19" t="str">
        <f>_xlfn.XLOOKUP(Projects[[#This Row],[Target audience]],Table4[Target audience],Table4[Target audienceFR],"",FALSE)</f>
        <v>Gestion</v>
      </c>
      <c r="N46" s="19" t="str">
        <f>IF(Projects[[#This Row],[Target audience2]]="","",_xlfn.XLOOKUP(Projects[[#This Row],[Target audience2]],Table4[Target audience],Table4[Target audienceFR],"Check",FALSE))</f>
        <v/>
      </c>
      <c r="O46" s="19" t="str">
        <f>IF(Projects[[#This Row],[Target audience3]]="","",_xlfn.XLOOKUP(Projects[[#This Row],[Target audience3]],Table4[Target audience],Table4[Target audienceFR],"Check",FALSE))</f>
        <v/>
      </c>
      <c r="P46" s="19" t="str">
        <f>IF(Projects[[#This Row],[Target audience4]]="","",_xlfn.XLOOKUP(Projects[[#This Row],[Target audience4]],Table4[Target audience],Table4[Target audienceFR],"Check",FALSE))</f>
        <v/>
      </c>
      <c r="Q46" s="19" t="str">
        <f>IF(Projects[[#This Row],[Target audience5]]="","",_xlfn.XLOOKUP(Projects[[#This Row],[Target audience5]],Table4[Target audience],Table4[Target audienceFR],"Check",FALSE))</f>
        <v/>
      </c>
      <c r="R46" s="19" t="str">
        <f>_xlfn.XLOOKUP(Projects[[#This Row],[Status]],Table8[Status],Table8[StatusFR],"",FALSE)</f>
        <v>Fonctionnel</v>
      </c>
      <c r="S46" s="19" t="str">
        <f>_xlfn.XLOOKUP(Projects[[#This Row],[Coverage]],Table7[Coverage],Table7[CoverageFR],"",FALSE)</f>
        <v>Spécifique au tribunal</v>
      </c>
      <c r="T46" s="31" t="str">
        <f>IF(Projects[[#This Row],[To publish]]="","",Projects[[#This Row],[To publish]])</f>
        <v>Batch 2</v>
      </c>
    </row>
    <row r="47" spans="1:20" ht="105" x14ac:dyDescent="0.25">
      <c r="A47" s="19">
        <f>Projects[[#This Row],[NR]]</f>
        <v>63</v>
      </c>
      <c r="B47" s="19" t="str">
        <f>IF(Projects[[#This Row],[Title]]="","",Projects[[#This Row],[Title]])</f>
        <v xml:space="preserve">Split-Up </v>
      </c>
      <c r="C47" s="19" t="str">
        <f>IF(Projects[[#This Row],[AI Relevance]]="","",Projects[[#This Row],[AI Relevance]])</f>
        <v>AI</v>
      </c>
      <c r="D47" s="19" t="str">
        <f>_xlfn.XLOOKUP(Projects[[#This Row],[Area1]],Table1[Area],Table1[FRArea],"Check",FALSE)</f>
        <v>4 - Aide à la décision</v>
      </c>
      <c r="E47" s="19" t="str">
        <f>IF(Projects[[#This Row],[Area2]]="","",_xlfn.XLOOKUP(Projects[[#This Row],[Area2]],Table1[Area],Table1[FRArea],"Check",FALSE))</f>
        <v>1 - Recherche documentaire</v>
      </c>
      <c r="F47" s="19">
        <f>IF(Projects[[#This Row],[Year]]="","",Projects[[#This Row],[Year]])</f>
        <v>1995</v>
      </c>
      <c r="G47" s="19" t="str">
        <f>_xlfn.XLOOKUP(Projects[[#This Row],[Country]],Table2[Country],Table2[Pays],"Check",FALSE)</f>
        <v>Australie</v>
      </c>
      <c r="H47" s="19" t="str">
        <f>IF(Projects[[#This Row],[Description]]="","",Projects[[#This Row],[Description]])</f>
        <v>The programme supports family court judges in divorce disputes. It identifies the parties' assets to be divided and, based on a calculation, suggests a percentage that the respective parties should receive.</v>
      </c>
      <c r="I47" s="29" t="str">
        <f>IF(Projects[[#This Row],[DescriptionFR]]="","",Projects[[#This Row],[DescriptionFR]])</f>
        <v>Le programme aide les juges aux affaires familiales dans les litiges de divorce. Il identifie les biens des parties à partager et, sur la base d'un calcul, propose un pourcentage que chaque partie devrait recevoir.</v>
      </c>
      <c r="J47" s="30" t="str">
        <f>IF(Projects[[#This Row],[Link]]="","",Projects[[#This Row],[Link]])</f>
        <v>https://rm.coe.int/internal-system/4880299b55</v>
      </c>
      <c r="K47" s="30" t="str">
        <f>IF(Projects[[#This Row],[Link1]]="","",Projects[[#This Row],[Link1]])</f>
        <v>https://medium.com/legal-design-and-innovation/ai-goes-to-court-the-growing-landscape-of-ai-for-access-to-justice-3f58aca4306f</v>
      </c>
      <c r="L47" s="19" t="str">
        <f>_xlfn.XLOOKUP(Projects[[#This Row],[Implemented by]],Table3[Implemented by],Table3[ImplementedFR],"",FALSE)</f>
        <v xml:space="preserve">Publique </v>
      </c>
      <c r="M47" s="19" t="str">
        <f>_xlfn.XLOOKUP(Projects[[#This Row],[Target audience]],Table4[Target audience],Table4[Target audienceFR],"",FALSE)</f>
        <v>Juges/greffiers</v>
      </c>
      <c r="N47" s="19" t="str">
        <f>IF(Projects[[#This Row],[Target audience2]]="","",_xlfn.XLOOKUP(Projects[[#This Row],[Target audience2]],Table4[Target audience],Table4[Target audienceFR],"Check",FALSE))</f>
        <v/>
      </c>
      <c r="O47" s="19" t="str">
        <f>IF(Projects[[#This Row],[Target audience3]]="","",_xlfn.XLOOKUP(Projects[[#This Row],[Target audience3]],Table4[Target audience],Table4[Target audienceFR],"Check",FALSE))</f>
        <v/>
      </c>
      <c r="P47" s="19" t="str">
        <f>IF(Projects[[#This Row],[Target audience4]]="","",_xlfn.XLOOKUP(Projects[[#This Row],[Target audience4]],Table4[Target audience],Table4[Target audienceFR],"Check",FALSE))</f>
        <v/>
      </c>
      <c r="Q47" s="19" t="str">
        <f>IF(Projects[[#This Row],[Target audience5]]="","",_xlfn.XLOOKUP(Projects[[#This Row],[Target audience5]],Table4[Target audience],Table4[Target audienceFR],"Check",FALSE))</f>
        <v/>
      </c>
      <c r="R47" s="19" t="str">
        <f>_xlfn.XLOOKUP(Projects[[#This Row],[Status]],Table8[Status],Table8[StatusFR],"",FALSE)</f>
        <v>Fonctionnel</v>
      </c>
      <c r="S47" s="19" t="str">
        <f>_xlfn.XLOOKUP(Projects[[#This Row],[Coverage]],Table7[Coverage],Table7[CoverageFR],"",FALSE)</f>
        <v xml:space="preserve">National </v>
      </c>
      <c r="T47" s="31" t="str">
        <f>IF(Projects[[#This Row],[To publish]]="","",Projects[[#This Row],[To publish]])</f>
        <v>Batch 2</v>
      </c>
    </row>
    <row r="48" spans="1:20" ht="180" x14ac:dyDescent="0.25">
      <c r="A48" s="19">
        <f>Projects[[#This Row],[NR]]</f>
        <v>64</v>
      </c>
      <c r="B48" s="19" t="str">
        <f>IF(Projects[[#This Row],[Title]]="","",Projects[[#This Row],[Title]])</f>
        <v>AI for literature research</v>
      </c>
      <c r="C48" s="19" t="str">
        <f>IF(Projects[[#This Row],[AI Relevance]]="","",Projects[[#This Row],[AI Relevance]])</f>
        <v>AI</v>
      </c>
      <c r="D48" s="19" t="str">
        <f>_xlfn.XLOOKUP(Projects[[#This Row],[Area1]],Table1[Area],Table1[FRArea],"Check",FALSE)</f>
        <v>1 - Recherche documentaire</v>
      </c>
      <c r="E48" s="19" t="str">
        <f>IF(Projects[[#This Row],[Area2]]="","",_xlfn.XLOOKUP(Projects[[#This Row],[Area2]],Table1[Area],Table1[FRArea],"Check",FALSE))</f>
        <v/>
      </c>
      <c r="F48" s="19">
        <f>IF(Projects[[#This Row],[Year]]="","",Projects[[#This Row],[Year]])</f>
        <v>2021</v>
      </c>
      <c r="G48" s="19" t="str">
        <f>_xlfn.XLOOKUP(Projects[[#This Row],[Country]],Table2[Country],Table2[Pays],"Check",FALSE)</f>
        <v>Autriche</v>
      </c>
      <c r="H48" s="19" t="str">
        <f>IF(Projects[[#This Row],[Description]]="","",Projects[[#This Row],[Description]])</f>
        <v>The system is analysing the documents in the file management system for legal citations and mentioned cases and links them to the corresponding references in external legal databases. As a result, recognized citations are underlined in the document and by clicking on the link, the legal database is opened at the right spot. Furthermore, a source list structured by types of identified citations (journals, decisions, etc.) is displayed in the sidebar for navigating through the document and any further processing.</v>
      </c>
      <c r="I48" s="29" t="str">
        <f>IF(Projects[[#This Row],[DescriptionFR]]="","",Projects[[#This Row],[DescriptionFR]])</f>
        <v>Le système analyse le document dans le système de gestion des fichiers à la recherche de citations juridiques et d'affaires mentionnées et les relie aux références correspondantes dans des bases de données juridiques externes. En conséquence, les citations reconnues sont soulignées dans le document et en cliquant sur le lien, la base de données juridique s'ouvre au bon endroit. En outre, une liste de sources structurée par types de citations identifiées (journaux, décisions, etc.) est affichée dans le panneau latéral pour permettre de naviguer dans le document et de poursuivre le traitement.</v>
      </c>
      <c r="J48" s="30" t="str">
        <f>IF(Projects[[#This Row],[Link]]="","",Projects[[#This Row],[Link]])</f>
        <v>https://rm.coe.int/internal-system/4880299b55</v>
      </c>
      <c r="K48" s="30" t="str">
        <f>IF(Projects[[#This Row],[Link1]]="","",Projects[[#This Row],[Link1]])</f>
        <v>https://www.justiz.gv.at/file/2c94848b6ff7074f017493349cf54406.de.0/it-anwendungen%20in%20der%20%C3%B6sterreichischen%20justiz%20stand%20august%202020.pdf?forcedownload=true</v>
      </c>
      <c r="L48" s="19" t="str">
        <f>_xlfn.XLOOKUP(Projects[[#This Row],[Implemented by]],Table3[Implemented by],Table3[ImplementedFR],"",FALSE)</f>
        <v xml:space="preserve">Publique </v>
      </c>
      <c r="M48" s="19" t="str">
        <f>_xlfn.XLOOKUP(Projects[[#This Row],[Target audience]],Table4[Target audience],Table4[Target audienceFR],"",FALSE)</f>
        <v>Juges/greffiers</v>
      </c>
      <c r="N48" s="19" t="str">
        <f>IF(Projects[[#This Row],[Target audience2]]="","",_xlfn.XLOOKUP(Projects[[#This Row],[Target audience2]],Table4[Target audience],Table4[Target audienceFR],"Check",FALSE))</f>
        <v>Gestion</v>
      </c>
      <c r="O48" s="19" t="str">
        <f>IF(Projects[[#This Row],[Target audience3]]="","",_xlfn.XLOOKUP(Projects[[#This Row],[Target audience3]],Table4[Target audience],Table4[Target audienceFR],"Check",FALSE))</f>
        <v/>
      </c>
      <c r="P48" s="19" t="str">
        <f>IF(Projects[[#This Row],[Target audience4]]="","",_xlfn.XLOOKUP(Projects[[#This Row],[Target audience4]],Table4[Target audience],Table4[Target audienceFR],"Check",FALSE))</f>
        <v/>
      </c>
      <c r="Q48" s="19" t="str">
        <f>IF(Projects[[#This Row],[Target audience5]]="","",_xlfn.XLOOKUP(Projects[[#This Row],[Target audience5]],Table4[Target audience],Table4[Target audienceFR],"Check",FALSE))</f>
        <v/>
      </c>
      <c r="R48" s="19" t="str">
        <f>_xlfn.XLOOKUP(Projects[[#This Row],[Status]],Table8[Status],Table8[StatusFR],"",FALSE)</f>
        <v>Fonctionnel</v>
      </c>
      <c r="S48" s="19" t="str">
        <f>_xlfn.XLOOKUP(Projects[[#This Row],[Coverage]],Table7[Coverage],Table7[CoverageFR],"",FALSE)</f>
        <v xml:space="preserve">National </v>
      </c>
      <c r="T48" s="31" t="str">
        <f>IF(Projects[[#This Row],[To publish]]="","",Projects[[#This Row],[To publish]])</f>
        <v>Batch 2</v>
      </c>
    </row>
    <row r="49" spans="1:20" ht="75" x14ac:dyDescent="0.25">
      <c r="A49" s="19">
        <f>Projects[[#This Row],[NR]]</f>
        <v>65</v>
      </c>
      <c r="B49" s="19" t="str">
        <f>IF(Projects[[#This Row],[Title]]="","",Projects[[#This Row],[Title]])</f>
        <v>EIS / e-Enforcement Information System</v>
      </c>
      <c r="C49" s="19" t="str">
        <f>IF(Projects[[#This Row],[AI Relevance]]="","",Projects[[#This Row],[AI Relevance]])</f>
        <v>AI</v>
      </c>
      <c r="D49" s="19" t="str">
        <f>_xlfn.XLOOKUP(Projects[[#This Row],[Area1]],Table1[Area],Table1[FRArea],"Check",FALSE)</f>
        <v>6 - Triage, attribution et automatisation des flux de travail</v>
      </c>
      <c r="E49" s="19" t="str">
        <f>IF(Projects[[#This Row],[Area2]]="","",_xlfn.XLOOKUP(Projects[[#This Row],[Area2]],Table1[Area],Table1[FRArea],"Check",FALSE))</f>
        <v/>
      </c>
      <c r="F49" s="19">
        <f>IF(Projects[[#This Row],[Year]]="","",Projects[[#This Row],[Year]])</f>
        <v>2018</v>
      </c>
      <c r="G49" s="19" t="str">
        <f>_xlfn.XLOOKUP(Projects[[#This Row],[Country]],Table2[Country],Table2[Pays],"Check",FALSE)</f>
        <v>Azerbaïjan</v>
      </c>
      <c r="H49" s="19" t="str">
        <f>IF(Projects[[#This Row],[Description]]="","",Projects[[#This Row],[Description]])</f>
        <v xml:space="preserve">The e-Enforcement Information System is the unique case management system for all enforcement agents, and it is maintained by the Ministry of Justice at a central level. Co-financed by the Ministry of Justice and the World Bank. </v>
      </c>
      <c r="I49" s="29" t="str">
        <f>IF(Projects[[#This Row],[DescriptionFR]]="","",Projects[[#This Row],[DescriptionFR]])</f>
        <v xml:space="preserve">Le système d'information e-Enforcement est le système unique de gestion des dossiers pour tous les agents d'exécution, et il est géré par le ministère de la Justice au niveau central. Il est cofinancé par le ministère de la justice et la Banque mondiale. </v>
      </c>
      <c r="J49" s="30" t="str">
        <f>IF(Projects[[#This Row],[Link]]="","",Projects[[#This Row],[Link]])</f>
        <v>https://rm.coe.int/internal-system/4880299b55</v>
      </c>
      <c r="K49" s="30" t="str">
        <f>IF(Projects[[#This Row],[Link1]]="","",Projects[[#This Row],[Link1]])</f>
        <v>https://rm.coe.int/recommendations-on-ict-solutions-in-enforcement-eng/1680a31561</v>
      </c>
      <c r="L49" s="19" t="str">
        <f>_xlfn.XLOOKUP(Projects[[#This Row],[Implemented by]],Table3[Implemented by],Table3[ImplementedFR],"",FALSE)</f>
        <v xml:space="preserve">Publique </v>
      </c>
      <c r="M49" s="19" t="str">
        <f>_xlfn.XLOOKUP(Projects[[#This Row],[Target audience]],Table4[Target audience],Table4[Target audienceFR],"",FALSE)</f>
        <v>Gestion</v>
      </c>
      <c r="N49" s="19" t="str">
        <f>IF(Projects[[#This Row],[Target audience2]]="","",_xlfn.XLOOKUP(Projects[[#This Row],[Target audience2]],Table4[Target audience],Table4[Target audienceFR],"Check",FALSE))</f>
        <v>Usagers des tribunaux (Grand public)</v>
      </c>
      <c r="O49" s="19" t="str">
        <f>IF(Projects[[#This Row],[Target audience3]]="","",_xlfn.XLOOKUP(Projects[[#This Row],[Target audience3]],Table4[Target audience],Table4[Target audienceFR],"Check",FALSE))</f>
        <v/>
      </c>
      <c r="P49" s="19" t="str">
        <f>IF(Projects[[#This Row],[Target audience4]]="","",_xlfn.XLOOKUP(Projects[[#This Row],[Target audience4]],Table4[Target audience],Table4[Target audienceFR],"Check",FALSE))</f>
        <v/>
      </c>
      <c r="Q49" s="19" t="str">
        <f>IF(Projects[[#This Row],[Target audience5]]="","",_xlfn.XLOOKUP(Projects[[#This Row],[Target audience5]],Table4[Target audience],Table4[Target audienceFR],"Check",FALSE))</f>
        <v/>
      </c>
      <c r="R49" s="19" t="str">
        <f>_xlfn.XLOOKUP(Projects[[#This Row],[Status]],Table8[Status],Table8[StatusFR],"",FALSE)</f>
        <v>Fonctionnel</v>
      </c>
      <c r="S49" s="19" t="str">
        <f>_xlfn.XLOOKUP(Projects[[#This Row],[Coverage]],Table7[Coverage],Table7[CoverageFR],"",FALSE)</f>
        <v xml:space="preserve">National </v>
      </c>
      <c r="T49" s="31" t="str">
        <f>IF(Projects[[#This Row],[To publish]]="","",Projects[[#This Row],[To publish]])</f>
        <v>Batch 2</v>
      </c>
    </row>
    <row r="50" spans="1:20" ht="150" x14ac:dyDescent="0.25">
      <c r="A50" s="19">
        <f>Projects[[#This Row],[NR]]</f>
        <v>67</v>
      </c>
      <c r="B50" s="19" t="str">
        <f>IF(Projects[[#This Row],[Title]]="","",Projects[[#This Row],[Title]])</f>
        <v>ADELE / Analytics for DEcision of LEgal Cases</v>
      </c>
      <c r="C50" s="19" t="str">
        <f>IF(Projects[[#This Row],[AI Relevance]]="","",Projects[[#This Row],[AI Relevance]])</f>
        <v>AI</v>
      </c>
      <c r="D50" s="19" t="str">
        <f>_xlfn.XLOOKUP(Projects[[#This Row],[Area1]],Table1[Area],Table1[FRArea],"Check",FALSE)</f>
        <v>1 - Recherche documentaire</v>
      </c>
      <c r="E50" s="19" t="str">
        <f>IF(Projects[[#This Row],[Area2]]="","",_xlfn.XLOOKUP(Projects[[#This Row],[Area2]],Table1[Area],Table1[FRArea],"Check",FALSE))</f>
        <v>4 - Aide à la décision</v>
      </c>
      <c r="F50" s="19">
        <f>IF(Projects[[#This Row],[Year]]="","",Projects[[#This Row],[Year]])</f>
        <v>2023</v>
      </c>
      <c r="G50" s="19" t="str">
        <f>_xlfn.XLOOKUP(Projects[[#This Row],[Country]],Table2[Country],Table2[Pays],"Check",FALSE)</f>
        <v>Italie</v>
      </c>
      <c r="H50" s="19" t="str">
        <f>IF(Projects[[#This Row],[Description]]="","",Projects[[#This Row],[Description]])</f>
        <v>The application is supporting the legal research and decision-making processes in the judiciary by applying automated means to extract legal knowledge from large datasets of case-law, inferring undiscovered relationships and predicting the possible outcome of new cases. It is based on Italian and Bulgarian  Intellectual Property and Value Added Tax cases and received an EU project fund.</v>
      </c>
      <c r="I50" s="29" t="str">
        <f>IF(Projects[[#This Row],[DescriptionFR]]="","",Projects[[#This Row],[DescriptionFR]])</f>
        <v>L'application soutient la recherche juridique et les processus de prise de décision au sein du système judiciaire en appliquant des moyens automatisés pour extraire les connaissances juridiques de vastes ensembles de données de jurisprudence, en déduisant des relations non découvertes et en prédisant l'issue possible de nouvelles affaires. Elle est basée sur des cas italiens et bulgares de propriété intellectuelle et de taxe sur la valeur ajoutée et a reçu un financement de projet de l'UE.</v>
      </c>
      <c r="J50" s="30" t="str">
        <f>IF(Projects[[#This Row],[Link]]="","",Projects[[#This Row],[Link]])</f>
        <v>https://adele-tool.eu</v>
      </c>
      <c r="K50" s="30" t="str">
        <f>IF(Projects[[#This Row],[Link1]]="","",Projects[[#This Row],[Link1]])</f>
        <v/>
      </c>
      <c r="L50" s="19" t="str">
        <f>_xlfn.XLOOKUP(Projects[[#This Row],[Implemented by]],Table3[Implemented by],Table3[ImplementedFR],"",FALSE)</f>
        <v>Recherche/Universitaire</v>
      </c>
      <c r="M50" s="19" t="str">
        <f>_xlfn.XLOOKUP(Projects[[#This Row],[Target audience]],Table4[Target audience],Table4[Target audienceFR],"",FALSE)</f>
        <v>Juges/greffiers</v>
      </c>
      <c r="N50" s="19" t="str">
        <f>IF(Projects[[#This Row],[Target audience2]]="","",_xlfn.XLOOKUP(Projects[[#This Row],[Target audience2]],Table4[Target audience],Table4[Target audienceFR],"Check",FALSE))</f>
        <v>Gestion</v>
      </c>
      <c r="O50" s="19" t="str">
        <f>IF(Projects[[#This Row],[Target audience3]]="","",_xlfn.XLOOKUP(Projects[[#This Row],[Target audience3]],Table4[Target audience],Table4[Target audienceFR],"Check",FALSE))</f>
        <v>Usagers des tribunaux (Grand public)</v>
      </c>
      <c r="P50" s="19" t="str">
        <f>IF(Projects[[#This Row],[Target audience4]]="","",_xlfn.XLOOKUP(Projects[[#This Row],[Target audience4]],Table4[Target audience],Table4[Target audienceFR],"Check",FALSE))</f>
        <v/>
      </c>
      <c r="Q50" s="19" t="str">
        <f>IF(Projects[[#This Row],[Target audience5]]="","",_xlfn.XLOOKUP(Projects[[#This Row],[Target audience5]],Table4[Target audience],Table4[Target audienceFR],"Check",FALSE))</f>
        <v/>
      </c>
      <c r="R50" s="19" t="str">
        <f>_xlfn.XLOOKUP(Projects[[#This Row],[Status]],Table8[Status],Table8[StatusFR],"",FALSE)</f>
        <v>Version pilote/bêta</v>
      </c>
      <c r="S50" s="19" t="str">
        <f>_xlfn.XLOOKUP(Projects[[#This Row],[Coverage]],Table7[Coverage],Table7[CoverageFR],"",FALSE)</f>
        <v xml:space="preserve">National </v>
      </c>
      <c r="T50" s="31" t="str">
        <f>IF(Projects[[#This Row],[To publish]]="","",Projects[[#This Row],[To publish]])</f>
        <v>Batch 3</v>
      </c>
    </row>
    <row r="51" spans="1:20" ht="180" x14ac:dyDescent="0.25">
      <c r="A51" s="19">
        <f>Projects[[#This Row],[NR]]</f>
        <v>68</v>
      </c>
      <c r="B51" s="19" t="str">
        <f>IF(Projects[[#This Row],[Title]]="","",Projects[[#This Row],[Title]])</f>
        <v>Automatic validator of documents authenticity for online nationality applications</v>
      </c>
      <c r="C51" s="19" t="str">
        <f>IF(Projects[[#This Row],[AI Relevance]]="","",Projects[[#This Row],[AI Relevance]])</f>
        <v>AI</v>
      </c>
      <c r="D51" s="19" t="str">
        <f>_xlfn.XLOOKUP(Projects[[#This Row],[Area1]],Table1[Area],Table1[FRArea],"Check",FALSE)</f>
        <v>6 - Triage, attribution et automatisation des flux de travail</v>
      </c>
      <c r="E51" s="19" t="str">
        <f>IF(Projects[[#This Row],[Area2]]="","",_xlfn.XLOOKUP(Projects[[#This Row],[Area2]],Table1[Area],Table1[FRArea],"Check",FALSE))</f>
        <v>1 - Recherche documentaire</v>
      </c>
      <c r="F51" s="19">
        <f>IF(Projects[[#This Row],[Year]]="","",Projects[[#This Row],[Year]])</f>
        <v>2022</v>
      </c>
      <c r="G51" s="19" t="str">
        <f>_xlfn.XLOOKUP(Projects[[#This Row],[Country]],Table2[Country],Table2[Pays],"Check",FALSE)</f>
        <v>Portugal</v>
      </c>
      <c r="H51" s="19" t="str">
        <f>IF(Projects[[#This Row],[Description]]="","",Projects[[#This Row],[Description]])</f>
        <v>A tool that allows the automatic validation of the documents required for the nationality application. In Portugal, nationality application processes require a significant number of documents, which are currently delivered on paper and checked manually. Such tasks demand a high number of working hours for many employees of the Institute of Registries and Notary (IRN). This automatic validator makes possible the optimization and complete dematerialization of the procedure, increasing efficiency and responsiveness given the increasing number of new requests.</v>
      </c>
      <c r="I51" s="29" t="str">
        <f>IF(Projects[[#This Row],[DescriptionFR]]="","",Projects[[#This Row],[DescriptionFR]])</f>
        <v>Un logiciel qui permet la validation automatique des documents requis pour la candidature à la nationalité. Au Portugal, les procédures de demande de nationalité requièrent un important volume de documents, qui sont actuellement délivrés sur papier et vérifiés manuellement. Ces opérations exigent un grand nombre d'heures de travail pour de nombreux employés de l'Institut des registres et du notariat (IRN). Ce validateur automatique permet d'optimiser et de dématérialiser complètement la procédure, augmentant ainsi l'efficacité et la réactivité face au nombre croissant de nouvelles demandes.</v>
      </c>
      <c r="J51" s="30" t="str">
        <f>IF(Projects[[#This Row],[Link]]="","",Projects[[#This Row],[Link]])</f>
        <v>https://govtech.justica.gov.pt/en/portfolio/automatic-validator-of-documents-authenticity-for-online-nationality-applications/</v>
      </c>
      <c r="K51" s="30" t="str">
        <f>IF(Projects[[#This Row],[Link1]]="","",Projects[[#This Row],[Link1]])</f>
        <v/>
      </c>
      <c r="L51" s="19" t="str">
        <f>_xlfn.XLOOKUP(Projects[[#This Row],[Implemented by]],Table3[Implemented by],Table3[ImplementedFR],"",FALSE)</f>
        <v xml:space="preserve">Publique </v>
      </c>
      <c r="M51" s="19" t="str">
        <f>_xlfn.XLOOKUP(Projects[[#This Row],[Target audience]],Table4[Target audience],Table4[Target audienceFR],"",FALSE)</f>
        <v>Usagers des tribunaux (Grand public)</v>
      </c>
      <c r="N51" s="19" t="str">
        <f>IF(Projects[[#This Row],[Target audience2]]="","",_xlfn.XLOOKUP(Projects[[#This Row],[Target audience2]],Table4[Target audience],Table4[Target audienceFR],"Check",FALSE))</f>
        <v/>
      </c>
      <c r="O51" s="19" t="str">
        <f>IF(Projects[[#This Row],[Target audience3]]="","",_xlfn.XLOOKUP(Projects[[#This Row],[Target audience3]],Table4[Target audience],Table4[Target audienceFR],"Check",FALSE))</f>
        <v/>
      </c>
      <c r="P51" s="19" t="str">
        <f>IF(Projects[[#This Row],[Target audience4]]="","",_xlfn.XLOOKUP(Projects[[#This Row],[Target audience4]],Table4[Target audience],Table4[Target audienceFR],"Check",FALSE))</f>
        <v/>
      </c>
      <c r="Q51" s="19" t="str">
        <f>IF(Projects[[#This Row],[Target audience5]]="","",_xlfn.XLOOKUP(Projects[[#This Row],[Target audience5]],Table4[Target audience],Table4[Target audienceFR],"Check",FALSE))</f>
        <v/>
      </c>
      <c r="R51" s="19" t="str">
        <f>_xlfn.XLOOKUP(Projects[[#This Row],[Status]],Table8[Status],Table8[StatusFR],"",FALSE)</f>
        <v>Fonctionnel</v>
      </c>
      <c r="S51" s="19" t="str">
        <f>_xlfn.XLOOKUP(Projects[[#This Row],[Coverage]],Table7[Coverage],Table7[CoverageFR],"",FALSE)</f>
        <v xml:space="preserve">National </v>
      </c>
      <c r="T51" s="31" t="str">
        <f>IF(Projects[[#This Row],[To publish]]="","",Projects[[#This Row],[To publish]])</f>
        <v>Batch 3</v>
      </c>
    </row>
    <row r="52" spans="1:20" ht="60" x14ac:dyDescent="0.25">
      <c r="A52" s="19">
        <f>Projects[[#This Row],[NR]]</f>
        <v>69</v>
      </c>
      <c r="B52" s="19" t="str">
        <f>IF(Projects[[#This Row],[Title]]="","",Projects[[#This Row],[Title]])</f>
        <v xml:space="preserve">Anonymization of court decisions / Module d'anonymisation open data des décisions de justice </v>
      </c>
      <c r="C52" s="19" t="str">
        <f>IF(Projects[[#This Row],[AI Relevance]]="","",Projects[[#This Row],[AI Relevance]])</f>
        <v>AI</v>
      </c>
      <c r="D52" s="19" t="str">
        <f>_xlfn.XLOOKUP(Projects[[#This Row],[Area1]],Table1[Area],Table1[FRArea],"Check",FALSE)</f>
        <v>5 - Anonymisation et pseudonymisation</v>
      </c>
      <c r="E52" s="19" t="str">
        <f>IF(Projects[[#This Row],[Area2]]="","",_xlfn.XLOOKUP(Projects[[#This Row],[Area2]],Table1[Area],Table1[FRArea],"Check",FALSE))</f>
        <v/>
      </c>
      <c r="F52" s="19">
        <f>IF(Projects[[#This Row],[Year]]="","",Projects[[#This Row],[Year]])</f>
        <v>2021</v>
      </c>
      <c r="G52" s="19" t="str">
        <f>_xlfn.XLOOKUP(Projects[[#This Row],[Country]],Table2[Country],Table2[Pays],"Check",FALSE)</f>
        <v>France</v>
      </c>
      <c r="H52" s="19" t="str">
        <f>IF(Projects[[#This Row],[Description]]="","",Projects[[#This Row],[Description]])</f>
        <v>Anonymization of personal data before publishing court decisions in open data format.</v>
      </c>
      <c r="I52" s="29" t="str">
        <f>IF(Projects[[#This Row],[DescriptionFR]]="","",Projects[[#This Row],[DescriptionFR]])</f>
        <v>Brique technique permettant la détection des données à caractères personnelles et leur anonymisation en vue de l'open data des décisions de justice.</v>
      </c>
      <c r="J52" s="30" t="str">
        <f>IF(Projects[[#This Row],[Link]]="","",Projects[[#This Row],[Link]])</f>
        <v>https://www.courdecassation.fr/acces-rapide-judilibre/open-data-et-api</v>
      </c>
      <c r="K52" s="30" t="str">
        <f>IF(Projects[[#This Row],[Link1]]="","",Projects[[#This Row],[Link1]])</f>
        <v/>
      </c>
      <c r="L52" s="19" t="str">
        <f>_xlfn.XLOOKUP(Projects[[#This Row],[Implemented by]],Table3[Implemented by],Table3[ImplementedFR],"",FALSE)</f>
        <v xml:space="preserve">Publique </v>
      </c>
      <c r="M52" s="19" t="str">
        <f>_xlfn.XLOOKUP(Projects[[#This Row],[Target audience]],Table4[Target audience],Table4[Target audienceFR],"",FALSE)</f>
        <v>Gestion</v>
      </c>
      <c r="N52" s="19" t="str">
        <f>IF(Projects[[#This Row],[Target audience2]]="","",_xlfn.XLOOKUP(Projects[[#This Row],[Target audience2]],Table4[Target audience],Table4[Target audienceFR],"Check",FALSE))</f>
        <v>Juges/greffiers</v>
      </c>
      <c r="O52" s="19" t="str">
        <f>IF(Projects[[#This Row],[Target audience3]]="","",_xlfn.XLOOKUP(Projects[[#This Row],[Target audience3]],Table4[Target audience],Table4[Target audienceFR],"Check",FALSE))</f>
        <v/>
      </c>
      <c r="P52" s="19" t="str">
        <f>IF(Projects[[#This Row],[Target audience4]]="","",_xlfn.XLOOKUP(Projects[[#This Row],[Target audience4]],Table4[Target audience],Table4[Target audienceFR],"Check",FALSE))</f>
        <v/>
      </c>
      <c r="Q52" s="19" t="str">
        <f>IF(Projects[[#This Row],[Target audience5]]="","",_xlfn.XLOOKUP(Projects[[#This Row],[Target audience5]],Table4[Target audience],Table4[Target audienceFR],"Check",FALSE))</f>
        <v/>
      </c>
      <c r="R52" s="19" t="str">
        <f>_xlfn.XLOOKUP(Projects[[#This Row],[Status]],Table8[Status],Table8[StatusFR],"",FALSE)</f>
        <v>Fonctionnel</v>
      </c>
      <c r="S52" s="19" t="str">
        <f>_xlfn.XLOOKUP(Projects[[#This Row],[Coverage]],Table7[Coverage],Table7[CoverageFR],"",FALSE)</f>
        <v xml:space="preserve">National </v>
      </c>
      <c r="T52" s="31" t="str">
        <f>IF(Projects[[#This Row],[To publish]]="","",Projects[[#This Row],[To publish]])</f>
        <v>Batch 3</v>
      </c>
    </row>
    <row r="53" spans="1:20" ht="207.6" customHeight="1" x14ac:dyDescent="0.25">
      <c r="A53" s="19">
        <f>Projects[[#This Row],[NR]]</f>
        <v>70</v>
      </c>
      <c r="B53" s="19" t="str">
        <f>IF(Projects[[#This Row],[Title]]="","",Projects[[#This Row],[Title]])</f>
        <v xml:space="preserve">Appeal referral module / Module d'orientation des pourvois </v>
      </c>
      <c r="C53" s="19" t="str">
        <f>IF(Projects[[#This Row],[AI Relevance]]="","",Projects[[#This Row],[AI Relevance]])</f>
        <v xml:space="preserve">AI </v>
      </c>
      <c r="D53" s="19" t="str">
        <f>_xlfn.XLOOKUP(Projects[[#This Row],[Area1]],Table1[Area],Table1[FRArea],"Check",FALSE)</f>
        <v>6 - Triage, attribution et automatisation des flux de travail</v>
      </c>
      <c r="E53" s="19" t="str">
        <f>IF(Projects[[#This Row],[Area2]]="","",_xlfn.XLOOKUP(Projects[[#This Row],[Area2]],Table1[Area],Table1[FRArea],"Check",FALSE))</f>
        <v/>
      </c>
      <c r="F53" s="19">
        <f>IF(Projects[[#This Row],[Year]]="","",Projects[[#This Row],[Year]])</f>
        <v>2021</v>
      </c>
      <c r="G53" s="19" t="str">
        <f>_xlfn.XLOOKUP(Projects[[#This Row],[Country]],Table2[Country],Table2[Pays],"Check",FALSE)</f>
        <v>France</v>
      </c>
      <c r="H53" s="19" t="str">
        <f>IF(Projects[[#This Row],[Description]]="","",Projects[[#This Row],[Description]])</f>
        <v xml:space="preserve">Automatic referral module of appeals between the Chambers of the Court of Cassation. </v>
      </c>
      <c r="I53" s="29" t="str">
        <f>IF(Projects[[#This Row],[DescriptionFR]]="","",Projects[[#This Row],[DescriptionFR]])</f>
        <v>Orientation automatisée des pourvois au sein des chambres de la Cour de cassation.</v>
      </c>
      <c r="J53" s="30" t="str">
        <f>IF(Projects[[#This Row],[Link]]="","",Projects[[#This Row],[Link]])</f>
        <v xml:space="preserve"> https://www.vie-publique.fr/parole-dexpert/278415-la-cour-de-cassation-face-au-numerique-et-lintelligence-artificielle
</v>
      </c>
      <c r="K53" s="30" t="str">
        <f>IF(Projects[[#This Row],[Link1]]="","",Projects[[#This Row],[Link1]])</f>
        <v/>
      </c>
      <c r="L53" s="19" t="str">
        <f>_xlfn.XLOOKUP(Projects[[#This Row],[Implemented by]],Table3[Implemented by],Table3[ImplementedFR],"",FALSE)</f>
        <v xml:space="preserve">Publique </v>
      </c>
      <c r="M53" s="19" t="str">
        <f>_xlfn.XLOOKUP(Projects[[#This Row],[Target audience]],Table4[Target audience],Table4[Target audienceFR],"",FALSE)</f>
        <v>Gestion</v>
      </c>
      <c r="N53" s="19" t="str">
        <f>IF(Projects[[#This Row],[Target audience2]]="","",_xlfn.XLOOKUP(Projects[[#This Row],[Target audience2]],Table4[Target audience],Table4[Target audienceFR],"Check",FALSE))</f>
        <v>Juges/greffiers</v>
      </c>
      <c r="O53" s="19" t="str">
        <f>IF(Projects[[#This Row],[Target audience3]]="","",_xlfn.XLOOKUP(Projects[[#This Row],[Target audience3]],Table4[Target audience],Table4[Target audienceFR],"Check",FALSE))</f>
        <v/>
      </c>
      <c r="P53" s="19" t="str">
        <f>IF(Projects[[#This Row],[Target audience4]]="","",_xlfn.XLOOKUP(Projects[[#This Row],[Target audience4]],Table4[Target audience],Table4[Target audienceFR],"Check",FALSE))</f>
        <v/>
      </c>
      <c r="Q53" s="19" t="str">
        <f>IF(Projects[[#This Row],[Target audience5]]="","",_xlfn.XLOOKUP(Projects[[#This Row],[Target audience5]],Table4[Target audience],Table4[Target audienceFR],"Check",FALSE))</f>
        <v/>
      </c>
      <c r="R53" s="19" t="str">
        <f>_xlfn.XLOOKUP(Projects[[#This Row],[Status]],Table8[Status],Table8[StatusFR],"",FALSE)</f>
        <v>Fonctionnel</v>
      </c>
      <c r="S53" s="19" t="str">
        <f>_xlfn.XLOOKUP(Projects[[#This Row],[Coverage]],Table7[Coverage],Table7[CoverageFR],"",FALSE)</f>
        <v xml:space="preserve">National </v>
      </c>
      <c r="T53" s="31" t="str">
        <f>IF(Projects[[#This Row],[To publish]]="","",Projects[[#This Row],[To publish]])</f>
        <v>Batch 3</v>
      </c>
    </row>
    <row r="54" spans="1:20" ht="105" x14ac:dyDescent="0.25">
      <c r="A54" s="19">
        <f>Projects[[#This Row],[NR]]</f>
        <v>81</v>
      </c>
      <c r="B54" s="19" t="str">
        <f>IF(Projects[[#This Row],[Title]]="","",Projects[[#This Row],[Title]])</f>
        <v>Prometea</v>
      </c>
      <c r="C54" s="19" t="str">
        <f>IF(Projects[[#This Row],[AI Relevance]]="","",Projects[[#This Row],[AI Relevance]])</f>
        <v>AI</v>
      </c>
      <c r="D54" s="19" t="str">
        <f>_xlfn.XLOOKUP(Projects[[#This Row],[Area1]],Table1[Area],Table1[FRArea],"Check",FALSE)</f>
        <v>4 - Aide à la décision</v>
      </c>
      <c r="E54" s="19" t="str">
        <f>IF(Projects[[#This Row],[Area2]]="","",_xlfn.XLOOKUP(Projects[[#This Row],[Area2]],Table1[Area],Table1[FRArea],"Check",FALSE))</f>
        <v>1 - Recherche documentaire</v>
      </c>
      <c r="F54" s="19">
        <f>IF(Projects[[#This Row],[Year]]="","",Projects[[#This Row],[Year]])</f>
        <v>2017</v>
      </c>
      <c r="G54" s="19" t="str">
        <f>_xlfn.XLOOKUP(Projects[[#This Row],[Country]],Table2[Country],Table2[Pays],"Check",FALSE)</f>
        <v xml:space="preserve">
Argentine</v>
      </c>
      <c r="H54" s="19" t="str">
        <f>IF(Projects[[#This Row],[Description]]="","",Projects[[#This Row],[Description]])</f>
        <v>Prometea aims at predicting outcomes of court cases and identifying urgent cases within large volumes of files. It was developed by the University and the Public Prosecutor's Office of Buenos Aires with the main goal of accelerating bureaucratic processes and free up time for the analysis of complex cases.</v>
      </c>
      <c r="I54" s="29" t="str">
        <f>IF(Projects[[#This Row],[DescriptionFR]]="","",Projects[[#This Row],[DescriptionFR]])</f>
        <v>Prometea vise à prédire l'issue des affaires judiciaires et à identifier les affaires urgentes dans les grandes masses de dossiers. Il a été développé par l'université et le ministère public de Buenos Aires dans le but principal d'accélérer les processus bureaucratiques et de libérer du temps pour l'analyse d'affaires complexes.</v>
      </c>
      <c r="J54" s="30" t="str">
        <f>IF(Projects[[#This Row],[Link]]="","",Projects[[#This Row],[Link]])</f>
        <v>https://ceridap.eu/prometea-experience-using-ai-to-optimize-public-institutions/?lng=en</v>
      </c>
      <c r="K54" s="30" t="str">
        <f>IF(Projects[[#This Row],[Link1]]="","",Projects[[#This Row],[Link1]])</f>
        <v/>
      </c>
      <c r="L54" s="19" t="str">
        <f>_xlfn.XLOOKUP(Projects[[#This Row],[Implemented by]],Table3[Implemented by],Table3[ImplementedFR],"",FALSE)</f>
        <v xml:space="preserve">Publique </v>
      </c>
      <c r="M54" s="19" t="str">
        <f>_xlfn.XLOOKUP(Projects[[#This Row],[Target audience]],Table4[Target audience],Table4[Target audienceFR],"",FALSE)</f>
        <v>Procureurs/greffiers</v>
      </c>
      <c r="N54" s="19" t="str">
        <f>IF(Projects[[#This Row],[Target audience2]]="","",_xlfn.XLOOKUP(Projects[[#This Row],[Target audience2]],Table4[Target audience],Table4[Target audienceFR],"Check",FALSE))</f>
        <v/>
      </c>
      <c r="O54" s="19" t="str">
        <f>IF(Projects[[#This Row],[Target audience3]]="","",_xlfn.XLOOKUP(Projects[[#This Row],[Target audience3]],Table4[Target audience],Table4[Target audienceFR],"Check",FALSE))</f>
        <v/>
      </c>
      <c r="P54" s="19" t="str">
        <f>IF(Projects[[#This Row],[Target audience4]]="","",_xlfn.XLOOKUP(Projects[[#This Row],[Target audience4]],Table4[Target audience],Table4[Target audienceFR],"Check",FALSE))</f>
        <v/>
      </c>
      <c r="Q54" s="19" t="str">
        <f>IF(Projects[[#This Row],[Target audience5]]="","",_xlfn.XLOOKUP(Projects[[#This Row],[Target audience5]],Table4[Target audience],Table4[Target audienceFR],"Check",FALSE))</f>
        <v/>
      </c>
      <c r="R54" s="19" t="str">
        <f>_xlfn.XLOOKUP(Projects[[#This Row],[Status]],Table8[Status],Table8[StatusFR],"",FALSE)</f>
        <v>Fonctionnel</v>
      </c>
      <c r="S54" s="19" t="str">
        <f>_xlfn.XLOOKUP(Projects[[#This Row],[Coverage]],Table7[Coverage],Table7[CoverageFR],"",FALSE)</f>
        <v>Régional</v>
      </c>
      <c r="T54" s="31" t="str">
        <f>IF(Projects[[#This Row],[To publish]]="","",Projects[[#This Row],[To publish]])</f>
        <v>Batch 3</v>
      </c>
    </row>
    <row r="55" spans="1:20" ht="60" x14ac:dyDescent="0.25">
      <c r="A55" s="19">
        <f>Projects[[#This Row],[NR]]</f>
        <v>82</v>
      </c>
      <c r="B55" s="19" t="str">
        <f>IF(Projects[[#This Row],[Title]]="","",Projects[[#This Row],[Title]])</f>
        <v xml:space="preserve">The translation app / Översättningsappen </v>
      </c>
      <c r="C55" s="19" t="str">
        <f>IF(Projects[[#This Row],[AI Relevance]]="","",Projects[[#This Row],[AI Relevance]])</f>
        <v>AI</v>
      </c>
      <c r="D55" s="19" t="str">
        <f>_xlfn.XLOOKUP(Projects[[#This Row],[Area1]],Table1[Area],Table1[FRArea],"Check",FALSE)</f>
        <v>7 - Enregistrement, transcription et traduction</v>
      </c>
      <c r="E55" s="19" t="str">
        <f>IF(Projects[[#This Row],[Area2]]="","",_xlfn.XLOOKUP(Projects[[#This Row],[Area2]],Table1[Area],Table1[FRArea],"Check",FALSE))</f>
        <v/>
      </c>
      <c r="F55" s="19">
        <f>IF(Projects[[#This Row],[Year]]="","",Projects[[#This Row],[Year]])</f>
        <v>2022</v>
      </c>
      <c r="G55" s="19" t="str">
        <f>_xlfn.XLOOKUP(Projects[[#This Row],[Country]],Table2[Country],Table2[Pays],"Check",FALSE)</f>
        <v>Suède</v>
      </c>
      <c r="H55" s="19" t="str">
        <f>IF(Projects[[#This Row],[Description]]="","",Projects[[#This Row],[Description]])</f>
        <v>An application that translates text to more than 60 languages, using AI. It is specialized in legal language. It is  used to trasncribe and translate court hearings.</v>
      </c>
      <c r="I55" s="29" t="str">
        <f>IF(Projects[[#This Row],[DescriptionFR]]="","",Projects[[#This Row],[DescriptionFR]])</f>
        <v>Une application qui traduit des textes dans plus de 60 langues, en utilisant l'IA. Elle est spécialisée dans le langage juridique. Il est utilisé pour transcrire et traduire les audiences des tribunaux.</v>
      </c>
      <c r="J55" s="30" t="str">
        <f>IF(Projects[[#This Row],[Link]]="","",Projects[[#This Row],[Link]])</f>
        <v>https://rm.coe.int/internal-system/4880299b55</v>
      </c>
      <c r="K55" s="30" t="str">
        <f>IF(Projects[[#This Row],[Link1]]="","",Projects[[#This Row],[Link1]])</f>
        <v/>
      </c>
      <c r="L55" s="19" t="str">
        <f>_xlfn.XLOOKUP(Projects[[#This Row],[Implemented by]],Table3[Implemented by],Table3[ImplementedFR],"",FALSE)</f>
        <v xml:space="preserve">Publique </v>
      </c>
      <c r="M55" s="19" t="str">
        <f>_xlfn.XLOOKUP(Projects[[#This Row],[Target audience]],Table4[Target audience],Table4[Target audienceFR],"",FALSE)</f>
        <v>Juges/greffiers</v>
      </c>
      <c r="N55" s="19" t="str">
        <f>IF(Projects[[#This Row],[Target audience2]]="","",_xlfn.XLOOKUP(Projects[[#This Row],[Target audience2]],Table4[Target audience],Table4[Target audienceFR],"Check",FALSE))</f>
        <v>Gestion</v>
      </c>
      <c r="O55" s="19" t="str">
        <f>IF(Projects[[#This Row],[Target audience3]]="","",_xlfn.XLOOKUP(Projects[[#This Row],[Target audience3]],Table4[Target audience],Table4[Target audienceFR],"Check",FALSE))</f>
        <v/>
      </c>
      <c r="P55" s="19" t="str">
        <f>IF(Projects[[#This Row],[Target audience4]]="","",_xlfn.XLOOKUP(Projects[[#This Row],[Target audience4]],Table4[Target audience],Table4[Target audienceFR],"Check",FALSE))</f>
        <v/>
      </c>
      <c r="Q55" s="19" t="str">
        <f>IF(Projects[[#This Row],[Target audience5]]="","",_xlfn.XLOOKUP(Projects[[#This Row],[Target audience5]],Table4[Target audience],Table4[Target audienceFR],"Check",FALSE))</f>
        <v/>
      </c>
      <c r="R55" s="19" t="str">
        <f>_xlfn.XLOOKUP(Projects[[#This Row],[Status]],Table8[Status],Table8[StatusFR],"",FALSE)</f>
        <v>Fonctionnel</v>
      </c>
      <c r="S55" s="19" t="str">
        <f>_xlfn.XLOOKUP(Projects[[#This Row],[Coverage]],Table7[Coverage],Table7[CoverageFR],"",FALSE)</f>
        <v xml:space="preserve">National </v>
      </c>
      <c r="T55" s="31" t="str">
        <f>IF(Projects[[#This Row],[To publish]]="","",Projects[[#This Row],[To publish]])</f>
        <v>Batch 3</v>
      </c>
    </row>
    <row r="56" spans="1:20" ht="45" x14ac:dyDescent="0.25">
      <c r="A56" s="19">
        <f>Projects[[#This Row],[NR]]</f>
        <v>83</v>
      </c>
      <c r="B56" s="19" t="str">
        <f>IF(Projects[[#This Row],[Title]]="","",Projects[[#This Row],[Title]])</f>
        <v>MKMKIS / Information System for Payment Order Procedure</v>
      </c>
      <c r="C56" s="19" t="str">
        <f>IF(Projects[[#This Row],[AI Relevance]]="","",Projects[[#This Row],[AI Relevance]])</f>
        <v>non-AI</v>
      </c>
      <c r="D56" s="19" t="str">
        <f>_xlfn.XLOOKUP(Projects[[#This Row],[Area1]],Table1[Area],Table1[FRArea],"Check",FALSE)</f>
        <v>6 - Triage, attribution et automatisation des flux de travail</v>
      </c>
      <c r="E56" s="19" t="str">
        <f>IF(Projects[[#This Row],[Area2]]="","",_xlfn.XLOOKUP(Projects[[#This Row],[Area2]],Table1[Area],Table1[FRArea],"Check",FALSE))</f>
        <v/>
      </c>
      <c r="F56" s="19">
        <f>IF(Projects[[#This Row],[Year]]="","",Projects[[#This Row],[Year]])</f>
        <v>2006</v>
      </c>
      <c r="G56" s="19" t="str">
        <f>_xlfn.XLOOKUP(Projects[[#This Row],[Country]],Table2[Country],Table2[Pays],"Check",FALSE)</f>
        <v>Estonie</v>
      </c>
      <c r="H56" s="19" t="str">
        <f>IF(Projects[[#This Row],[Description]]="","",Projects[[#This Row],[Description]])</f>
        <v xml:space="preserve">Information System for Payment Order Procedure (MKMKIS) allows to largely automatize the payment order procedure. </v>
      </c>
      <c r="I56" s="29" t="str">
        <f>IF(Projects[[#This Row],[DescriptionFR]]="","",Projects[[#This Row],[DescriptionFR]])</f>
        <v xml:space="preserve">Le système d'information pour la procédure d'ordre de paiement (MKMKIS) permet d'automatiser en grande partie la procédure d'ordre de paiement.  </v>
      </c>
      <c r="J56" s="30" t="str">
        <f>IF(Projects[[#This Row],[Link]]="","",Projects[[#This Row],[Link]])</f>
        <v>https://rm.coe.int/internal-system/4880299b55</v>
      </c>
      <c r="K56" s="30" t="str">
        <f>IF(Projects[[#This Row],[Link1]]="","",Projects[[#This Row],[Link1]])</f>
        <v/>
      </c>
      <c r="L56" s="19" t="str">
        <f>_xlfn.XLOOKUP(Projects[[#This Row],[Implemented by]],Table3[Implemented by],Table3[ImplementedFR],"",FALSE)</f>
        <v xml:space="preserve">Publique </v>
      </c>
      <c r="M56" s="19" t="str">
        <f>_xlfn.XLOOKUP(Projects[[#This Row],[Target audience]],Table4[Target audience],Table4[Target audienceFR],"",FALSE)</f>
        <v>Gestion</v>
      </c>
      <c r="N56" s="19" t="str">
        <f>IF(Projects[[#This Row],[Target audience2]]="","",_xlfn.XLOOKUP(Projects[[#This Row],[Target audience2]],Table4[Target audience],Table4[Target audienceFR],"Check",FALSE))</f>
        <v>Usagers des tribunaux (Grand public)</v>
      </c>
      <c r="O56" s="19" t="str">
        <f>IF(Projects[[#This Row],[Target audience3]]="","",_xlfn.XLOOKUP(Projects[[#This Row],[Target audience3]],Table4[Target audience],Table4[Target audienceFR],"Check",FALSE))</f>
        <v/>
      </c>
      <c r="P56" s="19" t="str">
        <f>IF(Projects[[#This Row],[Target audience4]]="","",_xlfn.XLOOKUP(Projects[[#This Row],[Target audience4]],Table4[Target audience],Table4[Target audienceFR],"Check",FALSE))</f>
        <v/>
      </c>
      <c r="Q56" s="19" t="str">
        <f>IF(Projects[[#This Row],[Target audience5]]="","",_xlfn.XLOOKUP(Projects[[#This Row],[Target audience5]],Table4[Target audience],Table4[Target audienceFR],"Check",FALSE))</f>
        <v/>
      </c>
      <c r="R56" s="19" t="str">
        <f>_xlfn.XLOOKUP(Projects[[#This Row],[Status]],Table8[Status],Table8[StatusFR],"",FALSE)</f>
        <v>Fonctionnel</v>
      </c>
      <c r="S56" s="19" t="str">
        <f>_xlfn.XLOOKUP(Projects[[#This Row],[Coverage]],Table7[Coverage],Table7[CoverageFR],"",FALSE)</f>
        <v xml:space="preserve">National </v>
      </c>
      <c r="T56" s="31" t="str">
        <f>IF(Projects[[#This Row],[To publish]]="","",Projects[[#This Row],[To publish]])</f>
        <v>Batch 3</v>
      </c>
    </row>
    <row r="57" spans="1:20" ht="75" x14ac:dyDescent="0.25">
      <c r="A57" s="19">
        <f>Projects[[#This Row],[NR]]</f>
        <v>84</v>
      </c>
      <c r="B57" s="19" t="str">
        <f>IF(Projects[[#This Row],[Title]]="","",Projects[[#This Row],[Title]])</f>
        <v>Voice Recording and Transcription Software</v>
      </c>
      <c r="C57" s="19" t="str">
        <f>IF(Projects[[#This Row],[AI Relevance]]="","",Projects[[#This Row],[AI Relevance]])</f>
        <v>AI</v>
      </c>
      <c r="D57" s="19" t="str">
        <f>_xlfn.XLOOKUP(Projects[[#This Row],[Area1]],Table1[Area],Table1[FRArea],"Check",FALSE)</f>
        <v>7 - Enregistrement, transcription et traduction</v>
      </c>
      <c r="E57" s="19" t="str">
        <f>IF(Projects[[#This Row],[Area2]]="","",_xlfn.XLOOKUP(Projects[[#This Row],[Area2]],Table1[Area],Table1[FRArea],"Check",FALSE))</f>
        <v/>
      </c>
      <c r="F57" s="19">
        <f>IF(Projects[[#This Row],[Year]]="","",Projects[[#This Row],[Year]])</f>
        <v>2023</v>
      </c>
      <c r="G57" s="19" t="str">
        <f>_xlfn.XLOOKUP(Projects[[#This Row],[Country]],Table2[Country],Table2[Pays],"Check",FALSE)</f>
        <v>Estonie</v>
      </c>
      <c r="H57" s="19" t="str">
        <f>IF(Projects[[#This Row],[Description]]="","",Projects[[#This Row],[Description]])</f>
        <v>This Voice recording and transcription software is used in court hearings for the automated transcription of minutes (voice recognition is being implemented since 2023).</v>
      </c>
      <c r="I57" s="29" t="str">
        <f>IF(Projects[[#This Row],[DescriptionFR]]="","",Projects[[#This Row],[DescriptionFR]])</f>
        <v>Ce logiciel d'enregistrement et de transcription vocale est utilisé dans les audiences des tribunaux pour la transcription automatisée des procès-verbaux (la reconnaissance vocale est mise en œuvre à partir de 2023).</v>
      </c>
      <c r="J57" s="30" t="str">
        <f>IF(Projects[[#This Row],[Link]]="","",Projects[[#This Row],[Link]])</f>
        <v>https://rm.coe.int/internal-system/4880299b55</v>
      </c>
      <c r="K57" s="30" t="str">
        <f>IF(Projects[[#This Row],[Link1]]="","",Projects[[#This Row],[Link1]])</f>
        <v/>
      </c>
      <c r="L57" s="19" t="str">
        <f>_xlfn.XLOOKUP(Projects[[#This Row],[Implemented by]],Table3[Implemented by],Table3[ImplementedFR],"",FALSE)</f>
        <v xml:space="preserve">Publique </v>
      </c>
      <c r="M57" s="19" t="str">
        <f>_xlfn.XLOOKUP(Projects[[#This Row],[Target audience]],Table4[Target audience],Table4[Target audienceFR],"",FALSE)</f>
        <v>Gestion</v>
      </c>
      <c r="N57" s="19" t="str">
        <f>IF(Projects[[#This Row],[Target audience2]]="","",_xlfn.XLOOKUP(Projects[[#This Row],[Target audience2]],Table4[Target audience],Table4[Target audienceFR],"Check",FALSE))</f>
        <v>Juges/greffiers</v>
      </c>
      <c r="O57" s="19" t="str">
        <f>IF(Projects[[#This Row],[Target audience3]]="","",_xlfn.XLOOKUP(Projects[[#This Row],[Target audience3]],Table4[Target audience],Table4[Target audienceFR],"Check",FALSE))</f>
        <v>Usagers des tribunaux (Grand public)</v>
      </c>
      <c r="P57" s="19" t="str">
        <f>IF(Projects[[#This Row],[Target audience4]]="","",_xlfn.XLOOKUP(Projects[[#This Row],[Target audience4]],Table4[Target audience],Table4[Target audienceFR],"Check",FALSE))</f>
        <v/>
      </c>
      <c r="Q57" s="19" t="str">
        <f>IF(Projects[[#This Row],[Target audience5]]="","",_xlfn.XLOOKUP(Projects[[#This Row],[Target audience5]],Table4[Target audience],Table4[Target audienceFR],"Check",FALSE))</f>
        <v/>
      </c>
      <c r="R57" s="19" t="str">
        <f>_xlfn.XLOOKUP(Projects[[#This Row],[Status]],Table8[Status],Table8[StatusFR],"",FALSE)</f>
        <v>Version pilote/bêta</v>
      </c>
      <c r="S57" s="19" t="str">
        <f>_xlfn.XLOOKUP(Projects[[#This Row],[Coverage]],Table7[Coverage],Table7[CoverageFR],"",FALSE)</f>
        <v xml:space="preserve">National </v>
      </c>
      <c r="T57" s="31" t="str">
        <f>IF(Projects[[#This Row],[To publish]]="","",Projects[[#This Row],[To publish]])</f>
        <v>Batch 3</v>
      </c>
    </row>
    <row r="58" spans="1:20" ht="105" x14ac:dyDescent="0.25">
      <c r="A58" s="19">
        <f>Projects[[#This Row],[NR]]</f>
        <v>85</v>
      </c>
      <c r="B58" s="19" t="str">
        <f>IF(Projects[[#This Row],[Title]]="","",Projects[[#This Row],[Title]])</f>
        <v>OLGA - Oberlandesgerichtsassistent / Regional Court Assistant</v>
      </c>
      <c r="C58" s="19" t="str">
        <f>IF(Projects[[#This Row],[AI Relevance]]="","",Projects[[#This Row],[AI Relevance]])</f>
        <v>AI</v>
      </c>
      <c r="D58" s="19" t="str">
        <f>_xlfn.XLOOKUP(Projects[[#This Row],[Area1]],Table1[Area],Table1[FRArea],"Check",FALSE)</f>
        <v>4 - Aide à la décision</v>
      </c>
      <c r="E58" s="19" t="str">
        <f>IF(Projects[[#This Row],[Area2]]="","",_xlfn.XLOOKUP(Projects[[#This Row],[Area2]],Table1[Area],Table1[FRArea],"Check",FALSE))</f>
        <v>1 - Recherche documentaire</v>
      </c>
      <c r="F58" s="19">
        <f>IF(Projects[[#This Row],[Year]]="","",Projects[[#This Row],[Year]])</f>
        <v>2022</v>
      </c>
      <c r="G58" s="19" t="str">
        <f>_xlfn.XLOOKUP(Projects[[#This Row],[Country]],Table2[Country],Table2[Pays],"Check",FALSE)</f>
        <v>Allemagne</v>
      </c>
      <c r="H58" s="19" t="str">
        <f>IF(Projects[[#This Row],[Description]]="","",Projects[[#This Row],[Description]])</f>
        <v xml:space="preserve">The AI based system helps to analyse and classify applications according to the facts. As of October 2022, there are currently more than 13,000 diesel cases pending at the Higher Regional Court (concerning false exhaust emissions values). According to the Ministry, the complaints are often more than 100-pages long. </v>
      </c>
      <c r="I58" s="29" t="str">
        <f>IF(Projects[[#This Row],[DescriptionFR]]="","",Projects[[#This Row],[DescriptionFR]])</f>
        <v>Le système basé sur l'IA aide à analyser et à classer les demandes en fonction des faits. En octobre 2022, plus de 13 000 affaires relatives au diesel étaient pendantes devant le tribunal régional supérieur (concernant de fausses valeurs d'émissions de gaz d'échappement). Selon le ministère, les plaintes font souvent plus de 100 pages.</v>
      </c>
      <c r="J58" s="30" t="str">
        <f>IF(Projects[[#This Row],[Link]]="","",Projects[[#This Row],[Link]])</f>
        <v>https://www.swr.de/swraktuell/baden-wuerttemberg/stuttgart/olg-stuttgart-mit-ki-gegen-flut-von-dieselklagen-100.html</v>
      </c>
      <c r="K58" s="30" t="str">
        <f>IF(Projects[[#This Row],[Link1]]="","",Projects[[#This Row],[Link1]])</f>
        <v/>
      </c>
      <c r="L58" s="19" t="str">
        <f>_xlfn.XLOOKUP(Projects[[#This Row],[Implemented by]],Table3[Implemented by],Table3[ImplementedFR],"",FALSE)</f>
        <v xml:space="preserve">Publique </v>
      </c>
      <c r="M58" s="19" t="str">
        <f>_xlfn.XLOOKUP(Projects[[#This Row],[Target audience]],Table4[Target audience],Table4[Target audienceFR],"",FALSE)</f>
        <v>Juges/greffiers</v>
      </c>
      <c r="N58" s="19" t="str">
        <f>IF(Projects[[#This Row],[Target audience2]]="","",_xlfn.XLOOKUP(Projects[[#This Row],[Target audience2]],Table4[Target audience],Table4[Target audienceFR],"Check",FALSE))</f>
        <v>Gestion</v>
      </c>
      <c r="O58" s="19" t="str">
        <f>IF(Projects[[#This Row],[Target audience3]]="","",_xlfn.XLOOKUP(Projects[[#This Row],[Target audience3]],Table4[Target audience],Table4[Target audienceFR],"Check",FALSE))</f>
        <v/>
      </c>
      <c r="P58" s="19" t="str">
        <f>IF(Projects[[#This Row],[Target audience4]]="","",_xlfn.XLOOKUP(Projects[[#This Row],[Target audience4]],Table4[Target audience],Table4[Target audienceFR],"Check",FALSE))</f>
        <v/>
      </c>
      <c r="Q58" s="19" t="str">
        <f>IF(Projects[[#This Row],[Target audience5]]="","",_xlfn.XLOOKUP(Projects[[#This Row],[Target audience5]],Table4[Target audience],Table4[Target audienceFR],"Check",FALSE))</f>
        <v/>
      </c>
      <c r="R58" s="19" t="str">
        <f>_xlfn.XLOOKUP(Projects[[#This Row],[Status]],Table8[Status],Table8[StatusFR],"",FALSE)</f>
        <v>Fonctionnel</v>
      </c>
      <c r="S58" s="19" t="str">
        <f>_xlfn.XLOOKUP(Projects[[#This Row],[Coverage]],Table7[Coverage],Table7[CoverageFR],"",FALSE)</f>
        <v>Spécifique au tribunal</v>
      </c>
      <c r="T58" s="31" t="str">
        <f>IF(Projects[[#This Row],[To publish]]="","",Projects[[#This Row],[To publish]])</f>
        <v>Batch 3</v>
      </c>
    </row>
    <row r="59" spans="1:20" ht="180" x14ac:dyDescent="0.25">
      <c r="A59" s="19">
        <f>Projects[[#This Row],[NR]]</f>
        <v>86</v>
      </c>
      <c r="B59" s="19" t="str">
        <f>IF(Projects[[#This Row],[Title]]="","",Projects[[#This Row],[Title]])</f>
        <v>AI for entity identification</v>
      </c>
      <c r="C59" s="19" t="str">
        <f>IF(Projects[[#This Row],[AI Relevance]]="","",Projects[[#This Row],[AI Relevance]])</f>
        <v>AI</v>
      </c>
      <c r="D59" s="19" t="str">
        <f>_xlfn.XLOOKUP(Projects[[#This Row],[Area1]],Table1[Area],Table1[FRArea],"Check",FALSE)</f>
        <v>4 - Aide à la décision</v>
      </c>
      <c r="E59" s="19" t="str">
        <f>IF(Projects[[#This Row],[Area2]]="","",_xlfn.XLOOKUP(Projects[[#This Row],[Area2]],Table1[Area],Table1[FRArea],"Check",FALSE))</f>
        <v>1 - Recherche documentaire</v>
      </c>
      <c r="F59" s="19">
        <f>IF(Projects[[#This Row],[Year]]="","",Projects[[#This Row],[Year]])</f>
        <v>2023</v>
      </c>
      <c r="G59" s="19" t="str">
        <f>_xlfn.XLOOKUP(Projects[[#This Row],[Country]],Table2[Country],Table2[Pays],"Check",FALSE)</f>
        <v>Autriche</v>
      </c>
      <c r="H59" s="19" t="str">
        <f>IF(Projects[[#This Row],[Description]]="","",Projects[[#This Row],[Description]])</f>
        <v>Identification of personal information and other relevant data within a document and categorising it in pre-definied categories (persons, adresses, etc.). Furthermore identified entities are linked together when appropriate (adress, phone number of a person are linked to that person). The output of this service will be presented to the user in the file management system via attached labels directly on the PDF document and in the sidebar for further actions (such as, blanking all linked sensitive personal information).</v>
      </c>
      <c r="I59" s="29" t="str">
        <f>IF(Projects[[#This Row],[DescriptionFR]]="","",Projects[[#This Row],[DescriptionFR]])</f>
        <v>Identification des informations personnelles et autres données pertinentes dans un document et classement dans des catégories prédéfinies (personnes, adresses, etc.). En outre, les entités identifiées sont reliées entre elles le cas échéant (l'adresse et le numéro de téléphone d'une personne sont liés à cette personne). Le résultat de ce service sera présenté à l'utilisateur dans le système de gestion des fichiers par le biais d'étiquettes attachées directement sur le document PDF et dans le panneau latéral pour d'autres actions (telles que l'effacement de toutes les informations sensibles liées à une personne).</v>
      </c>
      <c r="J59" s="30" t="str">
        <f>IF(Projects[[#This Row],[Link]]="","",Projects[[#This Row],[Link]])</f>
        <v>https://rm.coe.int/internal-system/4880299b55</v>
      </c>
      <c r="K59" s="30" t="str">
        <f>IF(Projects[[#This Row],[Link1]]="","",Projects[[#This Row],[Link1]])</f>
        <v/>
      </c>
      <c r="L59" s="19" t="str">
        <f>_xlfn.XLOOKUP(Projects[[#This Row],[Implemented by]],Table3[Implemented by],Table3[ImplementedFR],"",FALSE)</f>
        <v xml:space="preserve">Publique </v>
      </c>
      <c r="M59" s="19" t="str">
        <f>_xlfn.XLOOKUP(Projects[[#This Row],[Target audience]],Table4[Target audience],Table4[Target audienceFR],"",FALSE)</f>
        <v>Juges/greffiers</v>
      </c>
      <c r="N59" s="19" t="str">
        <f>IF(Projects[[#This Row],[Target audience2]]="","",_xlfn.XLOOKUP(Projects[[#This Row],[Target audience2]],Table4[Target audience],Table4[Target audienceFR],"Check",FALSE))</f>
        <v>Gestion</v>
      </c>
      <c r="O59" s="19" t="str">
        <f>IF(Projects[[#This Row],[Target audience3]]="","",_xlfn.XLOOKUP(Projects[[#This Row],[Target audience3]],Table4[Target audience],Table4[Target audienceFR],"Check",FALSE))</f>
        <v>Usagers des tribunaux (Grand public)</v>
      </c>
      <c r="P59" s="19" t="str">
        <f>IF(Projects[[#This Row],[Target audience4]]="","",_xlfn.XLOOKUP(Projects[[#This Row],[Target audience4]],Table4[Target audience],Table4[Target audienceFR],"Check",FALSE))</f>
        <v/>
      </c>
      <c r="Q59" s="19" t="str">
        <f>IF(Projects[[#This Row],[Target audience5]]="","",_xlfn.XLOOKUP(Projects[[#This Row],[Target audience5]],Table4[Target audience],Table4[Target audienceFR],"Check",FALSE))</f>
        <v/>
      </c>
      <c r="R59" s="19" t="str">
        <f>_xlfn.XLOOKUP(Projects[[#This Row],[Status]],Table8[Status],Table8[StatusFR],"",FALSE)</f>
        <v>Fonctionnel</v>
      </c>
      <c r="S59" s="19" t="str">
        <f>_xlfn.XLOOKUP(Projects[[#This Row],[Coverage]],Table7[Coverage],Table7[CoverageFR],"",FALSE)</f>
        <v xml:space="preserve">National </v>
      </c>
      <c r="T59" s="31" t="str">
        <f>IF(Projects[[#This Row],[To publish]]="","",Projects[[#This Row],[To publish]])</f>
        <v>Batch 3</v>
      </c>
    </row>
    <row r="60" spans="1:20" ht="60" x14ac:dyDescent="0.25">
      <c r="A60" s="19">
        <f>Projects[[#This Row],[NR]]</f>
        <v>87</v>
      </c>
      <c r="B60" s="19" t="str">
        <f>IF(Projects[[#This Row],[Title]]="","",Projects[[#This Row],[Title]])</f>
        <v>ChatGPT</v>
      </c>
      <c r="C60" s="19" t="str">
        <f>IF(Projects[[#This Row],[AI Relevance]]="","",Projects[[#This Row],[AI Relevance]])</f>
        <v>AI</v>
      </c>
      <c r="D60" s="19" t="str">
        <f>_xlfn.XLOOKUP(Projects[[#This Row],[Area1]],Table1[Area],Table1[FRArea],"Check",FALSE)</f>
        <v>8 - Services d'information/assistance</v>
      </c>
      <c r="E60" s="19" t="str">
        <f>IF(Projects[[#This Row],[Area2]]="","",_xlfn.XLOOKUP(Projects[[#This Row],[Area2]],Table1[Area],Table1[FRArea],"Check",FALSE))</f>
        <v>4 - Aide à la décision</v>
      </c>
      <c r="F60" s="19">
        <f>IF(Projects[[#This Row],[Year]]="","",Projects[[#This Row],[Year]])</f>
        <v>2023</v>
      </c>
      <c r="G60" s="19" t="str">
        <f>_xlfn.XLOOKUP(Projects[[#This Row],[Country]],Table2[Country],Table2[Pays],"Check",FALSE)</f>
        <v>Etats-Unis</v>
      </c>
      <c r="H60" s="19" t="str">
        <f>IF(Projects[[#This Row],[Description]]="","",Projects[[#This Row],[Description]])</f>
        <v>ChatGPT is a publicly accessible generative AI system that has been used by legal professionals in their work (even though, it is not specifically designed for the legal sector).</v>
      </c>
      <c r="I60" s="29" t="str">
        <f>IF(Projects[[#This Row],[DescriptionFR]]="","",Projects[[#This Row],[DescriptionFR]])</f>
        <v>Chat GPT est un système d'IA générative accessible au public qui a été utilisé par des professionnels du droit dans le cadre de leur travail (même s'il n'est pas spécifiquement conçu pour le secteur juridique).</v>
      </c>
      <c r="J60" s="30" t="str">
        <f>IF(Projects[[#This Row],[Link]]="","",Projects[[#This Row],[Link]])</f>
        <v>https://openai.com/blog/chatgpt</v>
      </c>
      <c r="K60" s="30" t="str">
        <f>IF(Projects[[#This Row],[Link1]]="","",Projects[[#This Row],[Link1]])</f>
        <v/>
      </c>
      <c r="L60" s="19" t="str">
        <f>_xlfn.XLOOKUP(Projects[[#This Row],[Implemented by]],Table3[Implemented by],Table3[ImplementedFR],"",FALSE)</f>
        <v>Privé</v>
      </c>
      <c r="M60" s="19" t="str">
        <f>_xlfn.XLOOKUP(Projects[[#This Row],[Target audience]],Table4[Target audience],Table4[Target audienceFR],"",FALSE)</f>
        <v>Usagers des tribunaux (Grand public)</v>
      </c>
      <c r="N60" s="19" t="str">
        <f>IF(Projects[[#This Row],[Target audience2]]="","",_xlfn.XLOOKUP(Projects[[#This Row],[Target audience2]],Table4[Target audience],Table4[Target audienceFR],"Check",FALSE))</f>
        <v>Avocats</v>
      </c>
      <c r="O60" s="19" t="str">
        <f>IF(Projects[[#This Row],[Target audience3]]="","",_xlfn.XLOOKUP(Projects[[#This Row],[Target audience3]],Table4[Target audience],Table4[Target audienceFR],"Check",FALSE))</f>
        <v>Juges/greffiers</v>
      </c>
      <c r="P60" s="19" t="str">
        <f>IF(Projects[[#This Row],[Target audience4]]="","",_xlfn.XLOOKUP(Projects[[#This Row],[Target audience4]],Table4[Target audience],Table4[Target audienceFR],"Check",FALSE))</f>
        <v/>
      </c>
      <c r="Q60" s="19" t="str">
        <f>IF(Projects[[#This Row],[Target audience5]]="","",_xlfn.XLOOKUP(Projects[[#This Row],[Target audience5]],Table4[Target audience],Table4[Target audienceFR],"Check",FALSE))</f>
        <v/>
      </c>
      <c r="R60" s="19" t="str">
        <f>_xlfn.XLOOKUP(Projects[[#This Row],[Status]],Table8[Status],Table8[StatusFR],"",FALSE)</f>
        <v>Fonctionnel</v>
      </c>
      <c r="S60" s="19" t="str">
        <f>_xlfn.XLOOKUP(Projects[[#This Row],[Coverage]],Table7[Coverage],Table7[CoverageFR],"",FALSE)</f>
        <v>International</v>
      </c>
      <c r="T60" s="31" t="str">
        <f>IF(Projects[[#This Row],[To publish]]="","",Projects[[#This Row],[To publish]])</f>
        <v>Batch 3</v>
      </c>
    </row>
    <row r="61" spans="1:20" ht="75" x14ac:dyDescent="0.25">
      <c r="A61" s="19">
        <f>Projects[[#This Row],[NR]]</f>
        <v>88</v>
      </c>
      <c r="B61" s="19" t="str">
        <f>IF(Projects[[#This Row],[Title]]="","",Projects[[#This Row],[Title]])</f>
        <v>Codefy</v>
      </c>
      <c r="C61" s="19" t="str">
        <f>IF(Projects[[#This Row],[AI Relevance]]="","",Projects[[#This Row],[AI Relevance]])</f>
        <v>AI</v>
      </c>
      <c r="D61" s="19" t="str">
        <f>_xlfn.XLOOKUP(Projects[[#This Row],[Area1]],Table1[Area],Table1[FRArea],"Check",FALSE)</f>
        <v>6 - Triage, attribution et automatisation des flux de travail</v>
      </c>
      <c r="E61" s="19" t="str">
        <f>IF(Projects[[#This Row],[Area2]]="","",_xlfn.XLOOKUP(Projects[[#This Row],[Area2]],Table1[Area],Table1[FRArea],"Check",FALSE))</f>
        <v>1 - Recherche documentaire</v>
      </c>
      <c r="F61" s="19">
        <f>IF(Projects[[#This Row],[Year]]="","",Projects[[#This Row],[Year]])</f>
        <v>2022</v>
      </c>
      <c r="G61" s="19" t="str">
        <f>_xlfn.XLOOKUP(Projects[[#This Row],[Country]],Table2[Country],Table2[Pays],"Check",FALSE)</f>
        <v>Allemagne</v>
      </c>
      <c r="H61" s="19" t="str">
        <f>IF(Projects[[#This Row],[Description]]="","",Projects[[#This Row],[Description]])</f>
        <v>AI-supported structuring of documents - in particular lawyers' briefs - and  assisting in recording, organising and assessing these materials. Used by the Landgericht Hechingen.</v>
      </c>
      <c r="I61" s="29" t="str">
        <f>IF(Projects[[#This Row],[DescriptionFR]]="","",Projects[[#This Row],[DescriptionFR]])</f>
        <v>Structuration de documents - en particulier de mémoires d'avocats - assistée par l'IA et aide à l'enregistrement, à l'organisation et à l'évaluation du matériel. Utilisé au Landgericht Hechingen.</v>
      </c>
      <c r="J61" s="30" t="str">
        <f>IF(Projects[[#This Row],[Link]]="","",Projects[[#This Row],[Link]])</f>
        <v>https://www.baden-wuerttemberg.de/de/service/presse/pressemitteilung/pid/kuenstliche-intelligenz-in-der-justiz/</v>
      </c>
      <c r="K61" s="30" t="str">
        <f>IF(Projects[[#This Row],[Link1]]="","",Projects[[#This Row],[Link1]])</f>
        <v/>
      </c>
      <c r="L61" s="19" t="str">
        <f>_xlfn.XLOOKUP(Projects[[#This Row],[Implemented by]],Table3[Implemented by],Table3[ImplementedFR],"",FALSE)</f>
        <v xml:space="preserve">Publique </v>
      </c>
      <c r="M61" s="19" t="str">
        <f>_xlfn.XLOOKUP(Projects[[#This Row],[Target audience]],Table4[Target audience],Table4[Target audienceFR],"",FALSE)</f>
        <v>Juges/greffiers</v>
      </c>
      <c r="N61" s="19" t="str">
        <f>IF(Projects[[#This Row],[Target audience2]]="","",_xlfn.XLOOKUP(Projects[[#This Row],[Target audience2]],Table4[Target audience],Table4[Target audienceFR],"Check",FALSE))</f>
        <v>Gestion</v>
      </c>
      <c r="O61" s="19" t="str">
        <f>IF(Projects[[#This Row],[Target audience3]]="","",_xlfn.XLOOKUP(Projects[[#This Row],[Target audience3]],Table4[Target audience],Table4[Target audienceFR],"Check",FALSE))</f>
        <v>Avocats</v>
      </c>
      <c r="P61" s="19" t="str">
        <f>IF(Projects[[#This Row],[Target audience4]]="","",_xlfn.XLOOKUP(Projects[[#This Row],[Target audience4]],Table4[Target audience],Table4[Target audienceFR],"Check",FALSE))</f>
        <v/>
      </c>
      <c r="Q61" s="19" t="str">
        <f>IF(Projects[[#This Row],[Target audience5]]="","",_xlfn.XLOOKUP(Projects[[#This Row],[Target audience5]],Table4[Target audience],Table4[Target audienceFR],"Check",FALSE))</f>
        <v/>
      </c>
      <c r="R61" s="19" t="str">
        <f>_xlfn.XLOOKUP(Projects[[#This Row],[Status]],Table8[Status],Table8[StatusFR],"",FALSE)</f>
        <v>Version pilote/bêta</v>
      </c>
      <c r="S61" s="19" t="str">
        <f>_xlfn.XLOOKUP(Projects[[#This Row],[Coverage]],Table7[Coverage],Table7[CoverageFR],"",FALSE)</f>
        <v>Spécifique au tribunal</v>
      </c>
      <c r="T61" s="31" t="str">
        <f>IF(Projects[[#This Row],[To publish]]="","",Projects[[#This Row],[To publish]])</f>
        <v>Batch 3</v>
      </c>
    </row>
    <row r="62" spans="1:20" ht="75" x14ac:dyDescent="0.25">
      <c r="A62" s="19">
        <f>Projects[[#This Row],[NR]]</f>
        <v>89</v>
      </c>
      <c r="B62" s="19" t="str">
        <f>IF(Projects[[#This Row],[Title]]="","",Projects[[#This Row],[Title]])</f>
        <v>Legal Analytics</v>
      </c>
      <c r="C62" s="19" t="str">
        <f>IF(Projects[[#This Row],[AI Relevance]]="","",Projects[[#This Row],[AI Relevance]])</f>
        <v>AI</v>
      </c>
      <c r="D62" s="19" t="str">
        <f>_xlfn.XLOOKUP(Projects[[#This Row],[Area1]],Table1[Area],Table1[FRArea],"Check",FALSE)</f>
        <v>5 - Anonymisation et pseudonymisation</v>
      </c>
      <c r="E62" s="19" t="str">
        <f>IF(Projects[[#This Row],[Area2]]="","",_xlfn.XLOOKUP(Projects[[#This Row],[Area2]],Table1[Area],Table1[FRArea],"Check",FALSE))</f>
        <v/>
      </c>
      <c r="F62" s="19">
        <f>IF(Projects[[#This Row],[Year]]="","",Projects[[#This Row],[Year]])</f>
        <v>2020</v>
      </c>
      <c r="G62" s="19" t="str">
        <f>_xlfn.XLOOKUP(Projects[[#This Row],[Country]],Table2[Country],Table2[Pays],"Check",FALSE)</f>
        <v>Allemagne</v>
      </c>
      <c r="H62" s="19" t="str">
        <f>IF(Projects[[#This Row],[Description]]="","",Projects[[#This Row],[Description]])</f>
        <v>Data protection compliant automated anonymization of judicial decisions.</v>
      </c>
      <c r="I62" s="29" t="str">
        <f>IF(Projects[[#This Row],[DescriptionFR]]="","",Projects[[#This Row],[DescriptionFR]])</f>
        <v>Anonymisation automatisée des décisions judiciaires dans le respect de la protection des données.</v>
      </c>
      <c r="J62" s="30" t="str">
        <f>IF(Projects[[#This Row],[Link]]="","",Projects[[#This Row],[Link]])</f>
        <v>https://www.bundestag.de/resource/blob/832204/6813d064fab52e9b6d54cbbf5319cea3/WD-7-017-21-pdf-data.pdf</v>
      </c>
      <c r="K62" s="30" t="str">
        <f>IF(Projects[[#This Row],[Link1]]="","",Projects[[#This Row],[Link1]])</f>
        <v/>
      </c>
      <c r="L62" s="19" t="str">
        <f>_xlfn.XLOOKUP(Projects[[#This Row],[Implemented by]],Table3[Implemented by],Table3[ImplementedFR],"",FALSE)</f>
        <v xml:space="preserve">Publique </v>
      </c>
      <c r="M62" s="19" t="str">
        <f>_xlfn.XLOOKUP(Projects[[#This Row],[Target audience]],Table4[Target audience],Table4[Target audienceFR],"",FALSE)</f>
        <v>Gestion</v>
      </c>
      <c r="N62" s="19" t="str">
        <f>IF(Projects[[#This Row],[Target audience2]]="","",_xlfn.XLOOKUP(Projects[[#This Row],[Target audience2]],Table4[Target audience],Table4[Target audienceFR],"Check",FALSE))</f>
        <v>Juges/greffiers</v>
      </c>
      <c r="O62" s="19" t="str">
        <f>IF(Projects[[#This Row],[Target audience3]]="","",_xlfn.XLOOKUP(Projects[[#This Row],[Target audience3]],Table4[Target audience],Table4[Target audienceFR],"Check",FALSE))</f>
        <v>Usagers des tribunaux (Grand public)</v>
      </c>
      <c r="P62" s="19" t="str">
        <f>IF(Projects[[#This Row],[Target audience4]]="","",_xlfn.XLOOKUP(Projects[[#This Row],[Target audience4]],Table4[Target audience],Table4[Target audienceFR],"Check",FALSE))</f>
        <v/>
      </c>
      <c r="Q62" s="19" t="str">
        <f>IF(Projects[[#This Row],[Target audience5]]="","",_xlfn.XLOOKUP(Projects[[#This Row],[Target audience5]],Table4[Target audience],Table4[Target audienceFR],"Check",FALSE))</f>
        <v/>
      </c>
      <c r="R62" s="19" t="str">
        <f>_xlfn.XLOOKUP(Projects[[#This Row],[Status]],Table8[Status],Table8[StatusFR],"",FALSE)</f>
        <v>Version pilote/bêta</v>
      </c>
      <c r="S62" s="19" t="str">
        <f>_xlfn.XLOOKUP(Projects[[#This Row],[Coverage]],Table7[Coverage],Table7[CoverageFR],"",FALSE)</f>
        <v>Spécifique au tribunal</v>
      </c>
      <c r="T62" s="31" t="str">
        <f>IF(Projects[[#This Row],[To publish]]="","",Projects[[#This Row],[To publish]])</f>
        <v>Batch 3</v>
      </c>
    </row>
    <row r="63" spans="1:20" ht="75" x14ac:dyDescent="0.25">
      <c r="A63" s="19">
        <f>Projects[[#This Row],[NR]]</f>
        <v>91</v>
      </c>
      <c r="B63" s="19" t="str">
        <f>IF(Projects[[#This Row],[Title]]="","",Projects[[#This Row],[Title]])</f>
        <v>Smart  (Erfassung von bei Gericht eingereichten elektronischen Dokumenten) / Recording of electronic documents filed with the court</v>
      </c>
      <c r="C63" s="19" t="str">
        <f>IF(Projects[[#This Row],[AI Relevance]]="","",Projects[[#This Row],[AI Relevance]])</f>
        <v>AI</v>
      </c>
      <c r="D63" s="19" t="str">
        <f>_xlfn.XLOOKUP(Projects[[#This Row],[Area1]],Table1[Area],Table1[FRArea],"Check",FALSE)</f>
        <v>6 - Triage, attribution et automatisation des flux de travail</v>
      </c>
      <c r="E63" s="19" t="str">
        <f>IF(Projects[[#This Row],[Area2]]="","",_xlfn.XLOOKUP(Projects[[#This Row],[Area2]],Table1[Area],Table1[FRArea],"Check",FALSE))</f>
        <v/>
      </c>
      <c r="F63" s="19">
        <f>IF(Projects[[#This Row],[Year]]="","",Projects[[#This Row],[Year]])</f>
        <v>2020</v>
      </c>
      <c r="G63" s="19" t="str">
        <f>_xlfn.XLOOKUP(Projects[[#This Row],[Country]],Table2[Country],Table2[Pays],"Check",FALSE)</f>
        <v>Allemagne</v>
      </c>
      <c r="H63" s="19" t="str">
        <f>IF(Projects[[#This Row],[Description]]="","",Projects[[#This Row],[Description]])</f>
        <v>Automated reading of legally relevant information from electronic documents. Recording of electronic documents filed with the court.</v>
      </c>
      <c r="I63" s="29" t="str">
        <f>IF(Projects[[#This Row],[DescriptionFR]]="","",Projects[[#This Row],[DescriptionFR]])</f>
        <v>Lecture automatisée d'informations juridiquement pertinentes à partir de documents électroniques. Enregistrement des documents électroniques déposés auprès du tribunal.</v>
      </c>
      <c r="J63" s="30" t="str">
        <f>IF(Projects[[#This Row],[Link]]="","",Projects[[#This Row],[Link]])</f>
        <v>https://www.bundestag.de/resource/blob/832204/6813d064fab52e9b6d54cbbf5319cea3/WD-7-017-21-pdf-data.pdf</v>
      </c>
      <c r="K63" s="30" t="str">
        <f>IF(Projects[[#This Row],[Link1]]="","",Projects[[#This Row],[Link1]])</f>
        <v/>
      </c>
      <c r="L63" s="19" t="str">
        <f>_xlfn.XLOOKUP(Projects[[#This Row],[Implemented by]],Table3[Implemented by],Table3[ImplementedFR],"",FALSE)</f>
        <v xml:space="preserve">Publique </v>
      </c>
      <c r="M63" s="19" t="str">
        <f>_xlfn.XLOOKUP(Projects[[#This Row],[Target audience]],Table4[Target audience],Table4[Target audienceFR],"",FALSE)</f>
        <v>Juges/greffiers</v>
      </c>
      <c r="N63" s="19" t="str">
        <f>IF(Projects[[#This Row],[Target audience2]]="","",_xlfn.XLOOKUP(Projects[[#This Row],[Target audience2]],Table4[Target audience],Table4[Target audienceFR],"Check",FALSE))</f>
        <v>Gestion</v>
      </c>
      <c r="O63" s="19" t="str">
        <f>IF(Projects[[#This Row],[Target audience3]]="","",_xlfn.XLOOKUP(Projects[[#This Row],[Target audience3]],Table4[Target audience],Table4[Target audienceFR],"Check",FALSE))</f>
        <v/>
      </c>
      <c r="P63" s="19" t="str">
        <f>IF(Projects[[#This Row],[Target audience4]]="","",_xlfn.XLOOKUP(Projects[[#This Row],[Target audience4]],Table4[Target audience],Table4[Target audienceFR],"Check",FALSE))</f>
        <v/>
      </c>
      <c r="Q63" s="19" t="str">
        <f>IF(Projects[[#This Row],[Target audience5]]="","",_xlfn.XLOOKUP(Projects[[#This Row],[Target audience5]],Table4[Target audience],Table4[Target audienceFR],"Check",FALSE))</f>
        <v/>
      </c>
      <c r="R63" s="19" t="str">
        <f>_xlfn.XLOOKUP(Projects[[#This Row],[Status]],Table8[Status],Table8[StatusFR],"",FALSE)</f>
        <v>Version pilote/bêta</v>
      </c>
      <c r="S63" s="19" t="str">
        <f>_xlfn.XLOOKUP(Projects[[#This Row],[Coverage]],Table7[Coverage],Table7[CoverageFR],"",FALSE)</f>
        <v>Spécifique au tribunal</v>
      </c>
      <c r="T63" s="31" t="str">
        <f>IF(Projects[[#This Row],[To publish]]="","",Projects[[#This Row],[To publish]])</f>
        <v>Batch 3</v>
      </c>
    </row>
    <row r="64" spans="1:20" ht="75" x14ac:dyDescent="0.25">
      <c r="A64" s="19">
        <f>Projects[[#This Row],[NR]]</f>
        <v>92</v>
      </c>
      <c r="B64" s="19" t="str">
        <f>IF(Projects[[#This Row],[Title]]="","",Projects[[#This Row],[Title]])</f>
        <v xml:space="preserve">Video surveillance for the prison system / Videoüberwachung für den Justizvollzug </v>
      </c>
      <c r="C64" s="19" t="str">
        <f>IF(Projects[[#This Row],[AI Relevance]]="","",Projects[[#This Row],[AI Relevance]])</f>
        <v>AI</v>
      </c>
      <c r="D64" s="19" t="str">
        <f>_xlfn.XLOOKUP(Projects[[#This Row],[Area1]],Table1[Area],Table1[FRArea],"Check",FALSE)</f>
        <v>4 - Aide à la décision</v>
      </c>
      <c r="E64" s="19" t="str">
        <f>IF(Projects[[#This Row],[Area2]]="","",_xlfn.XLOOKUP(Projects[[#This Row],[Area2]],Table1[Area],Table1[FRArea],"Check",FALSE))</f>
        <v>1 - Recherche documentaire</v>
      </c>
      <c r="F64" s="19">
        <f>IF(Projects[[#This Row],[Year]]="","",Projects[[#This Row],[Year]])</f>
        <v>2019</v>
      </c>
      <c r="G64" s="19" t="str">
        <f>_xlfn.XLOOKUP(Projects[[#This Row],[Country]],Table2[Country],Table2[Pays],"Check",FALSE)</f>
        <v>Allemagne</v>
      </c>
      <c r="H64" s="19" t="str">
        <f>IF(Projects[[#This Row],[Description]]="","",Projects[[#This Row],[Description]])</f>
        <v>Video surveillance for the prison system. The programme is designed to automatically detect situations that indicate a suicide attempt by inmates and alert correctional officers in time to enable rescue measures.</v>
      </c>
      <c r="I64" s="29" t="str">
        <f>IF(Projects[[#This Row],[DescriptionFR]]="","",Projects[[#This Row],[DescriptionFR]])</f>
        <v>Vidéosurveillance pour le système pénitentiaire. Le programme est conçu pour détecter automatiquement les situations indiquant une tentative de suicide de la part des détenus et alerter les agents correctionnels à temps pour permettre des mesures de sauvetage.</v>
      </c>
      <c r="J64" s="30" t="str">
        <f>IF(Projects[[#This Row],[Link]]="","",Projects[[#This Row],[Link]])</f>
        <v>https://www.bundestag.de/resource/blob/832204/6813d064fab52e9b6d54cbbf5319cea3/WD-7-017-21-pdf-data.pdf</v>
      </c>
      <c r="K64" s="30" t="str">
        <f>IF(Projects[[#This Row],[Link1]]="","",Projects[[#This Row],[Link1]])</f>
        <v/>
      </c>
      <c r="L64" s="19" t="str">
        <f>_xlfn.XLOOKUP(Projects[[#This Row],[Implemented by]],Table3[Implemented by],Table3[ImplementedFR],"",FALSE)</f>
        <v xml:space="preserve">Publique </v>
      </c>
      <c r="M64" s="19" t="str">
        <f>_xlfn.XLOOKUP(Projects[[#This Row],[Target audience]],Table4[Target audience],Table4[Target audienceFR],"",FALSE)</f>
        <v>Usagers des tribunaux (Grand public)</v>
      </c>
      <c r="N64" s="19" t="str">
        <f>IF(Projects[[#This Row],[Target audience2]]="","",_xlfn.XLOOKUP(Projects[[#This Row],[Target audience2]],Table4[Target audience],Table4[Target audienceFR],"Check",FALSE))</f>
        <v/>
      </c>
      <c r="O64" s="19" t="str">
        <f>IF(Projects[[#This Row],[Target audience3]]="","",_xlfn.XLOOKUP(Projects[[#This Row],[Target audience3]],Table4[Target audience],Table4[Target audienceFR],"Check",FALSE))</f>
        <v/>
      </c>
      <c r="P64" s="19" t="str">
        <f>IF(Projects[[#This Row],[Target audience4]]="","",_xlfn.XLOOKUP(Projects[[#This Row],[Target audience4]],Table4[Target audience],Table4[Target audienceFR],"Check",FALSE))</f>
        <v/>
      </c>
      <c r="Q64" s="19" t="str">
        <f>IF(Projects[[#This Row],[Target audience5]]="","",_xlfn.XLOOKUP(Projects[[#This Row],[Target audience5]],Table4[Target audience],Table4[Target audienceFR],"Check",FALSE))</f>
        <v/>
      </c>
      <c r="R64" s="19" t="str">
        <f>_xlfn.XLOOKUP(Projects[[#This Row],[Status]],Table8[Status],Table8[StatusFR],"",FALSE)</f>
        <v>Version pilote/bêta</v>
      </c>
      <c r="S64" s="19" t="str">
        <f>_xlfn.XLOOKUP(Projects[[#This Row],[Coverage]],Table7[Coverage],Table7[CoverageFR],"",FALSE)</f>
        <v>Spécifique au tribunal</v>
      </c>
      <c r="T64" s="31" t="str">
        <f>IF(Projects[[#This Row],[To publish]]="","",Projects[[#This Row],[To publish]])</f>
        <v>Batch 3</v>
      </c>
    </row>
    <row r="65" spans="1:20" ht="270" x14ac:dyDescent="0.25">
      <c r="A65" s="19">
        <f>Projects[[#This Row],[NR]]</f>
        <v>93</v>
      </c>
      <c r="B65" s="19" t="str">
        <f>IF(Projects[[#This Row],[Title]]="","",Projects[[#This Row],[Title]])</f>
        <v>Practical Guide to Justice</v>
      </c>
      <c r="C65" s="19" t="str">
        <f>IF(Projects[[#This Row],[AI Relevance]]="","",Projects[[#This Row],[AI Relevance]])</f>
        <v>AI</v>
      </c>
      <c r="D65" s="19" t="str">
        <f>_xlfn.XLOOKUP(Projects[[#This Row],[Area1]],Table1[Area],Table1[FRArea],"Check",FALSE)</f>
        <v>8 - Services d'information/assistance</v>
      </c>
      <c r="E65" s="19" t="str">
        <f>IF(Projects[[#This Row],[Area2]]="","",_xlfn.XLOOKUP(Projects[[#This Row],[Area2]],Table1[Area],Table1[FRArea],"Check",FALSE))</f>
        <v/>
      </c>
      <c r="F65" s="19">
        <f>IF(Projects[[#This Row],[Year]]="","",Projects[[#This Row],[Year]])</f>
        <v>2023</v>
      </c>
      <c r="G65" s="19" t="str">
        <f>_xlfn.XLOOKUP(Projects[[#This Row],[Country]],Table2[Country],Table2[Pays],"Check",FALSE)</f>
        <v>Portugal</v>
      </c>
      <c r="H65" s="19" t="str">
        <f>IF(Projects[[#This Row],[Description]]="","",Projects[[#This Row],[Description]])</f>
        <v>Development of an advanced language model with machine learning, which informs citizens and businesses about the tools and services that justice provides to respond to their needs.
It is trained from information already made available by the various judicial bodies. Its objective is not to create information, but rather to make available, in a natural conversation, the necessary information to answer the user’s questions. Whether it is a short or long conversation, the Practical Guide to Justice is able to understand the user’s needs and doubts, without, however, having the need to keep any personal information from the user.
The first version of this guide focuses on matters of marriage, divorce and companies 2.0.</v>
      </c>
      <c r="I65" s="29" t="str">
        <f>IF(Projects[[#This Row],[DescriptionFR]]="","",Projects[[#This Row],[DescriptionFR]])</f>
        <v>Développement d'un modèle linguistique avancé avec apprentissage automatique, qui informe les citoyens et les entreprises sur les outils et les services que la justice met à leur disposition pour répondre à leurs demandes.Il sera entraîné à partir des informations déjà mises à disposition par les différents organes de la justice. Son objectif ne sera pas de créer de l'information, mais plutôt de mettre à disposition, dans une conversation naturelle, les informations nécessaires pour répondre aux questions de l'utilisateur. Qu'il s'agisse d'une conversation courte ou longue, le Guide pratique de la Justice sera en mesure de comprendre les besoins et les doutes de l'utilisateur, sans toutefois avoir besoin de conserver les informations personnelles fournies par l'utilisateur. La première version de ce guide se concentrera sur les questions de mariage, de divorce et d'entreprises 2.0.</v>
      </c>
      <c r="J65" s="30" t="str">
        <f>IF(Projects[[#This Row],[Link]]="","",Projects[[#This Row],[Link]])</f>
        <v>https://justica.gov.pt/Servicos/Guia-pratico-da-Justica-Versao-Beta</v>
      </c>
      <c r="K65" s="30" t="str">
        <f>IF(Projects[[#This Row],[Link1]]="","",Projects[[#This Row],[Link1]])</f>
        <v>https://govtech.justica.gov.pt/en/portfolio/practical-guide-to-justice-ongoing/</v>
      </c>
      <c r="L65" s="19" t="str">
        <f>_xlfn.XLOOKUP(Projects[[#This Row],[Implemented by]],Table3[Implemented by],Table3[ImplementedFR],"",FALSE)</f>
        <v xml:space="preserve">Publique </v>
      </c>
      <c r="M65" s="19" t="str">
        <f>_xlfn.XLOOKUP(Projects[[#This Row],[Target audience]],Table4[Target audience],Table4[Target audienceFR],"",FALSE)</f>
        <v>Usagers des tribunaux (Grand public)</v>
      </c>
      <c r="N65" s="19" t="str">
        <f>IF(Projects[[#This Row],[Target audience2]]="","",_xlfn.XLOOKUP(Projects[[#This Row],[Target audience2]],Table4[Target audience],Table4[Target audienceFR],"Check",FALSE))</f>
        <v/>
      </c>
      <c r="O65" s="19" t="str">
        <f>IF(Projects[[#This Row],[Target audience3]]="","",_xlfn.XLOOKUP(Projects[[#This Row],[Target audience3]],Table4[Target audience],Table4[Target audienceFR],"Check",FALSE))</f>
        <v/>
      </c>
      <c r="P65" s="19" t="str">
        <f>IF(Projects[[#This Row],[Target audience4]]="","",_xlfn.XLOOKUP(Projects[[#This Row],[Target audience4]],Table4[Target audience],Table4[Target audienceFR],"Check",FALSE))</f>
        <v/>
      </c>
      <c r="Q65" s="19" t="str">
        <f>IF(Projects[[#This Row],[Target audience5]]="","",_xlfn.XLOOKUP(Projects[[#This Row],[Target audience5]],Table4[Target audience],Table4[Target audienceFR],"Check",FALSE))</f>
        <v/>
      </c>
      <c r="R65" s="19" t="str">
        <f>_xlfn.XLOOKUP(Projects[[#This Row],[Status]],Table8[Status],Table8[StatusFR],"",FALSE)</f>
        <v>Fonctionnel</v>
      </c>
      <c r="S65" s="19" t="str">
        <f>_xlfn.XLOOKUP(Projects[[#This Row],[Coverage]],Table7[Coverage],Table7[CoverageFR],"",FALSE)</f>
        <v xml:space="preserve">National </v>
      </c>
      <c r="T65" s="31" t="str">
        <f>IF(Projects[[#This Row],[To publish]]="","",Projects[[#This Row],[To publish]])</f>
        <v>Batch 4</v>
      </c>
    </row>
    <row r="66" spans="1:20" ht="120" x14ac:dyDescent="0.25">
      <c r="A66" s="19">
        <f>Projects[[#This Row],[NR]]</f>
        <v>94</v>
      </c>
      <c r="B66" s="19" t="str">
        <f>IF(Projects[[#This Row],[Title]]="","",Projects[[#This Row],[Title]])</f>
        <v>Gina/Jury Bot</v>
      </c>
      <c r="C66" s="19" t="str">
        <f>IF(Projects[[#This Row],[AI Relevance]]="","",Projects[[#This Row],[AI Relevance]])</f>
        <v>AI</v>
      </c>
      <c r="D66" s="19" t="str">
        <f>_xlfn.XLOOKUP(Projects[[#This Row],[Area1]],Table1[Area],Table1[FRArea],"Check",FALSE)</f>
        <v>2 - Résolution automatisée des litiges</v>
      </c>
      <c r="E66" s="19" t="str">
        <f>IF(Projects[[#This Row],[Area2]]="","",_xlfn.XLOOKUP(Projects[[#This Row],[Area2]],Table1[Area],Table1[FRArea],"Check",FALSE))</f>
        <v>8 - Services d'information/assistance</v>
      </c>
      <c r="F66" s="19">
        <f>IF(Projects[[#This Row],[Year]]="","",Projects[[#This Row],[Year]])</f>
        <v>2016</v>
      </c>
      <c r="G66" s="19" t="str">
        <f>_xlfn.XLOOKUP(Projects[[#This Row],[Country]],Table2[Country],Table2[Pays],"Check",FALSE)</f>
        <v>Etats-Unis</v>
      </c>
      <c r="H66" s="19" t="str">
        <f>IF(Projects[[#This Row],[Description]]="","",Projects[[#This Row],[Description]])</f>
        <v xml:space="preserve">Gina is an online assistant designed for the Superior Court of Los Angeles County. It assists people with their traffic tickets. The system uses ML translation services, and natural language understanding. It assists more than 5,000 citizens each week and speaks six languages (English, Spanish, Armenian, Chinese, Korean, and Vietnamese). </v>
      </c>
      <c r="I66" s="29" t="str">
        <f>IF(Projects[[#This Row],[DescriptionFR]]="","",Projects[[#This Row],[DescriptionFR]])</f>
        <v xml:space="preserve">Gina est un assistant en ligne conçu pour la Cour supérieure du comté de Los Angeles. Il aide les personnes à régler leurs contraventions. Le système utilise des services de traduction en ligne et la compréhension du langage naturel. Il aide plus de 5 000 citoyens chaque semaine et parle six langues (anglais, espagnol, arménien, chinois, coréen et vietnamien). </v>
      </c>
      <c r="J66" s="30" t="str">
        <f>IF(Projects[[#This Row],[Link]]="","",Projects[[#This Row],[Link]])</f>
        <v>https://ww2.lacourt.org/traffic/ui/trafficOS.aspx?s=1&amp;language=1</v>
      </c>
      <c r="K66" s="30" t="str">
        <f>IF(Projects[[#This Row],[Link1]]="","",Projects[[#This Row],[Link1]])</f>
        <v>https://unesdoc.unesco.org/ark:/48223/pf0000387331</v>
      </c>
      <c r="L66" s="19" t="str">
        <f>_xlfn.XLOOKUP(Projects[[#This Row],[Implemented by]],Table3[Implemented by],Table3[ImplementedFR],"",FALSE)</f>
        <v xml:space="preserve">Publique </v>
      </c>
      <c r="M66" s="19" t="str">
        <f>_xlfn.XLOOKUP(Projects[[#This Row],[Target audience]],Table4[Target audience],Table4[Target audienceFR],"",FALSE)</f>
        <v>Gestion</v>
      </c>
      <c r="N66" s="19" t="str">
        <f>IF(Projects[[#This Row],[Target audience2]]="","",_xlfn.XLOOKUP(Projects[[#This Row],[Target audience2]],Table4[Target audience],Table4[Target audienceFR],"Check",FALSE))</f>
        <v>Usagers des tribunaux (Grand public)</v>
      </c>
      <c r="O66" s="19" t="str">
        <f>IF(Projects[[#This Row],[Target audience3]]="","",_xlfn.XLOOKUP(Projects[[#This Row],[Target audience3]],Table4[Target audience],Table4[Target audienceFR],"Check",FALSE))</f>
        <v/>
      </c>
      <c r="P66" s="19" t="str">
        <f>IF(Projects[[#This Row],[Target audience4]]="","",_xlfn.XLOOKUP(Projects[[#This Row],[Target audience4]],Table4[Target audience],Table4[Target audienceFR],"Check",FALSE))</f>
        <v/>
      </c>
      <c r="Q66" s="19" t="str">
        <f>IF(Projects[[#This Row],[Target audience5]]="","",_xlfn.XLOOKUP(Projects[[#This Row],[Target audience5]],Table4[Target audience],Table4[Target audienceFR],"Check",FALSE))</f>
        <v/>
      </c>
      <c r="R66" s="19" t="str">
        <f>_xlfn.XLOOKUP(Projects[[#This Row],[Status]],Table8[Status],Table8[StatusFR],"",FALSE)</f>
        <v>Fonctionnel</v>
      </c>
      <c r="S66" s="19" t="str">
        <f>_xlfn.XLOOKUP(Projects[[#This Row],[Coverage]],Table7[Coverage],Table7[CoverageFR],"",FALSE)</f>
        <v>Régional</v>
      </c>
      <c r="T66" s="31" t="str">
        <f>IF(Projects[[#This Row],[To publish]]="","",Projects[[#This Row],[To publish]])</f>
        <v>Batch 4</v>
      </c>
    </row>
    <row r="67" spans="1:20" ht="210" x14ac:dyDescent="0.25">
      <c r="A67" s="19">
        <f>Projects[[#This Row],[NR]]</f>
        <v>95</v>
      </c>
      <c r="B67" s="19" t="str">
        <f>IF(Projects[[#This Row],[Title]]="","",Projects[[#This Row],[Title]])</f>
        <v xml:space="preserve">SUVAS/The Vidhik Anuvaad Software </v>
      </c>
      <c r="C67" s="19" t="str">
        <f>IF(Projects[[#This Row],[AI Relevance]]="","",Projects[[#This Row],[AI Relevance]])</f>
        <v>AI</v>
      </c>
      <c r="D67" s="19" t="str">
        <f>_xlfn.XLOOKUP(Projects[[#This Row],[Area1]],Table1[Area],Table1[FRArea],"Check",FALSE)</f>
        <v>7 - Enregistrement, transcription et traduction</v>
      </c>
      <c r="E67" s="19" t="str">
        <f>IF(Projects[[#This Row],[Area2]]="","",_xlfn.XLOOKUP(Projects[[#This Row],[Area2]],Table1[Area],Table1[FRArea],"Check",FALSE))</f>
        <v>8 - Services d'information/assistance</v>
      </c>
      <c r="F67" s="19">
        <f>IF(Projects[[#This Row],[Year]]="","",Projects[[#This Row],[Year]])</f>
        <v>2019</v>
      </c>
      <c r="G67" s="19" t="str">
        <f>_xlfn.XLOOKUP(Projects[[#This Row],[Country]],Table2[Country],Table2[Pays],"Check",FALSE)</f>
        <v>Inde</v>
      </c>
      <c r="H67" s="19" t="str">
        <f>IF(Projects[[#This Row],[Description]]="","",Projects[[#This Row],[Description]])</f>
        <v xml:space="preserve">SUVAS/The Vidhik Anuvaad Software is an AI program that translates decisions and orders into nine different local languages. It was introduced by the Supreme Court. And it makes it easier for people who do not speak English, to obtain judgments and orders. It also helps them toSUVAS/The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better understand court proceedings. </v>
      </c>
      <c r="I67" s="29" t="str">
        <f>IF(Projects[[#This Row],[DescriptionFR]]="","",Projects[[#This Row],[DescriptionFR]])</f>
        <v xml:space="preserve">SUVAS/The Vidhik Anuvaad Software est un programme d'intelligence artificielle qui traduit les décisions et les ordonnances dans neuf langues locales différentes. Il a été introduit par la Cour suprême. Il permet aux personnes qui ne parlent pas anglais d'obtenir plus facilement les jugements et les ordonnances. Il les aide également à mieux comprendre les procédures judiciaires. </v>
      </c>
      <c r="J67" s="30" t="str">
        <f>IF(Projects[[#This Row],[Link]]="","",Projects[[#This Row],[Link]])</f>
        <v>https://www.business-standard.com/article/pti-stories/software-developed-to-translate-sc-judgments-in-9-vernacular-languages-law-minister-rs-prasad-119121200851_1.html</v>
      </c>
      <c r="K67" s="30" t="str">
        <f>IF(Projects[[#This Row],[Link1]]="","",Projects[[#This Row],[Link1]])</f>
        <v>https://unesdoc.unesco.org/ark:/48223/pf0000387331</v>
      </c>
      <c r="L67" s="19" t="str">
        <f>_xlfn.XLOOKUP(Projects[[#This Row],[Implemented by]],Table3[Implemented by],Table3[ImplementedFR],"",FALSE)</f>
        <v xml:space="preserve">Publique </v>
      </c>
      <c r="M67" s="19" t="str">
        <f>_xlfn.XLOOKUP(Projects[[#This Row],[Target audience]],Table4[Target audience],Table4[Target audienceFR],"",FALSE)</f>
        <v>Usagers des tribunaux (Grand public)</v>
      </c>
      <c r="N67" s="19" t="str">
        <f>IF(Projects[[#This Row],[Target audience2]]="","",_xlfn.XLOOKUP(Projects[[#This Row],[Target audience2]],Table4[Target audience],Table4[Target audienceFR],"Check",FALSE))</f>
        <v>Gestion</v>
      </c>
      <c r="O67" s="19" t="str">
        <f>IF(Projects[[#This Row],[Target audience3]]="","",_xlfn.XLOOKUP(Projects[[#This Row],[Target audience3]],Table4[Target audience],Table4[Target audienceFR],"Check",FALSE))</f>
        <v/>
      </c>
      <c r="P67" s="19" t="str">
        <f>IF(Projects[[#This Row],[Target audience4]]="","",_xlfn.XLOOKUP(Projects[[#This Row],[Target audience4]],Table4[Target audience],Table4[Target audienceFR],"Check",FALSE))</f>
        <v/>
      </c>
      <c r="Q67" s="19" t="str">
        <f>IF(Projects[[#This Row],[Target audience5]]="","",_xlfn.XLOOKUP(Projects[[#This Row],[Target audience5]],Table4[Target audience],Table4[Target audienceFR],"Check",FALSE))</f>
        <v/>
      </c>
      <c r="R67" s="19" t="str">
        <f>_xlfn.XLOOKUP(Projects[[#This Row],[Status]],Table8[Status],Table8[StatusFR],"",FALSE)</f>
        <v>Fonctionnel</v>
      </c>
      <c r="S67" s="19" t="str">
        <f>_xlfn.XLOOKUP(Projects[[#This Row],[Coverage]],Table7[Coverage],Table7[CoverageFR],"",FALSE)</f>
        <v xml:space="preserve">National </v>
      </c>
      <c r="T67" s="31" t="str">
        <f>IF(Projects[[#This Row],[To publish]]="","",Projects[[#This Row],[To publish]])</f>
        <v>Batch 4</v>
      </c>
    </row>
    <row r="68" spans="1:20" ht="75" x14ac:dyDescent="0.25">
      <c r="A68" s="19">
        <f>Projects[[#This Row],[NR]]</f>
        <v>96</v>
      </c>
      <c r="B68" s="19" t="str">
        <f>IF(Projects[[#This Row],[Title]]="","",Projects[[#This Row],[Title]])</f>
        <v>PretorIA</v>
      </c>
      <c r="C68" s="19" t="str">
        <f>IF(Projects[[#This Row],[AI Relevance]]="","",Projects[[#This Row],[AI Relevance]])</f>
        <v>AI</v>
      </c>
      <c r="D68" s="19" t="str">
        <f>_xlfn.XLOOKUP(Projects[[#This Row],[Area1]],Table1[Area],Table1[FRArea],"Check",FALSE)</f>
        <v>4 - Aide à la décision</v>
      </c>
      <c r="E68" s="19" t="str">
        <f>IF(Projects[[#This Row],[Area2]]="","",_xlfn.XLOOKUP(Projects[[#This Row],[Area2]],Table1[Area],Table1[FRArea],"Check",FALSE))</f>
        <v/>
      </c>
      <c r="F68" s="19">
        <f>IF(Projects[[#This Row],[Year]]="","",Projects[[#This Row],[Year]])</f>
        <v>2020</v>
      </c>
      <c r="G68" s="19" t="str">
        <f>_xlfn.XLOOKUP(Projects[[#This Row],[Country]],Table2[Country],Table2[Pays],"Check",FALSE)</f>
        <v>Colombie</v>
      </c>
      <c r="H68" s="19" t="str">
        <f>IF(Projects[[#This Row],[Description]]="","",Projects[[#This Row],[Description]])</f>
        <v xml:space="preserve">PretorIA was designed to assist the judges of the Colombian Constitutional Court in dealing with writs of protection in an efficient manner. It uses topic modelling technology, and its outcomes can be explained, interpreted and tracked. </v>
      </c>
      <c r="I68" s="29" t="str">
        <f>IF(Projects[[#This Row],[DescriptionFR]]="","",Projects[[#This Row],[DescriptionFR]])</f>
        <v xml:space="preserve">PretorIA a été conçu pour aider les juges de la Cour constitutionnelle colombienne à traiter les demandes de protection de manière efficace. Il utilise la technologie de la modélisation thématique et ses résultats peuvent être expliqués, interprétés et suivis. </v>
      </c>
      <c r="J68" s="30" t="str">
        <f>IF(Projects[[#This Row],[Link]]="","",Projects[[#This Row],[Link]])</f>
        <v>https://giswatch.org/node/6166</v>
      </c>
      <c r="K68" s="30" t="str">
        <f>IF(Projects[[#This Row],[Link1]]="","",Projects[[#This Row],[Link1]])</f>
        <v>https://unesdoc.unesco.org/ark:/48223/pf0000387331</v>
      </c>
      <c r="L68" s="19" t="str">
        <f>_xlfn.XLOOKUP(Projects[[#This Row],[Implemented by]],Table3[Implemented by],Table3[ImplementedFR],"",FALSE)</f>
        <v xml:space="preserve">Publique </v>
      </c>
      <c r="M68" s="19" t="str">
        <f>_xlfn.XLOOKUP(Projects[[#This Row],[Target audience]],Table4[Target audience],Table4[Target audienceFR],"",FALSE)</f>
        <v>Gestion</v>
      </c>
      <c r="N68" s="19" t="str">
        <f>IF(Projects[[#This Row],[Target audience2]]="","",_xlfn.XLOOKUP(Projects[[#This Row],[Target audience2]],Table4[Target audience],Table4[Target audienceFR],"Check",FALSE))</f>
        <v>Juges/greffiers</v>
      </c>
      <c r="O68" s="19" t="str">
        <f>IF(Projects[[#This Row],[Target audience3]]="","",_xlfn.XLOOKUP(Projects[[#This Row],[Target audience3]],Table4[Target audience],Table4[Target audienceFR],"Check",FALSE))</f>
        <v>Usagers des tribunaux (Grand public)</v>
      </c>
      <c r="P68" s="19" t="str">
        <f>IF(Projects[[#This Row],[Target audience4]]="","",_xlfn.XLOOKUP(Projects[[#This Row],[Target audience4]],Table4[Target audience],Table4[Target audienceFR],"Check",FALSE))</f>
        <v/>
      </c>
      <c r="Q68" s="19" t="str">
        <f>IF(Projects[[#This Row],[Target audience5]]="","",_xlfn.XLOOKUP(Projects[[#This Row],[Target audience5]],Table4[Target audience],Table4[Target audienceFR],"Check",FALSE))</f>
        <v/>
      </c>
      <c r="R68" s="19" t="str">
        <f>_xlfn.XLOOKUP(Projects[[#This Row],[Status]],Table8[Status],Table8[StatusFR],"",FALSE)</f>
        <v>Fonctionnel</v>
      </c>
      <c r="S68" s="19" t="str">
        <f>_xlfn.XLOOKUP(Projects[[#This Row],[Coverage]],Table7[Coverage],Table7[CoverageFR],"",FALSE)</f>
        <v xml:space="preserve">National </v>
      </c>
      <c r="T68" s="31" t="str">
        <f>IF(Projects[[#This Row],[To publish]]="","",Projects[[#This Row],[To publish]])</f>
        <v>Batch 4</v>
      </c>
    </row>
    <row r="69" spans="1:20" ht="135" x14ac:dyDescent="0.25">
      <c r="A69" s="19">
        <f>Projects[[#This Row],[NR]]</f>
        <v>97</v>
      </c>
      <c r="B69" s="19" t="str">
        <f>IF(Projects[[#This Row],[Title]]="","",Projects[[#This Row],[Title]])</f>
        <v xml:space="preserve">SUPACE (Supreme Court Portal for Assistance in Court’s Efficiency) </v>
      </c>
      <c r="C69" s="19" t="str">
        <f>IF(Projects[[#This Row],[AI Relevance]]="","",Projects[[#This Row],[AI Relevance]])</f>
        <v>AI</v>
      </c>
      <c r="D69" s="19" t="str">
        <f>_xlfn.XLOOKUP(Projects[[#This Row],[Area1]],Table1[Area],Table1[FRArea],"Check",FALSE)</f>
        <v>1 - Recherche documentaire</v>
      </c>
      <c r="E69" s="19" t="str">
        <f>IF(Projects[[#This Row],[Area2]]="","",_xlfn.XLOOKUP(Projects[[#This Row],[Area2]],Table1[Area],Table1[FRArea],"Check",FALSE))</f>
        <v>8 - Services d'information/assistance</v>
      </c>
      <c r="F69" s="19">
        <f>IF(Projects[[#This Row],[Year]]="","",Projects[[#This Row],[Year]])</f>
        <v>2021</v>
      </c>
      <c r="G69" s="19" t="str">
        <f>_xlfn.XLOOKUP(Projects[[#This Row],[Country]],Table2[Country],Table2[Pays],"Check",FALSE)</f>
        <v>Inde</v>
      </c>
      <c r="H69" s="19" t="str">
        <f>IF(Projects[[#This Row],[Description]]="","",Projects[[#This Row],[Description]])</f>
        <v xml:space="preserve">SUPACE/The Supreme Court Portal for Assistance in Courts Efficiency is an AI system implemented at the Supreme Court of India. It is designed as an aid in the administration and delivery of justice through cataloguing a large number of earlier decisions for better processing of case material. It is not used in decision-making, its role is confined to data collection and analysis. </v>
      </c>
      <c r="I69" s="29" t="str">
        <f>IF(Projects[[#This Row],[DescriptionFR]]="","",Projects[[#This Row],[DescriptionFR]])</f>
        <v xml:space="preserve">SUPACE/The Supreme Court Portal for Assistance in Courts Efficiency est un système d'intelligence artificielle mis en œuvre à la Cour suprême de l'Inde. Il est conçu comme une aide à l'administration et à la délivrance de la justice en cataloguant un grand nombre de décisions antérieures afin d'améliorer le traitement des dossiers. Il n'est pas utilisé pour la prise de décision, son rôle se limitant à la collecte et à l'analyse de données. </v>
      </c>
      <c r="J69" s="30" t="str">
        <f>IF(Projects[[#This Row],[Link]]="","",Projects[[#This Row],[Link]])</f>
        <v>https://webcast.gov.in/events/MTI1MQ--/session/MzE1MA--</v>
      </c>
      <c r="K69" s="30" t="str">
        <f>IF(Projects[[#This Row],[Link1]]="","",Projects[[#This Row],[Link1]])</f>
        <v>https://unesdoc.unesco.org/ark:/48223/pf0000387331</v>
      </c>
      <c r="L69" s="19" t="str">
        <f>_xlfn.XLOOKUP(Projects[[#This Row],[Implemented by]],Table3[Implemented by],Table3[ImplementedFR],"",FALSE)</f>
        <v xml:space="preserve">Publique </v>
      </c>
      <c r="M69" s="19" t="str">
        <f>_xlfn.XLOOKUP(Projects[[#This Row],[Target audience]],Table4[Target audience],Table4[Target audienceFR],"",FALSE)</f>
        <v>Juges/greffiers</v>
      </c>
      <c r="N69" s="19" t="str">
        <f>IF(Projects[[#This Row],[Target audience2]]="","",_xlfn.XLOOKUP(Projects[[#This Row],[Target audience2]],Table4[Target audience],Table4[Target audienceFR],"Check",FALSE))</f>
        <v/>
      </c>
      <c r="O69" s="19" t="str">
        <f>IF(Projects[[#This Row],[Target audience3]]="","",_xlfn.XLOOKUP(Projects[[#This Row],[Target audience3]],Table4[Target audience],Table4[Target audienceFR],"Check",FALSE))</f>
        <v/>
      </c>
      <c r="P69" s="19" t="str">
        <f>IF(Projects[[#This Row],[Target audience4]]="","",_xlfn.XLOOKUP(Projects[[#This Row],[Target audience4]],Table4[Target audience],Table4[Target audienceFR],"Check",FALSE))</f>
        <v/>
      </c>
      <c r="Q69" s="19" t="str">
        <f>IF(Projects[[#This Row],[Target audience5]]="","",_xlfn.XLOOKUP(Projects[[#This Row],[Target audience5]],Table4[Target audience],Table4[Target audienceFR],"Check",FALSE))</f>
        <v/>
      </c>
      <c r="R69" s="19" t="str">
        <f>_xlfn.XLOOKUP(Projects[[#This Row],[Status]],Table8[Status],Table8[StatusFR],"",FALSE)</f>
        <v>Version pilote/bêta</v>
      </c>
      <c r="S69" s="19" t="str">
        <f>_xlfn.XLOOKUP(Projects[[#This Row],[Coverage]],Table7[Coverage],Table7[CoverageFR],"",FALSE)</f>
        <v>Régional</v>
      </c>
      <c r="T69" s="31" t="str">
        <f>IF(Projects[[#This Row],[To publish]]="","",Projects[[#This Row],[To publish]])</f>
        <v>Batch 4</v>
      </c>
    </row>
    <row r="70" spans="1:20" ht="135" x14ac:dyDescent="0.25">
      <c r="A70" s="19">
        <f>Projects[[#This Row],[NR]]</f>
        <v>98</v>
      </c>
      <c r="B70" s="19" t="str">
        <f>IF(Projects[[#This Row],[Title]]="","",Projects[[#This Row],[Title]])</f>
        <v>Gall Anonymization/Gall Anonimizacja</v>
      </c>
      <c r="C70" s="19" t="str">
        <f>IF(Projects[[#This Row],[AI Relevance]]="","",Projects[[#This Row],[AI Relevance]])</f>
        <v>Non-AI</v>
      </c>
      <c r="D70" s="19" t="str">
        <f>_xlfn.XLOOKUP(Projects[[#This Row],[Area1]],Table1[Area],Table1[FRArea],"Check",FALSE)</f>
        <v>5 - Anonymisation et pseudonymisation</v>
      </c>
      <c r="E70" s="19" t="str">
        <f>IF(Projects[[#This Row],[Area2]]="","",_xlfn.XLOOKUP(Projects[[#This Row],[Area2]],Table1[Area],Table1[FRArea],"Check",FALSE))</f>
        <v/>
      </c>
      <c r="F70" s="19">
        <f>IF(Projects[[#This Row],[Year]]="","",Projects[[#This Row],[Year]])</f>
        <v>2004</v>
      </c>
      <c r="G70" s="19" t="str">
        <f>_xlfn.XLOOKUP(Projects[[#This Row],[Country]],Table2[Country],Table2[Pays],"Check",FALSE)</f>
        <v>Pologne</v>
      </c>
      <c r="H70" s="19" t="str">
        <f>IF(Projects[[#This Row],[Description]]="","",Projects[[#This Row],[Description]])</f>
        <v>Gall Anonymyzation is a system performing initial anonymization of court judgments and administrative decisions. Since 2004, it has been introduced to selected administrative courts as a part of OSO &amp; IBO systems, certain administrative bodies (e.g. Samorządowe Kolegium Odwołacze) and some common courts. Because the system is not 100% accurate, it is supervised by court clerks.</v>
      </c>
      <c r="I70" s="29" t="str">
        <f>IF(Projects[[#This Row],[DescriptionFR]]="","",Projects[[#This Row],[DescriptionFR]])</f>
        <v>L'anonymisation Gall est un système qui assure l'anonymisation initiale des jugements des tribunaux et des décisions administratives. Depuis 2004, il a été introduit dans certaines juridictions administratives dans le cadre des systèmes OSO et IBO, dans certains organes administratifs (par exemple le Samorządowe Kolegium Odwołacze) et dans certaines juridictions de droit commun. Le système n'étant pas précis à 100 %, il est supervisé par les greffiers.</v>
      </c>
      <c r="J70" s="30" t="str">
        <f>IF(Projects[[#This Row],[Link]]="","",Projects[[#This Row],[Link]])</f>
        <v>https://www.softprodukt.com.pl/system/gall</v>
      </c>
      <c r="K70" s="30" t="str">
        <f>IF(Projects[[#This Row],[Link1]]="","",Projects[[#This Row],[Link1]])</f>
        <v>https://www.nsa.gov.pl/sprawozdania-roczne.php (e.g. 2007, p. 355)</v>
      </c>
      <c r="L70" s="19" t="str">
        <f>_xlfn.XLOOKUP(Projects[[#This Row],[Implemented by]],Table3[Implemented by],Table3[ImplementedFR],"",FALSE)</f>
        <v xml:space="preserve">Publique </v>
      </c>
      <c r="M70" s="19" t="str">
        <f>_xlfn.XLOOKUP(Projects[[#This Row],[Target audience]],Table4[Target audience],Table4[Target audienceFR],"",FALSE)</f>
        <v>Gestion</v>
      </c>
      <c r="N70" s="19" t="str">
        <f>IF(Projects[[#This Row],[Target audience2]]="","",_xlfn.XLOOKUP(Projects[[#This Row],[Target audience2]],Table4[Target audience],Table4[Target audienceFR],"Check",FALSE))</f>
        <v>Juges/greffiers</v>
      </c>
      <c r="O70" s="19" t="str">
        <f>IF(Projects[[#This Row],[Target audience3]]="","",_xlfn.XLOOKUP(Projects[[#This Row],[Target audience3]],Table4[Target audience],Table4[Target audienceFR],"Check",FALSE))</f>
        <v/>
      </c>
      <c r="P70" s="19" t="str">
        <f>IF(Projects[[#This Row],[Target audience4]]="","",_xlfn.XLOOKUP(Projects[[#This Row],[Target audience4]],Table4[Target audience],Table4[Target audienceFR],"Check",FALSE))</f>
        <v/>
      </c>
      <c r="Q70" s="19" t="str">
        <f>IF(Projects[[#This Row],[Target audience5]]="","",_xlfn.XLOOKUP(Projects[[#This Row],[Target audience5]],Table4[Target audience],Table4[Target audienceFR],"Check",FALSE))</f>
        <v/>
      </c>
      <c r="R70" s="19" t="str">
        <f>_xlfn.XLOOKUP(Projects[[#This Row],[Status]],Table8[Status],Table8[StatusFR],"",FALSE)</f>
        <v>Fonctionnel</v>
      </c>
      <c r="S70" s="19" t="str">
        <f>_xlfn.XLOOKUP(Projects[[#This Row],[Coverage]],Table7[Coverage],Table7[CoverageFR],"",FALSE)</f>
        <v xml:space="preserve">National </v>
      </c>
      <c r="T70" s="31" t="str">
        <f>IF(Projects[[#This Row],[To publish]]="","",Projects[[#This Row],[To publish]])</f>
        <v>Batch 4</v>
      </c>
    </row>
    <row r="71" spans="1:20" ht="60" x14ac:dyDescent="0.25">
      <c r="A71" s="19">
        <f>Projects[[#This Row],[NR]]</f>
        <v>100</v>
      </c>
      <c r="B71" s="19" t="str">
        <f>IF(Projects[[#This Row],[Title]]="","",Projects[[#This Row],[Title]])</f>
        <v xml:space="preserve"> Document comparison / Dokumentenergleich </v>
      </c>
      <c r="C71" s="19" t="str">
        <f>IF(Projects[[#This Row],[AI Relevance]]="","",Projects[[#This Row],[AI Relevance]])</f>
        <v>non-AI</v>
      </c>
      <c r="D71" s="19" t="str">
        <f>_xlfn.XLOOKUP(Projects[[#This Row],[Area1]],Table1[Area],Table1[FRArea],"Check",FALSE)</f>
        <v>1 - Recherche documentaire</v>
      </c>
      <c r="E71" s="19" t="str">
        <f>IF(Projects[[#This Row],[Area2]]="","",_xlfn.XLOOKUP(Projects[[#This Row],[Area2]],Table1[Area],Table1[FRArea],"Check",FALSE))</f>
        <v>6 - Triage, attribution et automatisation des flux de travail</v>
      </c>
      <c r="F71" s="19">
        <f>IF(Projects[[#This Row],[Year]]="","",Projects[[#This Row],[Year]])</f>
        <v>2022</v>
      </c>
      <c r="G71" s="19" t="str">
        <f>_xlfn.XLOOKUP(Projects[[#This Row],[Country]],Table2[Country],Table2[Pays],"Check",FALSE)</f>
        <v>Allemagne</v>
      </c>
      <c r="H71" s="19" t="str">
        <f>IF(Projects[[#This Row],[Description]]="","",Projects[[#This Row],[Description]])</f>
        <v>The system analyses the electronic procedural files and assigns those with similar facts to each other. It is used to increase efficiency in mass proceedings.</v>
      </c>
      <c r="I71" s="29" t="str">
        <f>IF(Projects[[#This Row],[DescriptionFR]]="","",Projects[[#This Row],[DescriptionFR]])</f>
        <v>Le système analyse les dossiers de procédure électroniques et attribue les uns aux autres les dossiers présentant des faits similaires. Il est utilisé pour accroître l'efficacité des procédures de masse.</v>
      </c>
      <c r="J71" s="30" t="str">
        <f>IF(Projects[[#This Row],[Link]]="","",Projects[[#This Row],[Link]])</f>
        <v xml:space="preserve">https://www.justiz-bw.de/,Lde/10619184/?LISTPAGE=6161506 </v>
      </c>
      <c r="K71" s="30" t="str">
        <f>IF(Projects[[#This Row],[Link1]]="","",Projects[[#This Row],[Link1]])</f>
        <v/>
      </c>
      <c r="L71" s="19" t="str">
        <f>_xlfn.XLOOKUP(Projects[[#This Row],[Implemented by]],Table3[Implemented by],Table3[ImplementedFR],"",FALSE)</f>
        <v xml:space="preserve">Publique </v>
      </c>
      <c r="M71" s="19" t="str">
        <f>_xlfn.XLOOKUP(Projects[[#This Row],[Target audience]],Table4[Target audience],Table4[Target audienceFR],"",FALSE)</f>
        <v>Juges/greffiers</v>
      </c>
      <c r="N71" s="19" t="str">
        <f>IF(Projects[[#This Row],[Target audience2]]="","",_xlfn.XLOOKUP(Projects[[#This Row],[Target audience2]],Table4[Target audience],Table4[Target audienceFR],"Check",FALSE))</f>
        <v/>
      </c>
      <c r="O71" s="19" t="str">
        <f>IF(Projects[[#This Row],[Target audience3]]="","",_xlfn.XLOOKUP(Projects[[#This Row],[Target audience3]],Table4[Target audience],Table4[Target audienceFR],"Check",FALSE))</f>
        <v/>
      </c>
      <c r="P71" s="19" t="str">
        <f>IF(Projects[[#This Row],[Target audience4]]="","",_xlfn.XLOOKUP(Projects[[#This Row],[Target audience4]],Table4[Target audience],Table4[Target audienceFR],"Check",FALSE))</f>
        <v/>
      </c>
      <c r="Q71" s="19" t="str">
        <f>IF(Projects[[#This Row],[Target audience5]]="","",_xlfn.XLOOKUP(Projects[[#This Row],[Target audience5]],Table4[Target audience],Table4[Target audienceFR],"Check",FALSE))</f>
        <v/>
      </c>
      <c r="R71" s="19" t="str">
        <f>_xlfn.XLOOKUP(Projects[[#This Row],[Status]],Table8[Status],Table8[StatusFR],"",FALSE)</f>
        <v>Fonctionnel</v>
      </c>
      <c r="S71" s="19" t="str">
        <f>_xlfn.XLOOKUP(Projects[[#This Row],[Coverage]],Table7[Coverage],Table7[CoverageFR],"",FALSE)</f>
        <v>Régional</v>
      </c>
      <c r="T71" s="31" t="str">
        <f>IF(Projects[[#This Row],[To publish]]="","",Projects[[#This Row],[To publish]])</f>
        <v>Batch 4</v>
      </c>
    </row>
    <row r="72" spans="1:20" ht="75" x14ac:dyDescent="0.25">
      <c r="A72" s="19">
        <f>Projects[[#This Row],[NR]]</f>
        <v>104</v>
      </c>
      <c r="B72" s="19" t="str">
        <f>IF(Projects[[#This Row],[Title]]="","",Projects[[#This Row],[Title]])</f>
        <v xml:space="preserve">BaZna / Knowledge Base System </v>
      </c>
      <c r="C72" s="19" t="str">
        <f>IF(Projects[[#This Row],[AI Relevance]]="","",Projects[[#This Row],[AI Relevance]])</f>
        <v>AI</v>
      </c>
      <c r="D72" s="19" t="str">
        <f>_xlfn.XLOOKUP(Projects[[#This Row],[Area1]],Table1[Area],Table1[FRArea],"Check",FALSE)</f>
        <v>6 - Triage, attribution et automatisation des flux de travail</v>
      </c>
      <c r="E72" s="19" t="str">
        <f>IF(Projects[[#This Row],[Area2]]="","",_xlfn.XLOOKUP(Projects[[#This Row],[Area2]],Table1[Area],Table1[FRArea],"Check",FALSE))</f>
        <v>4 - Aide à la décision</v>
      </c>
      <c r="F72" s="19">
        <f>IF(Projects[[#This Row],[Year]]="","",Projects[[#This Row],[Year]])</f>
        <v>2023</v>
      </c>
      <c r="G72" s="19" t="str">
        <f>_xlfn.XLOOKUP(Projects[[#This Row],[Country]],Table2[Country],Table2[Pays],"Check",FALSE)</f>
        <v>Slovénie</v>
      </c>
      <c r="H72" s="19" t="str">
        <f>IF(Projects[[#This Row],[Description]]="","",Projects[[#This Row],[Description]])</f>
        <v xml:space="preserve">The system compares new applications with the existing knowledge database, which contains the case-law and auxiliary information, supporting the adjudication process. </v>
      </c>
      <c r="I72" s="29" t="str">
        <f>IF(Projects[[#This Row],[DescriptionFR]]="","",Projects[[#This Row],[DescriptionFR]])</f>
        <v xml:space="preserve">Le système compare les nouvelles demandes avec la base de données de connaissances existante, qui contient la jurisprudence et des informations auxiliaires, à l'appui du processus de décision. 
</v>
      </c>
      <c r="J72" s="30" t="str">
        <f>IF(Projects[[#This Row],[Link]]="","",Projects[[#This Row],[Link]])</f>
        <v/>
      </c>
      <c r="K72" s="30" t="str">
        <f>IF(Projects[[#This Row],[Link1]]="","",Projects[[#This Row],[Link1]])</f>
        <v/>
      </c>
      <c r="L72" s="19" t="str">
        <f>_xlfn.XLOOKUP(Projects[[#This Row],[Implemented by]],Table3[Implemented by],Table3[ImplementedFR],"",FALSE)</f>
        <v xml:space="preserve">Publique </v>
      </c>
      <c r="M72" s="19" t="str">
        <f>_xlfn.XLOOKUP(Projects[[#This Row],[Target audience]],Table4[Target audience],Table4[Target audienceFR],"",FALSE)</f>
        <v>Gestion</v>
      </c>
      <c r="N72" s="19" t="str">
        <f>IF(Projects[[#This Row],[Target audience2]]="","",_xlfn.XLOOKUP(Projects[[#This Row],[Target audience2]],Table4[Target audience],Table4[Target audienceFR],"Check",FALSE))</f>
        <v>Juges/greffiers</v>
      </c>
      <c r="O72" s="19" t="str">
        <f>IF(Projects[[#This Row],[Target audience3]]="","",_xlfn.XLOOKUP(Projects[[#This Row],[Target audience3]],Table4[Target audience],Table4[Target audienceFR],"Check",FALSE))</f>
        <v/>
      </c>
      <c r="P72" s="19" t="str">
        <f>IF(Projects[[#This Row],[Target audience4]]="","",_xlfn.XLOOKUP(Projects[[#This Row],[Target audience4]],Table4[Target audience],Table4[Target audienceFR],"Check",FALSE))</f>
        <v/>
      </c>
      <c r="Q72" s="19" t="str">
        <f>IF(Projects[[#This Row],[Target audience5]]="","",_xlfn.XLOOKUP(Projects[[#This Row],[Target audience5]],Table4[Target audience],Table4[Target audienceFR],"Check",FALSE))</f>
        <v/>
      </c>
      <c r="R72" s="19" t="str">
        <f>_xlfn.XLOOKUP(Projects[[#This Row],[Status]],Table8[Status],Table8[StatusFR],"",FALSE)</f>
        <v>Version pilote/bêta</v>
      </c>
      <c r="S72" s="19" t="str">
        <f>_xlfn.XLOOKUP(Projects[[#This Row],[Coverage]],Table7[Coverage],Table7[CoverageFR],"",FALSE)</f>
        <v xml:space="preserve">National </v>
      </c>
      <c r="T72" s="31" t="str">
        <f>IF(Projects[[#This Row],[To publish]]="","",Projects[[#This Row],[To publish]])</f>
        <v>Batch 4</v>
      </c>
    </row>
    <row r="73" spans="1:20" ht="330" x14ac:dyDescent="0.25">
      <c r="A73" s="19">
        <f>Projects[[#This Row],[NR]]</f>
        <v>106</v>
      </c>
      <c r="B73" s="19" t="str">
        <f>IF(Projects[[#This Row],[Title]]="","",Projects[[#This Row],[Title]])</f>
        <v>FraUKE = FRankfurts Amtsgericht UrteilsKonfigurator Elektronisch</v>
      </c>
      <c r="C73" s="19" t="str">
        <f>IF(Projects[[#This Row],[AI Relevance]]="","",Projects[[#This Row],[AI Relevance]])</f>
        <v>AI</v>
      </c>
      <c r="D73" s="19" t="str">
        <f>_xlfn.XLOOKUP(Projects[[#This Row],[Area1]],Table1[Area],Table1[FRArea],"Check",FALSE)</f>
        <v>4 - Aide à la décision</v>
      </c>
      <c r="E73" s="19" t="str">
        <f>IF(Projects[[#This Row],[Area2]]="","",_xlfn.XLOOKUP(Projects[[#This Row],[Area2]],Table1[Area],Table1[FRArea],"Check",FALSE))</f>
        <v/>
      </c>
      <c r="F73" s="19">
        <f>IF(Projects[[#This Row],[Year]]="","",Projects[[#This Row],[Year]])</f>
        <v>2022</v>
      </c>
      <c r="G73" s="19" t="str">
        <f>_xlfn.XLOOKUP(Projects[[#This Row],[Country]],Table2[Country],Table2[Pays],"Check",FALSE)</f>
        <v>Allemagne</v>
      </c>
      <c r="H73" s="19" t="str">
        <f>IF(Projects[[#This Row],[Description]]="","",Projects[[#This Row],[Description]])</f>
        <v>The FraUKE programme was developed specifically for air passenger rights proceedings in accordance with EU Regulation 261/2004 for the Frankfurt am Main Local Court. In order to cope with the wave of air passenger rights claims, the Frankfurt am Main District Court has developed this "judgement configurator", which simplifies and supports the creation of judgements with the help of text modules selected by an artificial intelligence. This project is the first of its kind in Germany and tests the limits of judicial assistance. The basic strategy paper of the presidents of the higher regional courts from the summer of 2022 clearly shows that a great potential for the use of AI in courts is seen throughout Germany, but that also
boundaries are crossed when judicial decision-making is carried out by AI.</v>
      </c>
      <c r="I73" s="29" t="str">
        <f>IF(Projects[[#This Row],[DescriptionFR]]="","",Projects[[#This Row],[DescriptionFR]])</f>
        <v xml:space="preserve">Le programme FRAUKE a été développé spécifiquement pour les procédures relatives aux droits des passagers aériens conformément au règlement de l'UE 261/2004 pour le tribunal local de Francfort-sur-le-Main. Afin de faire face à la vague de plaintes relatives aux droits des passagers aériens, le tribunal local de Francfort-sur-le-Main a développé ce « configurateur de jugements », qui simplifie et soutient la création de jugements à l'aide de modules de texte sélectionnés par une intelligence artificielle. Ce projet est le premier du genre en Allemagne et teste les limites de l'assistance judiciaire. Le document stratégique de base des présidents des tribunaux régionaux supérieurs de l'été 2022 montre clairement qu'un grand potentiel d'utilisation de l'IA dans les tribunaux est perçu dans toute l'Allemagne, mais que des limites sont également franchies lorsque la prise de décision judiciaire est effectuée par l'intelligence artificielle.
frontières sont franchies lorsque la prise de décision judiciaire est effectuée par l'IA.
</v>
      </c>
      <c r="J73" s="30" t="str">
        <f>IF(Projects[[#This Row],[Link]]="","",Projects[[#This Row],[Link]])</f>
        <v>https://hessen.de/presse/pressearchiv/hessen-und-brandenburg-kooperieren-beim-ki-projekt-frauke</v>
      </c>
      <c r="K73" s="30" t="str">
        <f>IF(Projects[[#This Row],[Link1]]="","",Projects[[#This Row],[Link1]])</f>
        <v/>
      </c>
      <c r="L73" s="19" t="str">
        <f>_xlfn.XLOOKUP(Projects[[#This Row],[Implemented by]],Table3[Implemented by],Table3[ImplementedFR],"",FALSE)</f>
        <v xml:space="preserve">Publique </v>
      </c>
      <c r="M73" s="19" t="str">
        <f>_xlfn.XLOOKUP(Projects[[#This Row],[Target audience]],Table4[Target audience],Table4[Target audienceFR],"",FALSE)</f>
        <v>Juges/greffiers</v>
      </c>
      <c r="N73" s="19" t="str">
        <f>IF(Projects[[#This Row],[Target audience2]]="","",_xlfn.XLOOKUP(Projects[[#This Row],[Target audience2]],Table4[Target audience],Table4[Target audienceFR],"Check",FALSE))</f>
        <v/>
      </c>
      <c r="O73" s="19" t="str">
        <f>IF(Projects[[#This Row],[Target audience3]]="","",_xlfn.XLOOKUP(Projects[[#This Row],[Target audience3]],Table4[Target audience],Table4[Target audienceFR],"Check",FALSE))</f>
        <v/>
      </c>
      <c r="P73" s="19" t="str">
        <f>IF(Projects[[#This Row],[Target audience4]]="","",_xlfn.XLOOKUP(Projects[[#This Row],[Target audience4]],Table4[Target audience],Table4[Target audienceFR],"Check",FALSE))</f>
        <v/>
      </c>
      <c r="Q73" s="19" t="str">
        <f>IF(Projects[[#This Row],[Target audience5]]="","",_xlfn.XLOOKUP(Projects[[#This Row],[Target audience5]],Table4[Target audience],Table4[Target audienceFR],"Check",FALSE))</f>
        <v/>
      </c>
      <c r="R73" s="19" t="str">
        <f>_xlfn.XLOOKUP(Projects[[#This Row],[Status]],Table8[Status],Table8[StatusFR],"",FALSE)</f>
        <v>Version pilote/bêta</v>
      </c>
      <c r="S73" s="19" t="str">
        <f>_xlfn.XLOOKUP(Projects[[#This Row],[Coverage]],Table7[Coverage],Table7[CoverageFR],"",FALSE)</f>
        <v>Régional</v>
      </c>
      <c r="T73" s="31" t="str">
        <f>IF(Projects[[#This Row],[To publish]]="","",Projects[[#This Row],[To publish]])</f>
        <v>Batch 4</v>
      </c>
    </row>
    <row r="74" spans="1:20" ht="135" x14ac:dyDescent="0.25">
      <c r="A74" s="19">
        <f>Projects[[#This Row],[NR]]</f>
        <v>108</v>
      </c>
      <c r="B74" s="19" t="str">
        <f>IF(Projects[[#This Row],[Title]]="","",Projects[[#This Row],[Title]])</f>
        <v>Automated anonymization of court decisions</v>
      </c>
      <c r="C74" s="19" t="str">
        <f>IF(Projects[[#This Row],[AI Relevance]]="","",Projects[[#This Row],[AI Relevance]])</f>
        <v>AI</v>
      </c>
      <c r="D74" s="19" t="str">
        <f>_xlfn.XLOOKUP(Projects[[#This Row],[Area1]],Table1[Area],Table1[FRArea],"Check",FALSE)</f>
        <v>5 - Anonymisation et pseudonymisation</v>
      </c>
      <c r="E74" s="19" t="str">
        <f>IF(Projects[[#This Row],[Area2]]="","",_xlfn.XLOOKUP(Projects[[#This Row],[Area2]],Table1[Area],Table1[FRArea],"Check",FALSE))</f>
        <v/>
      </c>
      <c r="F74" s="19">
        <f>IF(Projects[[#This Row],[Year]]="","",Projects[[#This Row],[Year]])</f>
        <v>2022</v>
      </c>
      <c r="G74" s="19" t="str">
        <f>_xlfn.XLOOKUP(Projects[[#This Row],[Country]],Table2[Country],Table2[Pays],"Check",FALSE)</f>
        <v>Portugal</v>
      </c>
      <c r="H74" s="19" t="str">
        <f>IF(Projects[[#This Row],[Description]]="","",Projects[[#This Row],[Description]])</f>
        <v>Use of tools based on machine learning and artificial intelligence to detect and anonymise personal data in judicial decisions, complying with the latest publication standards and following open data policies, which facilitate their processing and analysis by the legal community, but also by the scientific and academic community.</v>
      </c>
      <c r="I74" s="29" t="str">
        <f>IF(Projects[[#This Row],[DescriptionFR]]="","",Projects[[#This Row],[DescriptionFR]])</f>
        <v>Le recours à des moyens basés sur l'apprentissage automatique et l'intelligence artificielle pour détecter et anonymiser les données personnelles dans les décisions judiciaires, en respectant les plus récentes normes de publication et en suivant les politiques d'ouverture des données, ce qui facilite leur traitement et leur analyse par la communauté juridique, mais aussi par la communauté scientifique et académique.</v>
      </c>
      <c r="J74" s="30" t="str">
        <f>IF(Projects[[#This Row],[Link]]="","",Projects[[#This Row],[Link]])</f>
        <v>https://govtech.justica.gov.pt/en/portfolio/automated-anonymization-of-court-decisions-ongoing/</v>
      </c>
      <c r="K74" s="30" t="str">
        <f>IF(Projects[[#This Row],[Link1]]="","",Projects[[#This Row],[Link1]])</f>
        <v/>
      </c>
      <c r="L74" s="19" t="str">
        <f>_xlfn.XLOOKUP(Projects[[#This Row],[Implemented by]],Table3[Implemented by],Table3[ImplementedFR],"",FALSE)</f>
        <v xml:space="preserve">Publique </v>
      </c>
      <c r="M74" s="19" t="str">
        <f>_xlfn.XLOOKUP(Projects[[#This Row],[Target audience]],Table4[Target audience],Table4[Target audienceFR],"",FALSE)</f>
        <v>Gestion</v>
      </c>
      <c r="N74" s="19" t="str">
        <f>IF(Projects[[#This Row],[Target audience2]]="","",_xlfn.XLOOKUP(Projects[[#This Row],[Target audience2]],Table4[Target audience],Table4[Target audienceFR],"Check",FALSE))</f>
        <v>Juges/greffiers</v>
      </c>
      <c r="O74" s="19" t="str">
        <f>IF(Projects[[#This Row],[Target audience3]]="","",_xlfn.XLOOKUP(Projects[[#This Row],[Target audience3]],Table4[Target audience],Table4[Target audienceFR],"Check",FALSE))</f>
        <v/>
      </c>
      <c r="P74" s="19" t="str">
        <f>IF(Projects[[#This Row],[Target audience4]]="","",_xlfn.XLOOKUP(Projects[[#This Row],[Target audience4]],Table4[Target audience],Table4[Target audienceFR],"Check",FALSE))</f>
        <v/>
      </c>
      <c r="Q74" s="19" t="str">
        <f>IF(Projects[[#This Row],[Target audience5]]="","",_xlfn.XLOOKUP(Projects[[#This Row],[Target audience5]],Table4[Target audience],Table4[Target audienceFR],"Check",FALSE))</f>
        <v/>
      </c>
      <c r="R74" s="19" t="str">
        <f>_xlfn.XLOOKUP(Projects[[#This Row],[Status]],Table8[Status],Table8[StatusFR],"",FALSE)</f>
        <v>Version pilote/bêta</v>
      </c>
      <c r="S74" s="19" t="str">
        <f>_xlfn.XLOOKUP(Projects[[#This Row],[Coverage]],Table7[Coverage],Table7[CoverageFR],"",FALSE)</f>
        <v xml:space="preserve">National </v>
      </c>
      <c r="T74" s="31" t="str">
        <f>IF(Projects[[#This Row],[To publish]]="","",Projects[[#This Row],[To publish]])</f>
        <v>Batch 4</v>
      </c>
    </row>
    <row r="75" spans="1:20" ht="60" x14ac:dyDescent="0.25">
      <c r="A75" s="19">
        <f>Projects[[#This Row],[NR]]</f>
        <v>109</v>
      </c>
      <c r="B75" s="19" t="str">
        <f>IF(Projects[[#This Row],[Title]]="","",Projects[[#This Row],[Title]])</f>
        <v xml:space="preserve">Application for anonymization / Anonymiseringsapplikationen </v>
      </c>
      <c r="C75" s="19" t="str">
        <f>IF(Projects[[#This Row],[AI Relevance]]="","",Projects[[#This Row],[AI Relevance]])</f>
        <v>AI</v>
      </c>
      <c r="D75" s="19" t="str">
        <f>_xlfn.XLOOKUP(Projects[[#This Row],[Area1]],Table1[Area],Table1[FRArea],"Check",FALSE)</f>
        <v>5 - Anonymisation et pseudonymisation</v>
      </c>
      <c r="E75" s="19" t="str">
        <f>IF(Projects[[#This Row],[Area2]]="","",_xlfn.XLOOKUP(Projects[[#This Row],[Area2]],Table1[Area],Table1[FRArea],"Check",FALSE))</f>
        <v/>
      </c>
      <c r="F75" s="19">
        <f>IF(Projects[[#This Row],[Year]]="","",Projects[[#This Row],[Year]])</f>
        <v>2023</v>
      </c>
      <c r="G75" s="19" t="str">
        <f>_xlfn.XLOOKUP(Projects[[#This Row],[Country]],Table2[Country],Table2[Pays],"Check",FALSE)</f>
        <v>Suède</v>
      </c>
      <c r="H75" s="19" t="str">
        <f>IF(Projects[[#This Row],[Description]]="","",Projects[[#This Row],[Description]])</f>
        <v xml:space="preserve">Appllication that identifies and anonymizes personal information in documents submitted to the courts. </v>
      </c>
      <c r="I75" s="29" t="str">
        <f>IF(Projects[[#This Row],[DescriptionFR]]="","",Projects[[#This Row],[DescriptionFR]])</f>
        <v xml:space="preserve">Application permettant d'identifier et d'anonymiser les informations personnelles contenues dans les documents soumis aux tribunaux.
</v>
      </c>
      <c r="J75" s="30" t="str">
        <f>IF(Projects[[#This Row],[Link]]="","",Projects[[#This Row],[Link]])</f>
        <v>https://rm.coe.int/internal-system/4880299b55</v>
      </c>
      <c r="K75" s="30" t="str">
        <f>IF(Projects[[#This Row],[Link1]]="","",Projects[[#This Row],[Link1]])</f>
        <v/>
      </c>
      <c r="L75" s="19" t="str">
        <f>_xlfn.XLOOKUP(Projects[[#This Row],[Implemented by]],Table3[Implemented by],Table3[ImplementedFR],"",FALSE)</f>
        <v xml:space="preserve">Publique </v>
      </c>
      <c r="M75" s="19" t="str">
        <f>_xlfn.XLOOKUP(Projects[[#This Row],[Target audience]],Table4[Target audience],Table4[Target audienceFR],"",FALSE)</f>
        <v>Usagers des tribunaux (Grand public)</v>
      </c>
      <c r="N75" s="19" t="str">
        <f>IF(Projects[[#This Row],[Target audience2]]="","",_xlfn.XLOOKUP(Projects[[#This Row],[Target audience2]],Table4[Target audience],Table4[Target audienceFR],"Check",FALSE))</f>
        <v>Avocats</v>
      </c>
      <c r="O75" s="19" t="str">
        <f>IF(Projects[[#This Row],[Target audience3]]="","",_xlfn.XLOOKUP(Projects[[#This Row],[Target audience3]],Table4[Target audience],Table4[Target audienceFR],"Check",FALSE))</f>
        <v>Juges/greffiers</v>
      </c>
      <c r="P75" s="19" t="str">
        <f>IF(Projects[[#This Row],[Target audience4]]="","",_xlfn.XLOOKUP(Projects[[#This Row],[Target audience4]],Table4[Target audience],Table4[Target audienceFR],"Check",FALSE))</f>
        <v/>
      </c>
      <c r="Q75" s="19" t="str">
        <f>IF(Projects[[#This Row],[Target audience5]]="","",_xlfn.XLOOKUP(Projects[[#This Row],[Target audience5]],Table4[Target audience],Table4[Target audienceFR],"Check",FALSE))</f>
        <v/>
      </c>
      <c r="R75" s="19" t="str">
        <f>_xlfn.XLOOKUP(Projects[[#This Row],[Status]],Table8[Status],Table8[StatusFR],"",FALSE)</f>
        <v>Version pilote/bêta</v>
      </c>
      <c r="S75" s="19" t="str">
        <f>_xlfn.XLOOKUP(Projects[[#This Row],[Coverage]],Table7[Coverage],Table7[CoverageFR],"",FALSE)</f>
        <v xml:space="preserve">National </v>
      </c>
      <c r="T75" s="31" t="str">
        <f>IF(Projects[[#This Row],[To publish]]="","",Projects[[#This Row],[To publish]])</f>
        <v>Batch 4</v>
      </c>
    </row>
    <row r="76" spans="1:20" ht="90" x14ac:dyDescent="0.25">
      <c r="A76" s="19">
        <f>Projects[[#This Row],[NR]]</f>
        <v>110</v>
      </c>
      <c r="B76" s="19" t="str">
        <f>IF(Projects[[#This Row],[Title]]="","",Projects[[#This Row],[Title]])</f>
        <v>(m)INI - Intelligentes Notitia Iustitia</v>
      </c>
      <c r="C76" s="19" t="str">
        <f>IF(Projects[[#This Row],[AI Relevance]]="","",Projects[[#This Row],[AI Relevance]])</f>
        <v>AI</v>
      </c>
      <c r="D76" s="19" t="str">
        <f>_xlfn.XLOOKUP(Projects[[#This Row],[Area1]],Table1[Area],Table1[FRArea],"Check",FALSE)</f>
        <v>1 - Recherche documentaire</v>
      </c>
      <c r="E76" s="19" t="str">
        <f>IF(Projects[[#This Row],[Area2]]="","",_xlfn.XLOOKUP(Projects[[#This Row],[Area2]],Table1[Area],Table1[FRArea],"Check",FALSE))</f>
        <v/>
      </c>
      <c r="F76" s="19">
        <f>IF(Projects[[#This Row],[Year]]="","",Projects[[#This Row],[Year]])</f>
        <v>2023</v>
      </c>
      <c r="G76" s="19" t="str">
        <f>_xlfn.XLOOKUP(Projects[[#This Row],[Country]],Table2[Country],Table2[Pays],"Check",FALSE)</f>
        <v>Suède</v>
      </c>
      <c r="H76" s="19" t="str">
        <f>IF(Projects[[#This Row],[Description]]="","",Projects[[#This Row],[Description]])</f>
        <v xml:space="preserve">Application that uses AI to search for legal information in vast volumes of material, cases, law, preparatory work. Presents relevant statistics, has semantic understanding. </v>
      </c>
      <c r="I76" s="29" t="str">
        <f>IF(Projects[[#This Row],[DescriptionFR]]="","",Projects[[#This Row],[DescriptionFR]])</f>
        <v xml:space="preserve">Application qui utilise l'intelligence artificielle pour rechercher des informations juridiques dans de vastes volumes de documents, d'affaires, de lois, de travaux préparatoires. Présente des statistiques pertinentes et dispose d'une compréhension sémantique. 
</v>
      </c>
      <c r="J76" s="30" t="str">
        <f>IF(Projects[[#This Row],[Link]]="","",Projects[[#This Row],[Link]])</f>
        <v>https://rm.coe.int/internal-system/4880299b55</v>
      </c>
      <c r="K76" s="30" t="str">
        <f>IF(Projects[[#This Row],[Link1]]="","",Projects[[#This Row],[Link1]])</f>
        <v/>
      </c>
      <c r="L76" s="19" t="str">
        <f>_xlfn.XLOOKUP(Projects[[#This Row],[Implemented by]],Table3[Implemented by],Table3[ImplementedFR],"",FALSE)</f>
        <v xml:space="preserve">Publique </v>
      </c>
      <c r="M76" s="19" t="str">
        <f>_xlfn.XLOOKUP(Projects[[#This Row],[Target audience]],Table4[Target audience],Table4[Target audienceFR],"",FALSE)</f>
        <v>Juges/greffiers</v>
      </c>
      <c r="N76" s="19" t="str">
        <f>IF(Projects[[#This Row],[Target audience2]]="","",_xlfn.XLOOKUP(Projects[[#This Row],[Target audience2]],Table4[Target audience],Table4[Target audienceFR],"Check",FALSE))</f>
        <v/>
      </c>
      <c r="O76" s="19" t="str">
        <f>IF(Projects[[#This Row],[Target audience3]]="","",_xlfn.XLOOKUP(Projects[[#This Row],[Target audience3]],Table4[Target audience],Table4[Target audienceFR],"Check",FALSE))</f>
        <v/>
      </c>
      <c r="P76" s="19" t="str">
        <f>IF(Projects[[#This Row],[Target audience4]]="","",_xlfn.XLOOKUP(Projects[[#This Row],[Target audience4]],Table4[Target audience],Table4[Target audienceFR],"Check",FALSE))</f>
        <v/>
      </c>
      <c r="Q76" s="19" t="str">
        <f>IF(Projects[[#This Row],[Target audience5]]="","",_xlfn.XLOOKUP(Projects[[#This Row],[Target audience5]],Table4[Target audience],Table4[Target audienceFR],"Check",FALSE))</f>
        <v/>
      </c>
      <c r="R76" s="19" t="str">
        <f>_xlfn.XLOOKUP(Projects[[#This Row],[Status]],Table8[Status],Table8[StatusFR],"",FALSE)</f>
        <v>Version pilote/bêta</v>
      </c>
      <c r="S76" s="19" t="str">
        <f>_xlfn.XLOOKUP(Projects[[#This Row],[Coverage]],Table7[Coverage],Table7[CoverageFR],"",FALSE)</f>
        <v xml:space="preserve">National </v>
      </c>
      <c r="T76" s="31" t="str">
        <f>IF(Projects[[#This Row],[To publish]]="","",Projects[[#This Row],[To publish]])</f>
        <v>Batch 4</v>
      </c>
    </row>
    <row r="77" spans="1:20" ht="60" x14ac:dyDescent="0.25">
      <c r="A77" s="19">
        <f>Projects[[#This Row],[NR]]</f>
        <v>111</v>
      </c>
      <c r="B77" s="19" t="str">
        <f>IF(Projects[[#This Row],[Title]]="","",Projects[[#This Row],[Title]])</f>
        <v>Textualisation of recordings</v>
      </c>
      <c r="C77" s="19" t="str">
        <f>IF(Projects[[#This Row],[AI Relevance]]="","",Projects[[#This Row],[AI Relevance]])</f>
        <v>AI</v>
      </c>
      <c r="D77" s="19" t="str">
        <f>_xlfn.XLOOKUP(Projects[[#This Row],[Area1]],Table1[Area],Table1[FRArea],"Check",FALSE)</f>
        <v>7 - Enregistrement, transcription et traduction</v>
      </c>
      <c r="E77" s="19" t="str">
        <f>IF(Projects[[#This Row],[Area2]]="","",_xlfn.XLOOKUP(Projects[[#This Row],[Area2]],Table1[Area],Table1[FRArea],"Check",FALSE))</f>
        <v>4 - Aide à la décision</v>
      </c>
      <c r="F77" s="19">
        <f>IF(Projects[[#This Row],[Year]]="","",Projects[[#This Row],[Year]])</f>
        <v>2023</v>
      </c>
      <c r="G77" s="19" t="str">
        <f>_xlfn.XLOOKUP(Projects[[#This Row],[Country]],Table2[Country],Table2[Pays],"Check",FALSE)</f>
        <v>Espagne</v>
      </c>
      <c r="H77" s="19" t="str">
        <f>IF(Projects[[#This Row],[Description]]="","",Projects[[#This Row],[Description]])</f>
        <v>Performs automated processing of video/audio files to extract the relevant text from recorded oral interventions at trials, hearings and inquests.</v>
      </c>
      <c r="I77" s="29" t="str">
        <f>IF(Projects[[#This Row],[DescriptionFR]]="","",Projects[[#This Row],[DescriptionFR]])</f>
        <v>Effectue le traitement automatisé de fichiers vidéo/audio pour extraire le texte pertinent des interventions orales enregistrées lors de procès, d'audiences et d'enquêtes.</v>
      </c>
      <c r="J77" s="30" t="str">
        <f>IF(Projects[[#This Row],[Link]]="","",Projects[[#This Row],[Link]])</f>
        <v>https://rm.coe.int/internal-system/4880299b55</v>
      </c>
      <c r="K77" s="30" t="str">
        <f>IF(Projects[[#This Row],[Link1]]="","",Projects[[#This Row],[Link1]])</f>
        <v/>
      </c>
      <c r="L77" s="19" t="str">
        <f>_xlfn.XLOOKUP(Projects[[#This Row],[Implemented by]],Table3[Implemented by],Table3[ImplementedFR],"",FALSE)</f>
        <v xml:space="preserve">Publique </v>
      </c>
      <c r="M77" s="19" t="str">
        <f>_xlfn.XLOOKUP(Projects[[#This Row],[Target audience]],Table4[Target audience],Table4[Target audienceFR],"",FALSE)</f>
        <v>Gestion</v>
      </c>
      <c r="N77" s="19" t="str">
        <f>IF(Projects[[#This Row],[Target audience2]]="","",_xlfn.XLOOKUP(Projects[[#This Row],[Target audience2]],Table4[Target audience],Table4[Target audienceFR],"Check",FALSE))</f>
        <v>Juges/greffiers</v>
      </c>
      <c r="O77" s="19" t="str">
        <f>IF(Projects[[#This Row],[Target audience3]]="","",_xlfn.XLOOKUP(Projects[[#This Row],[Target audience3]],Table4[Target audience],Table4[Target audienceFR],"Check",FALSE))</f>
        <v/>
      </c>
      <c r="P77" s="19" t="str">
        <f>IF(Projects[[#This Row],[Target audience4]]="","",_xlfn.XLOOKUP(Projects[[#This Row],[Target audience4]],Table4[Target audience],Table4[Target audienceFR],"Check",FALSE))</f>
        <v/>
      </c>
      <c r="Q77" s="19" t="str">
        <f>IF(Projects[[#This Row],[Target audience5]]="","",_xlfn.XLOOKUP(Projects[[#This Row],[Target audience5]],Table4[Target audience],Table4[Target audienceFR],"Check",FALSE))</f>
        <v/>
      </c>
      <c r="R77" s="19" t="str">
        <f>_xlfn.XLOOKUP(Projects[[#This Row],[Status]],Table8[Status],Table8[StatusFR],"",FALSE)</f>
        <v>Fonctionnel</v>
      </c>
      <c r="S77" s="19" t="str">
        <f>_xlfn.XLOOKUP(Projects[[#This Row],[Coverage]],Table7[Coverage],Table7[CoverageFR],"",FALSE)</f>
        <v xml:space="preserve">National </v>
      </c>
      <c r="T77" s="31" t="str">
        <f>IF(Projects[[#This Row],[To publish]]="","",Projects[[#This Row],[To publish]])</f>
        <v>Batch 4</v>
      </c>
    </row>
    <row r="78" spans="1:20" ht="30" x14ac:dyDescent="0.25">
      <c r="A78" s="19">
        <f>Projects[[#This Row],[NR]]</f>
        <v>112</v>
      </c>
      <c r="B78" s="19" t="str">
        <f>IF(Projects[[#This Row],[Title]]="","",Projects[[#This Row],[Title]])</f>
        <v>Legal and Forensic Dictation Systems</v>
      </c>
      <c r="C78" s="19" t="str">
        <f>IF(Projects[[#This Row],[AI Relevance]]="","",Projects[[#This Row],[AI Relevance]])</f>
        <v>AI</v>
      </c>
      <c r="D78" s="19" t="str">
        <f>_xlfn.XLOOKUP(Projects[[#This Row],[Area1]],Table1[Area],Table1[FRArea],"Check",FALSE)</f>
        <v>7 - Enregistrement, transcription et traduction</v>
      </c>
      <c r="E78" s="19" t="str">
        <f>IF(Projects[[#This Row],[Area2]]="","",_xlfn.XLOOKUP(Projects[[#This Row],[Area2]],Table1[Area],Table1[FRArea],"Check",FALSE))</f>
        <v/>
      </c>
      <c r="F78" s="19">
        <f>IF(Projects[[#This Row],[Year]]="","",Projects[[#This Row],[Year]])</f>
        <v>2023</v>
      </c>
      <c r="G78" s="19" t="str">
        <f>_xlfn.XLOOKUP(Projects[[#This Row],[Country]],Table2[Country],Table2[Pays],"Check",FALSE)</f>
        <v>Espagne</v>
      </c>
      <c r="H78" s="19" t="str">
        <f>IF(Projects[[#This Row],[Description]]="","",Projects[[#This Row],[Description]])</f>
        <v>Enables specialised transcriptions of legal texts and medical reports</v>
      </c>
      <c r="I78" s="29" t="str">
        <f>IF(Projects[[#This Row],[DescriptionFR]]="","",Projects[[#This Row],[DescriptionFR]])</f>
        <v>Permet la transcription spécialisée de textes juridiques et de rapports médicaux</v>
      </c>
      <c r="J78" s="30" t="str">
        <f>IF(Projects[[#This Row],[Link]]="","",Projects[[#This Row],[Link]])</f>
        <v>https://rm.coe.int/internal-system/4880299b55</v>
      </c>
      <c r="K78" s="30" t="str">
        <f>IF(Projects[[#This Row],[Link1]]="","",Projects[[#This Row],[Link1]])</f>
        <v/>
      </c>
      <c r="L78" s="19" t="str">
        <f>_xlfn.XLOOKUP(Projects[[#This Row],[Implemented by]],Table3[Implemented by],Table3[ImplementedFR],"",FALSE)</f>
        <v xml:space="preserve">Publique </v>
      </c>
      <c r="M78" s="19" t="str">
        <f>_xlfn.XLOOKUP(Projects[[#This Row],[Target audience]],Table4[Target audience],Table4[Target audienceFR],"",FALSE)</f>
        <v>Juges/greffiers</v>
      </c>
      <c r="N78" s="19" t="str">
        <f>IF(Projects[[#This Row],[Target audience2]]="","",_xlfn.XLOOKUP(Projects[[#This Row],[Target audience2]],Table4[Target audience],Table4[Target audienceFR],"Check",FALSE))</f>
        <v>Procureurs/greffiers</v>
      </c>
      <c r="O78" s="19" t="str">
        <f>IF(Projects[[#This Row],[Target audience3]]="","",_xlfn.XLOOKUP(Projects[[#This Row],[Target audience3]],Table4[Target audience],Table4[Target audienceFR],"Check",FALSE))</f>
        <v>Gestion</v>
      </c>
      <c r="P78" s="19" t="str">
        <f>IF(Projects[[#This Row],[Target audience4]]="","",_xlfn.XLOOKUP(Projects[[#This Row],[Target audience4]],Table4[Target audience],Table4[Target audienceFR],"Check",FALSE))</f>
        <v/>
      </c>
      <c r="Q78" s="19" t="str">
        <f>IF(Projects[[#This Row],[Target audience5]]="","",_xlfn.XLOOKUP(Projects[[#This Row],[Target audience5]],Table4[Target audience],Table4[Target audienceFR],"Check",FALSE))</f>
        <v/>
      </c>
      <c r="R78" s="19" t="str">
        <f>_xlfn.XLOOKUP(Projects[[#This Row],[Status]],Table8[Status],Table8[StatusFR],"",FALSE)</f>
        <v>Fonctionnel</v>
      </c>
      <c r="S78" s="19" t="str">
        <f>_xlfn.XLOOKUP(Projects[[#This Row],[Coverage]],Table7[Coverage],Table7[CoverageFR],"",FALSE)</f>
        <v xml:space="preserve">National </v>
      </c>
      <c r="T78" s="31" t="str">
        <f>IF(Projects[[#This Row],[To publish]]="","",Projects[[#This Row],[To publish]])</f>
        <v>Batch 4</v>
      </c>
    </row>
    <row r="79" spans="1:20" ht="60" x14ac:dyDescent="0.25">
      <c r="A79" s="19">
        <f>Projects[[#This Row],[NR]]</f>
        <v>113</v>
      </c>
      <c r="B79" s="19" t="str">
        <f>IF(Projects[[#This Row],[Title]]="","",Projects[[#This Row],[Title]])</f>
        <v>Document anonymizer</v>
      </c>
      <c r="C79" s="19" t="str">
        <f>IF(Projects[[#This Row],[AI Relevance]]="","",Projects[[#This Row],[AI Relevance]])</f>
        <v>AI</v>
      </c>
      <c r="D79" s="19" t="str">
        <f>_xlfn.XLOOKUP(Projects[[#This Row],[Area1]],Table1[Area],Table1[FRArea],"Check",FALSE)</f>
        <v>5 - Anonymisation et pseudonymisation</v>
      </c>
      <c r="E79" s="19" t="str">
        <f>IF(Projects[[#This Row],[Area2]]="","",_xlfn.XLOOKUP(Projects[[#This Row],[Area2]],Table1[Area],Table1[FRArea],"Check",FALSE))</f>
        <v/>
      </c>
      <c r="F79" s="19">
        <f>IF(Projects[[#This Row],[Year]]="","",Projects[[#This Row],[Year]])</f>
        <v>2023</v>
      </c>
      <c r="G79" s="19" t="str">
        <f>_xlfn.XLOOKUP(Projects[[#This Row],[Country]],Table2[Country],Table2[Pays],"Check",FALSE)</f>
        <v>Espagne</v>
      </c>
      <c r="H79" s="19" t="str">
        <f>IF(Projects[[#This Row],[Description]]="","",Projects[[#This Row],[Description]])</f>
        <v xml:space="preserve">Allows for the recognition of nominal entities that identify the information related to specially protected subjects and proceeds to their anonymisation. </v>
      </c>
      <c r="I79" s="29" t="str">
        <f>IF(Projects[[#This Row],[DescriptionFR]]="","",Projects[[#This Row],[DescriptionFR]])</f>
        <v xml:space="preserve">Permet de reconnaître les entités nominales qui identifient les informations relatives aux sujets spécialement protégés et de procéder à leur anonymisation. </v>
      </c>
      <c r="J79" s="30" t="str">
        <f>IF(Projects[[#This Row],[Link]]="","",Projects[[#This Row],[Link]])</f>
        <v>https://rm.coe.int/internal-system/4880299b55</v>
      </c>
      <c r="K79" s="30" t="str">
        <f>IF(Projects[[#This Row],[Link1]]="","",Projects[[#This Row],[Link1]])</f>
        <v/>
      </c>
      <c r="L79" s="19" t="str">
        <f>_xlfn.XLOOKUP(Projects[[#This Row],[Implemented by]],Table3[Implemented by],Table3[ImplementedFR],"",FALSE)</f>
        <v xml:space="preserve">Publique </v>
      </c>
      <c r="M79" s="19" t="str">
        <f>_xlfn.XLOOKUP(Projects[[#This Row],[Target audience]],Table4[Target audience],Table4[Target audienceFR],"",FALSE)</f>
        <v>Gestion</v>
      </c>
      <c r="N79" s="19" t="str">
        <f>IF(Projects[[#This Row],[Target audience2]]="","",_xlfn.XLOOKUP(Projects[[#This Row],[Target audience2]],Table4[Target audience],Table4[Target audienceFR],"Check",FALSE))</f>
        <v>Juges/greffiers</v>
      </c>
      <c r="O79" s="19" t="str">
        <f>IF(Projects[[#This Row],[Target audience3]]="","",_xlfn.XLOOKUP(Projects[[#This Row],[Target audience3]],Table4[Target audience],Table4[Target audienceFR],"Check",FALSE))</f>
        <v/>
      </c>
      <c r="P79" s="19" t="str">
        <f>IF(Projects[[#This Row],[Target audience4]]="","",_xlfn.XLOOKUP(Projects[[#This Row],[Target audience4]],Table4[Target audience],Table4[Target audienceFR],"Check",FALSE))</f>
        <v/>
      </c>
      <c r="Q79" s="19" t="str">
        <f>IF(Projects[[#This Row],[Target audience5]]="","",_xlfn.XLOOKUP(Projects[[#This Row],[Target audience5]],Table4[Target audience],Table4[Target audienceFR],"Check",FALSE))</f>
        <v/>
      </c>
      <c r="R79" s="19" t="str">
        <f>_xlfn.XLOOKUP(Projects[[#This Row],[Status]],Table8[Status],Table8[StatusFR],"",FALSE)</f>
        <v>Fonctionnel</v>
      </c>
      <c r="S79" s="19" t="str">
        <f>_xlfn.XLOOKUP(Projects[[#This Row],[Coverage]],Table7[Coverage],Table7[CoverageFR],"",FALSE)</f>
        <v/>
      </c>
      <c r="T79" s="31" t="str">
        <f>IF(Projects[[#This Row],[To publish]]="","",Projects[[#This Row],[To publish]])</f>
        <v>Withdrawn</v>
      </c>
    </row>
    <row r="80" spans="1:20" ht="45" x14ac:dyDescent="0.25">
      <c r="A80" s="19">
        <f>Projects[[#This Row],[NR]]</f>
        <v>114</v>
      </c>
      <c r="B80" s="19" t="str">
        <f>IF(Projects[[#This Row],[Title]]="","",Projects[[#This Row],[Title]])</f>
        <v>Document classifier</v>
      </c>
      <c r="C80" s="19" t="str">
        <f>IF(Projects[[#This Row],[AI Relevance]]="","",Projects[[#This Row],[AI Relevance]])</f>
        <v>AI</v>
      </c>
      <c r="D80" s="19" t="str">
        <f>_xlfn.XLOOKUP(Projects[[#This Row],[Area1]],Table1[Area],Table1[FRArea],"Check",FALSE)</f>
        <v>6 - Triage, attribution et automatisation des flux de travail</v>
      </c>
      <c r="E80" s="19" t="str">
        <f>IF(Projects[[#This Row],[Area2]]="","",_xlfn.XLOOKUP(Projects[[#This Row],[Area2]],Table1[Area],Table1[FRArea],"Check",FALSE))</f>
        <v/>
      </c>
      <c r="F80" s="19">
        <f>IF(Projects[[#This Row],[Year]]="","",Projects[[#This Row],[Year]])</f>
        <v>2023</v>
      </c>
      <c r="G80" s="19" t="str">
        <f>_xlfn.XLOOKUP(Projects[[#This Row],[Country]],Table2[Country],Table2[Pays],"Check",FALSE)</f>
        <v>Espagne</v>
      </c>
      <c r="H80" s="19" t="str">
        <f>IF(Projects[[#This Row],[Description]]="","",Projects[[#This Row],[Description]])</f>
        <v>It allows the self-cataloguing of the documentation received in the judicial offices based on the documentary standards established by the CGPJ.</v>
      </c>
      <c r="I80" s="29" t="str">
        <f>IF(Projects[[#This Row],[DescriptionFR]]="","",Projects[[#This Row],[DescriptionFR]])</f>
        <v>Il permet l'auto-catalogage de la documentation reçue dans les bureaux judiciaires sur la base des normes documentaires établies par le CGPJ.</v>
      </c>
      <c r="J80" s="30" t="str">
        <f>IF(Projects[[#This Row],[Link]]="","",Projects[[#This Row],[Link]])</f>
        <v>https://rm.coe.int/internal-system/4880299b55</v>
      </c>
      <c r="K80" s="30" t="str">
        <f>IF(Projects[[#This Row],[Link1]]="","",Projects[[#This Row],[Link1]])</f>
        <v/>
      </c>
      <c r="L80" s="19" t="str">
        <f>_xlfn.XLOOKUP(Projects[[#This Row],[Implemented by]],Table3[Implemented by],Table3[ImplementedFR],"",FALSE)</f>
        <v xml:space="preserve">Publique </v>
      </c>
      <c r="M80" s="19" t="str">
        <f>_xlfn.XLOOKUP(Projects[[#This Row],[Target audience]],Table4[Target audience],Table4[Target audienceFR],"",FALSE)</f>
        <v>Gestion</v>
      </c>
      <c r="N80" s="19" t="str">
        <f>IF(Projects[[#This Row],[Target audience2]]="","",_xlfn.XLOOKUP(Projects[[#This Row],[Target audience2]],Table4[Target audience],Table4[Target audienceFR],"Check",FALSE))</f>
        <v>Juges/greffiers</v>
      </c>
      <c r="O80" s="19" t="str">
        <f>IF(Projects[[#This Row],[Target audience3]]="","",_xlfn.XLOOKUP(Projects[[#This Row],[Target audience3]],Table4[Target audience],Table4[Target audienceFR],"Check",FALSE))</f>
        <v/>
      </c>
      <c r="P80" s="19" t="str">
        <f>IF(Projects[[#This Row],[Target audience4]]="","",_xlfn.XLOOKUP(Projects[[#This Row],[Target audience4]],Table4[Target audience],Table4[Target audienceFR],"Check",FALSE))</f>
        <v/>
      </c>
      <c r="Q80" s="19" t="str">
        <f>IF(Projects[[#This Row],[Target audience5]]="","",_xlfn.XLOOKUP(Projects[[#This Row],[Target audience5]],Table4[Target audience],Table4[Target audienceFR],"Check",FALSE))</f>
        <v/>
      </c>
      <c r="R80" s="19" t="str">
        <f>_xlfn.XLOOKUP(Projects[[#This Row],[Status]],Table8[Status],Table8[StatusFR],"",FALSE)</f>
        <v>Fonctionnel</v>
      </c>
      <c r="S80" s="19" t="str">
        <f>_xlfn.XLOOKUP(Projects[[#This Row],[Coverage]],Table7[Coverage],Table7[CoverageFR],"",FALSE)</f>
        <v/>
      </c>
      <c r="T80" s="31" t="str">
        <f>IF(Projects[[#This Row],[To publish]]="","",Projects[[#This Row],[To publish]])</f>
        <v>Withdrawn</v>
      </c>
    </row>
    <row r="81" spans="1:20" ht="90" x14ac:dyDescent="0.25">
      <c r="A81" s="19">
        <f>Projects[[#This Row],[NR]]</f>
        <v>115</v>
      </c>
      <c r="B81" s="19" t="str">
        <f>IF(Projects[[#This Row],[Title]]="","",Projects[[#This Row],[Title]])</f>
        <v>Similarity Analysis</v>
      </c>
      <c r="C81" s="19" t="str">
        <f>IF(Projects[[#This Row],[AI Relevance]]="","",Projects[[#This Row],[AI Relevance]])</f>
        <v>AI</v>
      </c>
      <c r="D81" s="19" t="str">
        <f>_xlfn.XLOOKUP(Projects[[#This Row],[Area1]],Table1[Area],Table1[FRArea],"Check",FALSE)</f>
        <v>4 - Aide à la décision</v>
      </c>
      <c r="E81" s="19" t="str">
        <f>IF(Projects[[#This Row],[Area2]]="","",_xlfn.XLOOKUP(Projects[[#This Row],[Area2]],Table1[Area],Table1[FRArea],"Check",FALSE))</f>
        <v/>
      </c>
      <c r="F81" s="19">
        <f>IF(Projects[[#This Row],[Year]]="","",Projects[[#This Row],[Year]])</f>
        <v>2023</v>
      </c>
      <c r="G81" s="19" t="str">
        <f>_xlfn.XLOOKUP(Projects[[#This Row],[Country]],Table2[Country],Table2[Pays],"Check",FALSE)</f>
        <v>Espagne</v>
      </c>
      <c r="H81" s="19" t="str">
        <f>IF(Projects[[#This Row],[Description]]="","",Projects[[#This Row],[Description]])</f>
        <v>It allows locating the same entity (same person) in different parts of the document, and recognising them as the same, despite significant differences in their literals.</v>
      </c>
      <c r="I81" s="29" t="str">
        <f>IF(Projects[[#This Row],[DescriptionFR]]="","",Projects[[#This Row],[DescriptionFR]])</f>
        <v xml:space="preserve">L'outil permet d'introduire tout élément juridique dans un format facile à lire. Pour les personnes présentant une diversité fonctionnelle et ayant des difficultés de compréhension. Des règles standardisées sont appliquées pour rendre les documents accessibles à tous. </v>
      </c>
      <c r="J81" s="30" t="str">
        <f>IF(Projects[[#This Row],[Link]]="","",Projects[[#This Row],[Link]])</f>
        <v>https://rm.coe.int/internal-system/4880299b55</v>
      </c>
      <c r="K81" s="30" t="str">
        <f>IF(Projects[[#This Row],[Link1]]="","",Projects[[#This Row],[Link1]])</f>
        <v/>
      </c>
      <c r="L81" s="19" t="str">
        <f>_xlfn.XLOOKUP(Projects[[#This Row],[Implemented by]],Table3[Implemented by],Table3[ImplementedFR],"",FALSE)</f>
        <v xml:space="preserve">Publique </v>
      </c>
      <c r="M81" s="19" t="str">
        <f>_xlfn.XLOOKUP(Projects[[#This Row],[Target audience]],Table4[Target audience],Table4[Target audienceFR],"",FALSE)</f>
        <v>Juges/greffiers</v>
      </c>
      <c r="N81" s="19" t="str">
        <f>IF(Projects[[#This Row],[Target audience2]]="","",_xlfn.XLOOKUP(Projects[[#This Row],[Target audience2]],Table4[Target audience],Table4[Target audienceFR],"Check",FALSE))</f>
        <v/>
      </c>
      <c r="O81" s="19" t="str">
        <f>IF(Projects[[#This Row],[Target audience3]]="","",_xlfn.XLOOKUP(Projects[[#This Row],[Target audience3]],Table4[Target audience],Table4[Target audienceFR],"Check",FALSE))</f>
        <v/>
      </c>
      <c r="P81" s="19" t="str">
        <f>IF(Projects[[#This Row],[Target audience4]]="","",_xlfn.XLOOKUP(Projects[[#This Row],[Target audience4]],Table4[Target audience],Table4[Target audienceFR],"Check",FALSE))</f>
        <v/>
      </c>
      <c r="Q81" s="19" t="str">
        <f>IF(Projects[[#This Row],[Target audience5]]="","",_xlfn.XLOOKUP(Projects[[#This Row],[Target audience5]],Table4[Target audience],Table4[Target audienceFR],"Check",FALSE))</f>
        <v/>
      </c>
      <c r="R81" s="19" t="str">
        <f>_xlfn.XLOOKUP(Projects[[#This Row],[Status]],Table8[Status],Table8[StatusFR],"",FALSE)</f>
        <v>Fonctionnel</v>
      </c>
      <c r="S81" s="19" t="str">
        <f>_xlfn.XLOOKUP(Projects[[#This Row],[Coverage]],Table7[Coverage],Table7[CoverageFR],"",FALSE)</f>
        <v/>
      </c>
      <c r="T81" s="31" t="str">
        <f>IF(Projects[[#This Row],[To publish]]="","",Projects[[#This Row],[To publish]])</f>
        <v>Withdrawn</v>
      </c>
    </row>
    <row r="82" spans="1:20" ht="90" x14ac:dyDescent="0.25">
      <c r="A82" s="19">
        <f>Projects[[#This Row],[NR]]</f>
        <v>116</v>
      </c>
      <c r="B82" s="19" t="str">
        <f>IF(Projects[[#This Row],[Title]]="","",Projects[[#This Row],[Title]])</f>
        <v>Easy Reading</v>
      </c>
      <c r="C82" s="19" t="str">
        <f>IF(Projects[[#This Row],[AI Relevance]]="","",Projects[[#This Row],[AI Relevance]])</f>
        <v>AI</v>
      </c>
      <c r="D82" s="19" t="str">
        <f>_xlfn.XLOOKUP(Projects[[#This Row],[Area1]],Table1[Area],Table1[FRArea],"Check",FALSE)</f>
        <v>8 - Services d'information/assistance</v>
      </c>
      <c r="E82" s="19" t="str">
        <f>IF(Projects[[#This Row],[Area2]]="","",_xlfn.XLOOKUP(Projects[[#This Row],[Area2]],Table1[Area],Table1[FRArea],"Check",FALSE))</f>
        <v/>
      </c>
      <c r="F82" s="19">
        <f>IF(Projects[[#This Row],[Year]]="","",Projects[[#This Row],[Year]])</f>
        <v>2023</v>
      </c>
      <c r="G82" s="19" t="str">
        <f>_xlfn.XLOOKUP(Projects[[#This Row],[Country]],Table2[Country],Table2[Pays],"Check",FALSE)</f>
        <v>Espagne</v>
      </c>
      <c r="H82" s="19" t="str">
        <f>IF(Projects[[#This Row],[Description]]="","",Projects[[#This Row],[Description]])</f>
        <v xml:space="preserve">The tool allows the introduction of any legal element in easy reading format. For people with functional diversity who have some comprehension difficulties. Standardised rules are applied to make documents accessible to everyone. </v>
      </c>
      <c r="I82" s="29" t="str">
        <f>IF(Projects[[#This Row],[DescriptionFR]]="","",Projects[[#This Row],[DescriptionFR]])</f>
        <v xml:space="preserve">L'outil permet d'introduire tout élément juridique dans un format facile à lire. Pour les personnes présentant une diversité fonctionnelle et ayant des difficultés de compréhension. Des règles standardisées sont appliquées pour rendre les documents accessibles à tous. </v>
      </c>
      <c r="J82" s="30" t="str">
        <f>IF(Projects[[#This Row],[Link]]="","",Projects[[#This Row],[Link]])</f>
        <v>https://rm.coe.int/internal-system/4880299b55</v>
      </c>
      <c r="K82" s="30" t="str">
        <f>IF(Projects[[#This Row],[Link1]]="","",Projects[[#This Row],[Link1]])</f>
        <v/>
      </c>
      <c r="L82" s="19" t="str">
        <f>_xlfn.XLOOKUP(Projects[[#This Row],[Implemented by]],Table3[Implemented by],Table3[ImplementedFR],"",FALSE)</f>
        <v xml:space="preserve">Publique </v>
      </c>
      <c r="M82" s="19" t="str">
        <f>_xlfn.XLOOKUP(Projects[[#This Row],[Target audience]],Table4[Target audience],Table4[Target audienceFR],"",FALSE)</f>
        <v>Usagers des tribunaux (Grand public)</v>
      </c>
      <c r="N82" s="19" t="str">
        <f>IF(Projects[[#This Row],[Target audience2]]="","",_xlfn.XLOOKUP(Projects[[#This Row],[Target audience2]],Table4[Target audience],Table4[Target audienceFR],"Check",FALSE))</f>
        <v/>
      </c>
      <c r="O82" s="19" t="str">
        <f>IF(Projects[[#This Row],[Target audience3]]="","",_xlfn.XLOOKUP(Projects[[#This Row],[Target audience3]],Table4[Target audience],Table4[Target audienceFR],"Check",FALSE))</f>
        <v/>
      </c>
      <c r="P82" s="19" t="str">
        <f>IF(Projects[[#This Row],[Target audience4]]="","",_xlfn.XLOOKUP(Projects[[#This Row],[Target audience4]],Table4[Target audience],Table4[Target audienceFR],"Check",FALSE))</f>
        <v/>
      </c>
      <c r="Q82" s="19" t="str">
        <f>IF(Projects[[#This Row],[Target audience5]]="","",_xlfn.XLOOKUP(Projects[[#This Row],[Target audience5]],Table4[Target audience],Table4[Target audienceFR],"Check",FALSE))</f>
        <v/>
      </c>
      <c r="R82" s="19" t="str">
        <f>_xlfn.XLOOKUP(Projects[[#This Row],[Status]],Table8[Status],Table8[StatusFR],"",FALSE)</f>
        <v>Fonctionnel</v>
      </c>
      <c r="S82" s="19" t="str">
        <f>_xlfn.XLOOKUP(Projects[[#This Row],[Coverage]],Table7[Coverage],Table7[CoverageFR],"",FALSE)</f>
        <v/>
      </c>
      <c r="T82" s="31" t="str">
        <f>IF(Projects[[#This Row],[To publish]]="","",Projects[[#This Row],[To publish]])</f>
        <v>Withdrawn</v>
      </c>
    </row>
    <row r="83" spans="1:20" ht="150" x14ac:dyDescent="0.25">
      <c r="A83" s="19">
        <f>Projects[[#This Row],[NR]]</f>
        <v>117</v>
      </c>
      <c r="B83" s="19" t="str">
        <f>IF(Projects[[#This Row],[Title]]="","",Projects[[#This Row],[Title]])</f>
        <v>Public Prosecutor management system</v>
      </c>
      <c r="C83" s="19" t="str">
        <f>IF(Projects[[#This Row],[AI Relevance]]="","",Projects[[#This Row],[AI Relevance]])</f>
        <v>AI</v>
      </c>
      <c r="D83" s="19" t="str">
        <f>_xlfn.XLOOKUP(Projects[[#This Row],[Area1]],Table1[Area],Table1[FRArea],"Check",FALSE)</f>
        <v>1 - Recherche documentaire</v>
      </c>
      <c r="E83" s="19" t="str">
        <f>IF(Projects[[#This Row],[Area2]]="","",_xlfn.XLOOKUP(Projects[[#This Row],[Area2]],Table1[Area],Table1[FRArea],"Check",FALSE))</f>
        <v>4 - Aide à la décision</v>
      </c>
      <c r="F83" s="19">
        <f>IF(Projects[[#This Row],[Year]]="","",Projects[[#This Row],[Year]])</f>
        <v>2023</v>
      </c>
      <c r="G83" s="19" t="str">
        <f>_xlfn.XLOOKUP(Projects[[#This Row],[Country]],Table2[Country],Table2[Pays],"Check",FALSE)</f>
        <v>Espagne</v>
      </c>
      <c r="H83" s="19" t="str">
        <f>IF(Projects[[#This Row],[Description]]="","",Projects[[#This Row],[Description]])</f>
        <v>Integration of the "Delfos" intelligent search engine with "Fortuny". Delfos is an AI-driven search engine that performs natural language queries by a predictive text engine. In addition, it automatically filters the results obtained and offers suggested queries. It provides document summaries and  allows legal professionals to consult their own documents, saving time.</v>
      </c>
      <c r="I83" s="29" t="str">
        <f>IF(Projects[[#This Row],[DescriptionFR]]="","",Projects[[#This Row],[DescriptionFR]])</f>
        <v xml:space="preserve">Intégration du moteur de recherche intelligent « Delfos » à « Fortuny ». Delfos est un moteur de recherche piloté par l'IA qui effectue des requêtes en langage naturel à l'aide d'un moteur de texte prédictif. En outre, il filtre automatiquement les résultats obtenus et propose des requêtes suggérées. Il fournit des résumés de documents et permet aux professionnels du droit de consulter leurs propres documents, ce qui leur fait gagner du temps.
</v>
      </c>
      <c r="J83" s="30" t="str">
        <f>IF(Projects[[#This Row],[Link]]="","",Projects[[#This Row],[Link]])</f>
        <v>https://rm.coe.int/internal-system/4880299b55</v>
      </c>
      <c r="K83" s="30" t="str">
        <f>IF(Projects[[#This Row],[Link1]]="","",Projects[[#This Row],[Link1]])</f>
        <v/>
      </c>
      <c r="L83" s="19" t="str">
        <f>_xlfn.XLOOKUP(Projects[[#This Row],[Implemented by]],Table3[Implemented by],Table3[ImplementedFR],"",FALSE)</f>
        <v xml:space="preserve">Publique </v>
      </c>
      <c r="M83" s="19" t="str">
        <f>_xlfn.XLOOKUP(Projects[[#This Row],[Target audience]],Table4[Target audience],Table4[Target audienceFR],"",FALSE)</f>
        <v>Procureurs/greffiers</v>
      </c>
      <c r="N83" s="19" t="str">
        <f>IF(Projects[[#This Row],[Target audience2]]="","",_xlfn.XLOOKUP(Projects[[#This Row],[Target audience2]],Table4[Target audience],Table4[Target audienceFR],"Check",FALSE))</f>
        <v/>
      </c>
      <c r="O83" s="19" t="str">
        <f>IF(Projects[[#This Row],[Target audience3]]="","",_xlfn.XLOOKUP(Projects[[#This Row],[Target audience3]],Table4[Target audience],Table4[Target audienceFR],"Check",FALSE))</f>
        <v/>
      </c>
      <c r="P83" s="19" t="str">
        <f>IF(Projects[[#This Row],[Target audience4]]="","",_xlfn.XLOOKUP(Projects[[#This Row],[Target audience4]],Table4[Target audience],Table4[Target audienceFR],"Check",FALSE))</f>
        <v/>
      </c>
      <c r="Q83" s="19" t="str">
        <f>IF(Projects[[#This Row],[Target audience5]]="","",_xlfn.XLOOKUP(Projects[[#This Row],[Target audience5]],Table4[Target audience],Table4[Target audienceFR],"Check",FALSE))</f>
        <v/>
      </c>
      <c r="R83" s="19" t="str">
        <f>_xlfn.XLOOKUP(Projects[[#This Row],[Status]],Table8[Status],Table8[StatusFR],"",FALSE)</f>
        <v>Fonctionnel</v>
      </c>
      <c r="S83" s="19" t="str">
        <f>_xlfn.XLOOKUP(Projects[[#This Row],[Coverage]],Table7[Coverage],Table7[CoverageFR],"",FALSE)</f>
        <v xml:space="preserve">National </v>
      </c>
      <c r="T83" s="31" t="str">
        <f>IF(Projects[[#This Row],[To publish]]="","",Projects[[#This Row],[To publish]])</f>
        <v>Batch 4</v>
      </c>
    </row>
    <row r="84" spans="1:20" ht="90" x14ac:dyDescent="0.25">
      <c r="A84" s="19">
        <f>Projects[[#This Row],[NR]]</f>
        <v>118</v>
      </c>
      <c r="B84" s="19" t="str">
        <f>IF(Projects[[#This Row],[Title]]="","",Projects[[#This Row],[Title]])</f>
        <v>Justice Folder</v>
      </c>
      <c r="C84" s="19" t="str">
        <f>IF(Projects[[#This Row],[AI Relevance]]="","",Projects[[#This Row],[AI Relevance]])</f>
        <v>AI</v>
      </c>
      <c r="D84" s="19" t="str">
        <f>_xlfn.XLOOKUP(Projects[[#This Row],[Area1]],Table1[Area],Table1[FRArea],"Check",FALSE)</f>
        <v>8 - Services d'information/assistance</v>
      </c>
      <c r="E84" s="19" t="str">
        <f>IF(Projects[[#This Row],[Area2]]="","",_xlfn.XLOOKUP(Projects[[#This Row],[Area2]],Table1[Area],Table1[FRArea],"Check",FALSE))</f>
        <v>6 - Triage, attribution et automatisation des flux de travail</v>
      </c>
      <c r="F84" s="19">
        <f>IF(Projects[[#This Row],[Year]]="","",Projects[[#This Row],[Year]])</f>
        <v>2023</v>
      </c>
      <c r="G84" s="19" t="str">
        <f>_xlfn.XLOOKUP(Projects[[#This Row],[Country]],Table2[Country],Table2[Pays],"Check",FALSE)</f>
        <v>Espagne</v>
      </c>
      <c r="H84" s="19" t="str">
        <f>IF(Projects[[#This Row],[Description]]="","",Projects[[#This Row],[Description]])</f>
        <v>Allows interested parties to know the judicial notifications and any other information of the judicial files to which they are party to. The last version includes AI solutions such as Summary service and Document anonymisation.</v>
      </c>
      <c r="I84" s="29" t="str">
        <f>IF(Projects[[#This Row],[DescriptionFR]]="","",Projects[[#This Row],[DescriptionFR]])</f>
        <v>Permet aux parties intéressées de connaître les notifications judiciaires et toute autre information des dossiers judiciaires auxquels elles sont parties. La dernière version inclut des solutions d'intelligence artificielle telles que le service de résumé et l'anonymisation des documents.</v>
      </c>
      <c r="J84" s="30" t="str">
        <f>IF(Projects[[#This Row],[Link]]="","",Projects[[#This Row],[Link]])</f>
        <v>https://rm.coe.int/internal-system/4880299b55</v>
      </c>
      <c r="K84" s="30" t="str">
        <f>IF(Projects[[#This Row],[Link1]]="","",Projects[[#This Row],[Link1]])</f>
        <v/>
      </c>
      <c r="L84" s="19" t="str">
        <f>_xlfn.XLOOKUP(Projects[[#This Row],[Implemented by]],Table3[Implemented by],Table3[ImplementedFR],"",FALSE)</f>
        <v xml:space="preserve">Publique </v>
      </c>
      <c r="M84" s="19" t="str">
        <f>_xlfn.XLOOKUP(Projects[[#This Row],[Target audience]],Table4[Target audience],Table4[Target audienceFR],"",FALSE)</f>
        <v>Avocats</v>
      </c>
      <c r="N84" s="19" t="str">
        <f>IF(Projects[[#This Row],[Target audience2]]="","",_xlfn.XLOOKUP(Projects[[#This Row],[Target audience2]],Table4[Target audience],Table4[Target audienceFR],"Check",FALSE))</f>
        <v>Usagers des tribunaux (Grand public)</v>
      </c>
      <c r="O84" s="19" t="str">
        <f>IF(Projects[[#This Row],[Target audience3]]="","",_xlfn.XLOOKUP(Projects[[#This Row],[Target audience3]],Table4[Target audience],Table4[Target audienceFR],"Check",FALSE))</f>
        <v/>
      </c>
      <c r="P84" s="19" t="str">
        <f>IF(Projects[[#This Row],[Target audience4]]="","",_xlfn.XLOOKUP(Projects[[#This Row],[Target audience4]],Table4[Target audience],Table4[Target audienceFR],"Check",FALSE))</f>
        <v/>
      </c>
      <c r="Q84" s="19" t="str">
        <f>IF(Projects[[#This Row],[Target audience5]]="","",_xlfn.XLOOKUP(Projects[[#This Row],[Target audience5]],Table4[Target audience],Table4[Target audienceFR],"Check",FALSE))</f>
        <v/>
      </c>
      <c r="R84" s="19" t="str">
        <f>_xlfn.XLOOKUP(Projects[[#This Row],[Status]],Table8[Status],Table8[StatusFR],"",FALSE)</f>
        <v>Fonctionnel</v>
      </c>
      <c r="S84" s="19" t="str">
        <f>_xlfn.XLOOKUP(Projects[[#This Row],[Coverage]],Table7[Coverage],Table7[CoverageFR],"",FALSE)</f>
        <v/>
      </c>
      <c r="T84" s="31" t="str">
        <f>IF(Projects[[#This Row],[To publish]]="","",Projects[[#This Row],[To publish]])</f>
        <v>Withdrawn</v>
      </c>
    </row>
    <row r="85" spans="1:20" ht="90" x14ac:dyDescent="0.25">
      <c r="A85" s="19">
        <f>Projects[[#This Row],[NR]]</f>
        <v>120</v>
      </c>
      <c r="B85" s="19" t="str">
        <f>IF(Projects[[#This Row],[Title]]="","",Projects[[#This Row],[Title]])</f>
        <v xml:space="preserve">Legal Documents Classification </v>
      </c>
      <c r="C85" s="19" t="str">
        <f>IF(Projects[[#This Row],[AI Relevance]]="","",Projects[[#This Row],[AI Relevance]])</f>
        <v>AI</v>
      </c>
      <c r="D85" s="19" t="str">
        <f>_xlfn.XLOOKUP(Projects[[#This Row],[Area1]],Table1[Area],Table1[FRArea],"Check",FALSE)</f>
        <v>6 - Triage, attribution et automatisation des flux de travail</v>
      </c>
      <c r="E85" s="19" t="str">
        <f>IF(Projects[[#This Row],[Area2]]="","",_xlfn.XLOOKUP(Projects[[#This Row],[Area2]],Table1[Area],Table1[FRArea],"Check",FALSE))</f>
        <v/>
      </c>
      <c r="F85" s="19">
        <f>IF(Projects[[#This Row],[Year]]="","",Projects[[#This Row],[Year]])</f>
        <v>2022</v>
      </c>
      <c r="G85" s="19" t="str">
        <f>_xlfn.XLOOKUP(Projects[[#This Row],[Country]],Table2[Country],Table2[Pays],"Check",FALSE)</f>
        <v>Türkiye</v>
      </c>
      <c r="H85" s="19" t="str">
        <f>IF(Projects[[#This Row],[Description]]="","",Projects[[#This Row],[Description]])</f>
        <v>This project was put into service within the UYAP information system as of January 2022 in order to minimise the human burden in the work to be carried out both for the transfer of non-digital physical documents to UYAP, and to determine the relevant document type according to more than 300 categories.</v>
      </c>
      <c r="I85" s="29" t="str">
        <f>IF(Projects[[#This Row],[DescriptionFR]]="","",Projects[[#This Row],[DescriptionFR]])</f>
        <v>Ce projet a été mis en service au sein du système d'information de l'UYAP à partir de janvier 2022 afin de minimiser la charge humaine dans le travail à effectuer à la fois pour le transfert des documents physiques non numériques à l'UYAP, et pour déterminer le type de document pertinent selon plus de 300 catégories.</v>
      </c>
      <c r="J85" s="30" t="str">
        <f>IF(Projects[[#This Row],[Link]]="","",Projects[[#This Row],[Link]])</f>
        <v>https://rm.coe.int/internal-system/4880299b55</v>
      </c>
      <c r="K85" s="30" t="str">
        <f>IF(Projects[[#This Row],[Link1]]="","",Projects[[#This Row],[Link1]])</f>
        <v/>
      </c>
      <c r="L85" s="19" t="str">
        <f>_xlfn.XLOOKUP(Projects[[#This Row],[Implemented by]],Table3[Implemented by],Table3[ImplementedFR],"",FALSE)</f>
        <v xml:space="preserve">Publique </v>
      </c>
      <c r="M85" s="19" t="str">
        <f>_xlfn.XLOOKUP(Projects[[#This Row],[Target audience]],Table4[Target audience],Table4[Target audienceFR],"",FALSE)</f>
        <v>Usagers des tribunaux (Grand public)</v>
      </c>
      <c r="N85" s="19" t="str">
        <f>IF(Projects[[#This Row],[Target audience2]]="","",_xlfn.XLOOKUP(Projects[[#This Row],[Target audience2]],Table4[Target audience],Table4[Target audienceFR],"Check",FALSE))</f>
        <v/>
      </c>
      <c r="O85" s="19" t="str">
        <f>IF(Projects[[#This Row],[Target audience3]]="","",_xlfn.XLOOKUP(Projects[[#This Row],[Target audience3]],Table4[Target audience],Table4[Target audienceFR],"Check",FALSE))</f>
        <v/>
      </c>
      <c r="P85" s="19" t="str">
        <f>IF(Projects[[#This Row],[Target audience4]]="","",_xlfn.XLOOKUP(Projects[[#This Row],[Target audience4]],Table4[Target audience],Table4[Target audienceFR],"Check",FALSE))</f>
        <v/>
      </c>
      <c r="Q85" s="19" t="str">
        <f>IF(Projects[[#This Row],[Target audience5]]="","",_xlfn.XLOOKUP(Projects[[#This Row],[Target audience5]],Table4[Target audience],Table4[Target audienceFR],"Check",FALSE))</f>
        <v/>
      </c>
      <c r="R85" s="19" t="str">
        <f>_xlfn.XLOOKUP(Projects[[#This Row],[Status]],Table8[Status],Table8[StatusFR],"",FALSE)</f>
        <v>Fonctionnel</v>
      </c>
      <c r="S85" s="19" t="str">
        <f>_xlfn.XLOOKUP(Projects[[#This Row],[Coverage]],Table7[Coverage],Table7[CoverageFR],"",FALSE)</f>
        <v xml:space="preserve">National </v>
      </c>
      <c r="T85" s="31" t="str">
        <f>IF(Projects[[#This Row],[To publish]]="","",Projects[[#This Row],[To publish]])</f>
        <v>Batch 5</v>
      </c>
    </row>
    <row r="86" spans="1:20" ht="150" x14ac:dyDescent="0.25">
      <c r="A86" s="19">
        <f>Projects[[#This Row],[NR]]</f>
        <v>121</v>
      </c>
      <c r="B86" s="19" t="str">
        <f>IF(Projects[[#This Row],[Title]]="","",Projects[[#This Row],[Title]])</f>
        <v>Document Classification in Enforcement Processes</v>
      </c>
      <c r="C86" s="19" t="str">
        <f>IF(Projects[[#This Row],[AI Relevance]]="","",Projects[[#This Row],[AI Relevance]])</f>
        <v>AI</v>
      </c>
      <c r="D86" s="19" t="str">
        <f>_xlfn.XLOOKUP(Projects[[#This Row],[Area1]],Table1[Area],Table1[FRArea],"Check",FALSE)</f>
        <v>6 - Triage, attribution et automatisation des flux de travail</v>
      </c>
      <c r="E86" s="19" t="str">
        <f>IF(Projects[[#This Row],[Area2]]="","",_xlfn.XLOOKUP(Projects[[#This Row],[Area2]],Table1[Area],Table1[FRArea],"Check",FALSE))</f>
        <v/>
      </c>
      <c r="F86" s="19">
        <f>IF(Projects[[#This Row],[Year]]="","",Projects[[#This Row],[Year]])</f>
        <v>2022</v>
      </c>
      <c r="G86" s="19" t="str">
        <f>_xlfn.XLOOKUP(Projects[[#This Row],[Country]],Table2[Country],Table2[Pays],"Check",FALSE)</f>
        <v>Türkiye</v>
      </c>
      <c r="H86" s="19" t="str">
        <f>IF(Projects[[#This Row],[Description]]="","",Projects[[#This Row],[Description]])</f>
        <v xml:space="preserve">AI Assisted Enforcement Document Classification Project was developed to facilitate the transfer of archive files to the UYAP system and to minimize human workload. The project automatically detects the document content, classifies the type of documents and presents the recommended document type to the user for approval. This makes it possible to quickly classify data, saving effort and time for the users. </v>
      </c>
      <c r="I86" s="29" t="str">
        <f>IF(Projects[[#This Row],[DescriptionFR]]="","",Projects[[#This Row],[DescriptionFR]])</f>
        <v xml:space="preserve">Le projet de classification des documents d'exécution assistée par IA a été développé pour faciliter le transfert des fichiers d'archives vers le système UYAP et pour minimiser la charge de travail humaine. Le projet détecte automatiquement le contenu du document, classifie le type de document et présente le type de document recommandé à l'utilisateur pour approbation. Il est ainsi possible de classer rapidement les données, ce qui permet aux utilisateurs d'économiser du temps et de l'énergie. </v>
      </c>
      <c r="J86" s="30" t="str">
        <f>IF(Projects[[#This Row],[Link]]="","",Projects[[#This Row],[Link]])</f>
        <v>https://rm.coe.int/internal-system/4880299b55</v>
      </c>
      <c r="K86" s="30" t="str">
        <f>IF(Projects[[#This Row],[Link1]]="","",Projects[[#This Row],[Link1]])</f>
        <v/>
      </c>
      <c r="L86" s="19" t="str">
        <f>_xlfn.XLOOKUP(Projects[[#This Row],[Implemented by]],Table3[Implemented by],Table3[ImplementedFR],"",FALSE)</f>
        <v xml:space="preserve">Publique </v>
      </c>
      <c r="M86" s="19" t="str">
        <f>_xlfn.XLOOKUP(Projects[[#This Row],[Target audience]],Table4[Target audience],Table4[Target audienceFR],"",FALSE)</f>
        <v>Usagers des tribunaux (Grand public)</v>
      </c>
      <c r="N86" s="19" t="str">
        <f>IF(Projects[[#This Row],[Target audience2]]="","",_xlfn.XLOOKUP(Projects[[#This Row],[Target audience2]],Table4[Target audience],Table4[Target audienceFR],"Check",FALSE))</f>
        <v/>
      </c>
      <c r="O86" s="19" t="str">
        <f>IF(Projects[[#This Row],[Target audience3]]="","",_xlfn.XLOOKUP(Projects[[#This Row],[Target audience3]],Table4[Target audience],Table4[Target audienceFR],"Check",FALSE))</f>
        <v/>
      </c>
      <c r="P86" s="19" t="str">
        <f>IF(Projects[[#This Row],[Target audience4]]="","",_xlfn.XLOOKUP(Projects[[#This Row],[Target audience4]],Table4[Target audience],Table4[Target audienceFR],"Check",FALSE))</f>
        <v/>
      </c>
      <c r="Q86" s="19" t="str">
        <f>IF(Projects[[#This Row],[Target audience5]]="","",_xlfn.XLOOKUP(Projects[[#This Row],[Target audience5]],Table4[Target audience],Table4[Target audienceFR],"Check",FALSE))</f>
        <v/>
      </c>
      <c r="R86" s="19" t="str">
        <f>_xlfn.XLOOKUP(Projects[[#This Row],[Status]],Table8[Status],Table8[StatusFR],"",FALSE)</f>
        <v>Fonctionnel</v>
      </c>
      <c r="S86" s="19" t="str">
        <f>_xlfn.XLOOKUP(Projects[[#This Row],[Coverage]],Table7[Coverage],Table7[CoverageFR],"",FALSE)</f>
        <v xml:space="preserve">National </v>
      </c>
      <c r="T86" s="31" t="str">
        <f>IF(Projects[[#This Row],[To publish]]="","",Projects[[#This Row],[To publish]])</f>
        <v>Batch 5</v>
      </c>
    </row>
    <row r="87" spans="1:20" ht="45" x14ac:dyDescent="0.25">
      <c r="A87" s="19">
        <f>Projects[[#This Row],[NR]]</f>
        <v>122</v>
      </c>
      <c r="B87" s="19" t="str">
        <f>IF(Projects[[#This Row],[Title]]="","",Projects[[#This Row],[Title]])</f>
        <v>Legal Texts Summarising</v>
      </c>
      <c r="C87" s="19" t="str">
        <f>IF(Projects[[#This Row],[AI Relevance]]="","",Projects[[#This Row],[AI Relevance]])</f>
        <v>AI</v>
      </c>
      <c r="D87" s="19" t="str">
        <f>_xlfn.XLOOKUP(Projects[[#This Row],[Area1]],Table1[Area],Table1[FRArea],"Check",FALSE)</f>
        <v>4 - Aide à la décision</v>
      </c>
      <c r="E87" s="19" t="str">
        <f>IF(Projects[[#This Row],[Area2]]="","",_xlfn.XLOOKUP(Projects[[#This Row],[Area2]],Table1[Area],Table1[FRArea],"Check",FALSE))</f>
        <v/>
      </c>
      <c r="F87" s="19">
        <f>IF(Projects[[#This Row],[Year]]="","",Projects[[#This Row],[Year]])</f>
        <v>2023</v>
      </c>
      <c r="G87" s="19" t="str">
        <f>_xlfn.XLOOKUP(Projects[[#This Row],[Country]],Table2[Country],Table2[Pays],"Check",FALSE)</f>
        <v>Türkiye</v>
      </c>
      <c r="H87" s="19" t="str">
        <f>IF(Projects[[#This Row],[Description]]="","",Projects[[#This Row],[Description]])</f>
        <v>The system analyses and summarises legal documents by identifying important sentences, expressions and concept in the legal context.</v>
      </c>
      <c r="I87" s="29" t="str">
        <f>IF(Projects[[#This Row],[DescriptionFR]]="","",Projects[[#This Row],[DescriptionFR]])</f>
        <v>Le système analyse et résume les documents juridiques en identifiant les phrases, expressions et concepts importants dans le contexte juridique.</v>
      </c>
      <c r="J87" s="30" t="str">
        <f>IF(Projects[[#This Row],[Link]]="","",Projects[[#This Row],[Link]])</f>
        <v>https://rm.coe.int/internal-system/4880299b55</v>
      </c>
      <c r="K87" s="30" t="str">
        <f>IF(Projects[[#This Row],[Link1]]="","",Projects[[#This Row],[Link1]])</f>
        <v/>
      </c>
      <c r="L87" s="19" t="str">
        <f>_xlfn.XLOOKUP(Projects[[#This Row],[Implemented by]],Table3[Implemented by],Table3[ImplementedFR],"",FALSE)</f>
        <v xml:space="preserve">Publique </v>
      </c>
      <c r="M87" s="19" t="str">
        <f>_xlfn.XLOOKUP(Projects[[#This Row],[Target audience]],Table4[Target audience],Table4[Target audienceFR],"",FALSE)</f>
        <v>Usagers des tribunaux (Grand public)</v>
      </c>
      <c r="N87" s="19" t="str">
        <f>IF(Projects[[#This Row],[Target audience2]]="","",_xlfn.XLOOKUP(Projects[[#This Row],[Target audience2]],Table4[Target audience],Table4[Target audienceFR],"Check",FALSE))</f>
        <v/>
      </c>
      <c r="O87" s="19" t="str">
        <f>IF(Projects[[#This Row],[Target audience3]]="","",_xlfn.XLOOKUP(Projects[[#This Row],[Target audience3]],Table4[Target audience],Table4[Target audienceFR],"Check",FALSE))</f>
        <v/>
      </c>
      <c r="P87" s="19" t="str">
        <f>IF(Projects[[#This Row],[Target audience4]]="","",_xlfn.XLOOKUP(Projects[[#This Row],[Target audience4]],Table4[Target audience],Table4[Target audienceFR],"Check",FALSE))</f>
        <v/>
      </c>
      <c r="Q87" s="19" t="str">
        <f>IF(Projects[[#This Row],[Target audience5]]="","",_xlfn.XLOOKUP(Projects[[#This Row],[Target audience5]],Table4[Target audience],Table4[Target audienceFR],"Check",FALSE))</f>
        <v/>
      </c>
      <c r="R87" s="19" t="str">
        <f>_xlfn.XLOOKUP(Projects[[#This Row],[Status]],Table8[Status],Table8[StatusFR],"",FALSE)</f>
        <v>Version pilote/bêta</v>
      </c>
      <c r="S87" s="19" t="str">
        <f>_xlfn.XLOOKUP(Projects[[#This Row],[Coverage]],Table7[Coverage],Table7[CoverageFR],"",FALSE)</f>
        <v xml:space="preserve">National </v>
      </c>
      <c r="T87" s="31" t="str">
        <f>IF(Projects[[#This Row],[To publish]]="","",Projects[[#This Row],[To publish]])</f>
        <v>Batch 5</v>
      </c>
    </row>
    <row r="88" spans="1:20" ht="150" x14ac:dyDescent="0.25">
      <c r="A88" s="19">
        <f>Projects[[#This Row],[NR]]</f>
        <v>123</v>
      </c>
      <c r="B88" s="19" t="str">
        <f>IF(Projects[[#This Row],[Title]]="","",Projects[[#This Row],[Title]])</f>
        <v>Object and Slang Detection in Images</v>
      </c>
      <c r="C88" s="19" t="str">
        <f>IF(Projects[[#This Row],[AI Relevance]]="","",Projects[[#This Row],[AI Relevance]])</f>
        <v>AI</v>
      </c>
      <c r="D88" s="19" t="str">
        <f>_xlfn.XLOOKUP(Projects[[#This Row],[Area1]],Table1[Area],Table1[FRArea],"Check",FALSE)</f>
        <v>1 - Recherche documentaire</v>
      </c>
      <c r="E88" s="19" t="str">
        <f>IF(Projects[[#This Row],[Area2]]="","",_xlfn.XLOOKUP(Projects[[#This Row],[Area2]],Table1[Area],Table1[FRArea],"Check",FALSE))</f>
        <v>4 - Aide à la décision</v>
      </c>
      <c r="F88" s="19">
        <f>IF(Projects[[#This Row],[Year]]="","",Projects[[#This Row],[Year]])</f>
        <v>2022</v>
      </c>
      <c r="G88" s="19" t="str">
        <f>_xlfn.XLOOKUP(Projects[[#This Row],[Country]],Table2[Country],Table2[Pays],"Check",FALSE)</f>
        <v>Türkiye</v>
      </c>
      <c r="H88" s="19" t="str">
        <f>IF(Projects[[#This Row],[Description]]="","",Projects[[#This Row],[Description]])</f>
        <v>The tool was developed to  tackle  problems experienced with the  "E-Auction Portal". On the latter, tender pictures are uploaded and sometimes may contain text. While the E-Auction Portal is capable of detecting text, it is not capable to determine whether the text contained is offensive or not. Thus, Object and Slang Detection in Photos was created to filter and avoid such situations.</v>
      </c>
      <c r="I88" s="29" t="str">
        <f>IF(Projects[[#This Row],[DescriptionFR]]="","",Projects[[#This Row],[DescriptionFR]])</f>
        <v>Cet outil a été développé pour résoudre les problèmes rencontrés avec le "portail d'enchères électroniques". Sur ce dernier, des images d'appels d'offres sont téléchargées et peuvent parfois contenir du texte. Bien que le portail d'enchères électroniques soit capable de détecter du texte, il n'est pas en mesure de déterminer si le texte contenu est offensant ou non. C'est pourquoi la détection d'objets et d'argot dans les photos a été créée pour filtrer et éviter de telles situations.</v>
      </c>
      <c r="J88" s="30" t="str">
        <f>IF(Projects[[#This Row],[Link]]="","",Projects[[#This Row],[Link]])</f>
        <v>https://rm.coe.int/internal-system/4880299b55</v>
      </c>
      <c r="K88" s="30" t="str">
        <f>IF(Projects[[#This Row],[Link1]]="","",Projects[[#This Row],[Link1]])</f>
        <v/>
      </c>
      <c r="L88" s="19" t="str">
        <f>_xlfn.XLOOKUP(Projects[[#This Row],[Implemented by]],Table3[Implemented by],Table3[ImplementedFR],"",FALSE)</f>
        <v xml:space="preserve">Publique </v>
      </c>
      <c r="M88" s="19" t="str">
        <f>_xlfn.XLOOKUP(Projects[[#This Row],[Target audience]],Table4[Target audience],Table4[Target audienceFR],"",FALSE)</f>
        <v>Usagers des tribunaux (Grand public)</v>
      </c>
      <c r="N88" s="19" t="str">
        <f>IF(Projects[[#This Row],[Target audience2]]="","",_xlfn.XLOOKUP(Projects[[#This Row],[Target audience2]],Table4[Target audience],Table4[Target audienceFR],"Check",FALSE))</f>
        <v/>
      </c>
      <c r="O88" s="19" t="str">
        <f>IF(Projects[[#This Row],[Target audience3]]="","",_xlfn.XLOOKUP(Projects[[#This Row],[Target audience3]],Table4[Target audience],Table4[Target audienceFR],"Check",FALSE))</f>
        <v/>
      </c>
      <c r="P88" s="19" t="str">
        <f>IF(Projects[[#This Row],[Target audience4]]="","",_xlfn.XLOOKUP(Projects[[#This Row],[Target audience4]],Table4[Target audience],Table4[Target audienceFR],"Check",FALSE))</f>
        <v/>
      </c>
      <c r="Q88" s="19" t="str">
        <f>IF(Projects[[#This Row],[Target audience5]]="","",_xlfn.XLOOKUP(Projects[[#This Row],[Target audience5]],Table4[Target audience],Table4[Target audienceFR],"Check",FALSE))</f>
        <v/>
      </c>
      <c r="R88" s="19" t="str">
        <f>_xlfn.XLOOKUP(Projects[[#This Row],[Status]],Table8[Status],Table8[StatusFR],"",FALSE)</f>
        <v>Fonctionnel</v>
      </c>
      <c r="S88" s="19" t="str">
        <f>_xlfn.XLOOKUP(Projects[[#This Row],[Coverage]],Table7[Coverage],Table7[CoverageFR],"",FALSE)</f>
        <v xml:space="preserve">National </v>
      </c>
      <c r="T88" s="31" t="str">
        <f>IF(Projects[[#This Row],[To publish]]="","",Projects[[#This Row],[To publish]])</f>
        <v>Batch 5</v>
      </c>
    </row>
    <row r="89" spans="1:20" ht="105" x14ac:dyDescent="0.25">
      <c r="A89" s="19">
        <f>Projects[[#This Row],[NR]]</f>
        <v>124</v>
      </c>
      <c r="B89" s="19" t="str">
        <f>IF(Projects[[#This Row],[Title]]="","",Projects[[#This Row],[Title]])</f>
        <v>Estimation of Terrorist Organisation Information</v>
      </c>
      <c r="C89" s="19" t="str">
        <f>IF(Projects[[#This Row],[AI Relevance]]="","",Projects[[#This Row],[AI Relevance]])</f>
        <v>AI</v>
      </c>
      <c r="D89" s="19" t="str">
        <f>_xlfn.XLOOKUP(Projects[[#This Row],[Area1]],Table1[Area],Table1[FRArea],"Check",FALSE)</f>
        <v>1 - Recherche documentaire</v>
      </c>
      <c r="E89" s="19" t="str">
        <f>IF(Projects[[#This Row],[Area2]]="","",_xlfn.XLOOKUP(Projects[[#This Row],[Area2]],Table1[Area],Table1[FRArea],"Check",FALSE))</f>
        <v/>
      </c>
      <c r="F89" s="19">
        <f>IF(Projects[[#This Row],[Year]]="","",Projects[[#This Row],[Year]])</f>
        <v>2022</v>
      </c>
      <c r="G89" s="19" t="str">
        <f>_xlfn.XLOOKUP(Projects[[#This Row],[Country]],Table2[Country],Table2[Pays],"Check",FALSE)</f>
        <v>Türkiye</v>
      </c>
      <c r="H89" s="19" t="str">
        <f>IF(Projects[[#This Row],[Description]]="","",Projects[[#This Row],[Description]])</f>
        <v>The AI system has been developed to identify suspect information of organisations during investigation and ongoing prosecution. As a result of the tests, an accuracy of over 80% was reported and the service went live as of December 2022.</v>
      </c>
      <c r="I89" s="29" t="str">
        <f>IF(Projects[[#This Row],[DescriptionFR]]="","",Projects[[#This Row],[DescriptionFR]])</f>
        <v xml:space="preserve">Le système d'IA a été développé pour identifier les informations suspectes des organisations au cours des enquêtes et des poursuites judiciaires. Les tests ont révélé une précision de plus de 80 % et le service a été mis en service en décembre 2022.
</v>
      </c>
      <c r="J89" s="30" t="str">
        <f>IF(Projects[[#This Row],[Link]]="","",Projects[[#This Row],[Link]])</f>
        <v>https://rm.coe.int/internal-system/4880299b55</v>
      </c>
      <c r="K89" s="30" t="str">
        <f>IF(Projects[[#This Row],[Link1]]="","",Projects[[#This Row],[Link1]])</f>
        <v/>
      </c>
      <c r="L89" s="19" t="str">
        <f>_xlfn.XLOOKUP(Projects[[#This Row],[Implemented by]],Table3[Implemented by],Table3[ImplementedFR],"",FALSE)</f>
        <v xml:space="preserve">Publique </v>
      </c>
      <c r="M89" s="19" t="str">
        <f>_xlfn.XLOOKUP(Projects[[#This Row],[Target audience]],Table4[Target audience],Table4[Target audienceFR],"",FALSE)</f>
        <v>Usagers des tribunaux (Grand public)</v>
      </c>
      <c r="N89" s="19" t="str">
        <f>IF(Projects[[#This Row],[Target audience2]]="","",_xlfn.XLOOKUP(Projects[[#This Row],[Target audience2]],Table4[Target audience],Table4[Target audienceFR],"Check",FALSE))</f>
        <v/>
      </c>
      <c r="O89" s="19" t="str">
        <f>IF(Projects[[#This Row],[Target audience3]]="","",_xlfn.XLOOKUP(Projects[[#This Row],[Target audience3]],Table4[Target audience],Table4[Target audienceFR],"Check",FALSE))</f>
        <v/>
      </c>
      <c r="P89" s="19" t="str">
        <f>IF(Projects[[#This Row],[Target audience4]]="","",_xlfn.XLOOKUP(Projects[[#This Row],[Target audience4]],Table4[Target audience],Table4[Target audienceFR],"Check",FALSE))</f>
        <v/>
      </c>
      <c r="Q89" s="19" t="str">
        <f>IF(Projects[[#This Row],[Target audience5]]="","",_xlfn.XLOOKUP(Projects[[#This Row],[Target audience5]],Table4[Target audience],Table4[Target audienceFR],"Check",FALSE))</f>
        <v/>
      </c>
      <c r="R89" s="19" t="str">
        <f>_xlfn.XLOOKUP(Projects[[#This Row],[Status]],Table8[Status],Table8[StatusFR],"",FALSE)</f>
        <v>Fonctionnel</v>
      </c>
      <c r="S89" s="19" t="str">
        <f>_xlfn.XLOOKUP(Projects[[#This Row],[Coverage]],Table7[Coverage],Table7[CoverageFR],"",FALSE)</f>
        <v xml:space="preserve">National </v>
      </c>
      <c r="T89" s="31" t="str">
        <f>IF(Projects[[#This Row],[To publish]]="","",Projects[[#This Row],[To publish]])</f>
        <v>Batch 5</v>
      </c>
    </row>
    <row r="90" spans="1:20" ht="90" x14ac:dyDescent="0.25">
      <c r="A90" s="19">
        <f>Projects[[#This Row],[NR]]</f>
        <v>125</v>
      </c>
      <c r="B90" s="19" t="str">
        <f>IF(Projects[[#This Row],[Title]]="","",Projects[[#This Row],[Title]])</f>
        <v>Smart Chat-bot</v>
      </c>
      <c r="C90" s="19" t="str">
        <f>IF(Projects[[#This Row],[AI Relevance]]="","",Projects[[#This Row],[AI Relevance]])</f>
        <v>AI</v>
      </c>
      <c r="D90" s="19" t="str">
        <f>_xlfn.XLOOKUP(Projects[[#This Row],[Area1]],Table1[Area],Table1[FRArea],"Check",FALSE)</f>
        <v>8 - Services d'information/assistance</v>
      </c>
      <c r="E90" s="19" t="str">
        <f>IF(Projects[[#This Row],[Area2]]="","",_xlfn.XLOOKUP(Projects[[#This Row],[Area2]],Table1[Area],Table1[FRArea],"Check",FALSE))</f>
        <v/>
      </c>
      <c r="F90" s="19">
        <f>IF(Projects[[#This Row],[Year]]="","",Projects[[#This Row],[Year]])</f>
        <v>2021</v>
      </c>
      <c r="G90" s="19" t="str">
        <f>_xlfn.XLOOKUP(Projects[[#This Row],[Country]],Table2[Country],Table2[Pays],"Check",FALSE)</f>
        <v>Türkiye</v>
      </c>
      <c r="H90" s="19" t="str">
        <f>IF(Projects[[#This Row],[Description]]="","",Projects[[#This Row],[Description]])</f>
        <v>The  project was developed to reduce the load of the Call Centre and provide better services for the users. It was developed  with open source and free software, and put into service in the E-Auction Portal, the Institution Portal and the Citizen Portal Information Systems.</v>
      </c>
      <c r="I90" s="29" t="str">
        <f>IF(Projects[[#This Row],[DescriptionFR]]="","",Projects[[#This Row],[DescriptionFR]])</f>
        <v>Le projet a été développé pour réduire la charge du centre d'appel et fournir de meilleurs services aux utilisateurs. Il a été développé avec des logiciels libres et open source, et mis en service dans les systèmes d'information du portail d'enchères électroniques, du portail institutionnel et du portail citoyen.</v>
      </c>
      <c r="J90" s="30" t="str">
        <f>IF(Projects[[#This Row],[Link]]="","",Projects[[#This Row],[Link]])</f>
        <v>https://rm.coe.int/internal-system/4880299b55</v>
      </c>
      <c r="K90" s="30" t="str">
        <f>IF(Projects[[#This Row],[Link1]]="","",Projects[[#This Row],[Link1]])</f>
        <v/>
      </c>
      <c r="L90" s="19" t="str">
        <f>_xlfn.XLOOKUP(Projects[[#This Row],[Implemented by]],Table3[Implemented by],Table3[ImplementedFR],"",FALSE)</f>
        <v xml:space="preserve">Publique </v>
      </c>
      <c r="M90" s="19" t="str">
        <f>_xlfn.XLOOKUP(Projects[[#This Row],[Target audience]],Table4[Target audience],Table4[Target audienceFR],"",FALSE)</f>
        <v>Usagers des tribunaux (Grand public)</v>
      </c>
      <c r="N90" s="19" t="str">
        <f>IF(Projects[[#This Row],[Target audience2]]="","",_xlfn.XLOOKUP(Projects[[#This Row],[Target audience2]],Table4[Target audience],Table4[Target audienceFR],"Check",FALSE))</f>
        <v/>
      </c>
      <c r="O90" s="19" t="str">
        <f>IF(Projects[[#This Row],[Target audience3]]="","",_xlfn.XLOOKUP(Projects[[#This Row],[Target audience3]],Table4[Target audience],Table4[Target audienceFR],"Check",FALSE))</f>
        <v/>
      </c>
      <c r="P90" s="19" t="str">
        <f>IF(Projects[[#This Row],[Target audience4]]="","",_xlfn.XLOOKUP(Projects[[#This Row],[Target audience4]],Table4[Target audience],Table4[Target audienceFR],"Check",FALSE))</f>
        <v/>
      </c>
      <c r="Q90" s="19" t="str">
        <f>IF(Projects[[#This Row],[Target audience5]]="","",_xlfn.XLOOKUP(Projects[[#This Row],[Target audience5]],Table4[Target audience],Table4[Target audienceFR],"Check",FALSE))</f>
        <v/>
      </c>
      <c r="R90" s="19" t="str">
        <f>_xlfn.XLOOKUP(Projects[[#This Row],[Status]],Table8[Status],Table8[StatusFR],"",FALSE)</f>
        <v>Fonctionnel</v>
      </c>
      <c r="S90" s="19" t="str">
        <f>_xlfn.XLOOKUP(Projects[[#This Row],[Coverage]],Table7[Coverage],Table7[CoverageFR],"",FALSE)</f>
        <v xml:space="preserve">National </v>
      </c>
      <c r="T90" s="31" t="str">
        <f>IF(Projects[[#This Row],[To publish]]="","",Projects[[#This Row],[To publish]])</f>
        <v>Batch 5</v>
      </c>
    </row>
    <row r="91" spans="1:20" ht="90" x14ac:dyDescent="0.25">
      <c r="A91" s="19">
        <f>Projects[[#This Row],[NR]]</f>
        <v>126</v>
      </c>
      <c r="B91" s="19" t="str">
        <f>IF(Projects[[#This Row],[Title]]="","",Projects[[#This Row],[Title]])</f>
        <v>Estimation of the Correct Document Type in Miscellaneous Works</v>
      </c>
      <c r="C91" s="19" t="str">
        <f>IF(Projects[[#This Row],[AI Relevance]]="","",Projects[[#This Row],[AI Relevance]])</f>
        <v>AI</v>
      </c>
      <c r="D91" s="19" t="str">
        <f>_xlfn.XLOOKUP(Projects[[#This Row],[Area1]],Table1[Area],Table1[FRArea],"Check",FALSE)</f>
        <v>6 - Triage, attribution et automatisation des flux de travail</v>
      </c>
      <c r="E91" s="19" t="str">
        <f>IF(Projects[[#This Row],[Area2]]="","",_xlfn.XLOOKUP(Projects[[#This Row],[Area2]],Table1[Area],Table1[FRArea],"Check",FALSE))</f>
        <v/>
      </c>
      <c r="F91" s="19">
        <f>IF(Projects[[#This Row],[Year]]="","",Projects[[#This Row],[Year]])</f>
        <v>2023</v>
      </c>
      <c r="G91" s="19" t="str">
        <f>_xlfn.XLOOKUP(Projects[[#This Row],[Country]],Table2[Country],Table2[Pays],"Check",FALSE)</f>
        <v>Türkiye</v>
      </c>
      <c r="H91" s="19" t="str">
        <f>IF(Projects[[#This Row],[Description]]="","",Projects[[#This Row],[Description]])</f>
        <v>By determining the correct document type filed as "Miscellaneous Works" at Criminal Courts, it will be ensured that the types of documents entered as ‘Other’ will be reduced, and the correct type of document will be determined, leading to  correct outputs  in audits and statistics.</v>
      </c>
      <c r="I91" s="29" t="str">
        <f>IF(Projects[[#This Row],[DescriptionFR]]="","",Projects[[#This Row],[DescriptionFR]])</f>
        <v>En déterminant le type de document correct classé comme "travaux divers" dans les tribunaux pénaux, on s'assurera que les types de documents entrés comme "autres" seront réduits et que le type de document correct sera déterminé, ce qui conduira à des résultats corrects dans les audits et les statistiques.</v>
      </c>
      <c r="J91" s="30" t="str">
        <f>IF(Projects[[#This Row],[Link]]="","",Projects[[#This Row],[Link]])</f>
        <v>https://rm.coe.int/internal-system/4880299b55</v>
      </c>
      <c r="K91" s="30" t="str">
        <f>IF(Projects[[#This Row],[Link1]]="","",Projects[[#This Row],[Link1]])</f>
        <v/>
      </c>
      <c r="L91" s="19" t="str">
        <f>_xlfn.XLOOKUP(Projects[[#This Row],[Implemented by]],Table3[Implemented by],Table3[ImplementedFR],"",FALSE)</f>
        <v xml:space="preserve">Publique </v>
      </c>
      <c r="M91" s="19" t="str">
        <f>_xlfn.XLOOKUP(Projects[[#This Row],[Target audience]],Table4[Target audience],Table4[Target audienceFR],"",FALSE)</f>
        <v>Usagers des tribunaux (Grand public)</v>
      </c>
      <c r="N91" s="19" t="str">
        <f>IF(Projects[[#This Row],[Target audience2]]="","",_xlfn.XLOOKUP(Projects[[#This Row],[Target audience2]],Table4[Target audience],Table4[Target audienceFR],"Check",FALSE))</f>
        <v/>
      </c>
      <c r="O91" s="19" t="str">
        <f>IF(Projects[[#This Row],[Target audience3]]="","",_xlfn.XLOOKUP(Projects[[#This Row],[Target audience3]],Table4[Target audience],Table4[Target audienceFR],"Check",FALSE))</f>
        <v/>
      </c>
      <c r="P91" s="19" t="str">
        <f>IF(Projects[[#This Row],[Target audience4]]="","",_xlfn.XLOOKUP(Projects[[#This Row],[Target audience4]],Table4[Target audience],Table4[Target audienceFR],"Check",FALSE))</f>
        <v/>
      </c>
      <c r="Q91" s="19" t="str">
        <f>IF(Projects[[#This Row],[Target audience5]]="","",_xlfn.XLOOKUP(Projects[[#This Row],[Target audience5]],Table4[Target audience],Table4[Target audienceFR],"Check",FALSE))</f>
        <v/>
      </c>
      <c r="R91" s="19" t="str">
        <f>_xlfn.XLOOKUP(Projects[[#This Row],[Status]],Table8[Status],Table8[StatusFR],"",FALSE)</f>
        <v>Version pilote/bêta</v>
      </c>
      <c r="S91" s="19" t="str">
        <f>_xlfn.XLOOKUP(Projects[[#This Row],[Coverage]],Table7[Coverage],Table7[CoverageFR],"",FALSE)</f>
        <v xml:space="preserve">National </v>
      </c>
      <c r="T91" s="31" t="str">
        <f>IF(Projects[[#This Row],[To publish]]="","",Projects[[#This Row],[To publish]])</f>
        <v>Batch 5</v>
      </c>
    </row>
    <row r="92" spans="1:20" ht="75" x14ac:dyDescent="0.25">
      <c r="A92" s="19">
        <f>Projects[[#This Row],[NR]]</f>
        <v>127</v>
      </c>
      <c r="B92" s="19" t="str">
        <f>IF(Projects[[#This Row],[Title]]="","",Projects[[#This Row],[Title]])</f>
        <v>Speech to Text</v>
      </c>
      <c r="C92" s="19" t="str">
        <f>IF(Projects[[#This Row],[AI Relevance]]="","",Projects[[#This Row],[AI Relevance]])</f>
        <v>AI</v>
      </c>
      <c r="D92" s="19" t="str">
        <f>_xlfn.XLOOKUP(Projects[[#This Row],[Area1]],Table1[Area],Table1[FRArea],"Check",FALSE)</f>
        <v>7 - Enregistrement, transcription et traduction</v>
      </c>
      <c r="E92" s="19" t="str">
        <f>IF(Projects[[#This Row],[Area2]]="","",_xlfn.XLOOKUP(Projects[[#This Row],[Area2]],Table1[Area],Table1[FRArea],"Check",FALSE))</f>
        <v/>
      </c>
      <c r="F92" s="19">
        <f>IF(Projects[[#This Row],[Year]]="","",Projects[[#This Row],[Year]])</f>
        <v>2022</v>
      </c>
      <c r="G92" s="19" t="str">
        <f>_xlfn.XLOOKUP(Projects[[#This Row],[Country]],Table2[Country],Table2[Pays],"Check",FALSE)</f>
        <v>Türkiye</v>
      </c>
      <c r="H92" s="19" t="str">
        <f>IF(Projects[[#This Row],[Description]]="","",Projects[[#This Row],[Description]])</f>
        <v xml:space="preserve">The Dictation System, transcribing speech into text facilitates the work of judges when reasoning decisions, and of prosecutors when writing indictments. The system contributes to faster and more efficient writing processes. </v>
      </c>
      <c r="I92" s="29" t="str">
        <f>IF(Projects[[#This Row],[DescriptionFR]]="","",Projects[[#This Row],[DescriptionFR]])</f>
        <v xml:space="preserve">Le système de dictée, qui transcrit la parole en texte, facilite le travail des juges lorsqu'ils motivent leurs décisions et celui des procureurs lorsqu'ils rédigent des actes d'accusation. Le système contribue à des processus de rédaction plus rapides et plus efficaces. </v>
      </c>
      <c r="J92" s="30" t="str">
        <f>IF(Projects[[#This Row],[Link]]="","",Projects[[#This Row],[Link]])</f>
        <v>https://rm.coe.int/internal-system/4880299b55</v>
      </c>
      <c r="K92" s="30" t="str">
        <f>IF(Projects[[#This Row],[Link1]]="","",Projects[[#This Row],[Link1]])</f>
        <v/>
      </c>
      <c r="L92" s="19" t="str">
        <f>_xlfn.XLOOKUP(Projects[[#This Row],[Implemented by]],Table3[Implemented by],Table3[ImplementedFR],"",FALSE)</f>
        <v xml:space="preserve">Publique </v>
      </c>
      <c r="M92" s="19" t="str">
        <f>_xlfn.XLOOKUP(Projects[[#This Row],[Target audience]],Table4[Target audience],Table4[Target audienceFR],"",FALSE)</f>
        <v>Procureurs/greffiers</v>
      </c>
      <c r="N92" s="19" t="str">
        <f>IF(Projects[[#This Row],[Target audience2]]="","",_xlfn.XLOOKUP(Projects[[#This Row],[Target audience2]],Table4[Target audience],Table4[Target audienceFR],"Check",FALSE))</f>
        <v>Juges/greffiers</v>
      </c>
      <c r="O92" s="19" t="str">
        <f>IF(Projects[[#This Row],[Target audience3]]="","",_xlfn.XLOOKUP(Projects[[#This Row],[Target audience3]],Table4[Target audience],Table4[Target audienceFR],"Check",FALSE))</f>
        <v>Usagers des tribunaux (Grand public)</v>
      </c>
      <c r="P92" s="19" t="str">
        <f>IF(Projects[[#This Row],[Target audience4]]="","",_xlfn.XLOOKUP(Projects[[#This Row],[Target audience4]],Table4[Target audience],Table4[Target audienceFR],"Check",FALSE))</f>
        <v/>
      </c>
      <c r="Q92" s="19" t="str">
        <f>IF(Projects[[#This Row],[Target audience5]]="","",_xlfn.XLOOKUP(Projects[[#This Row],[Target audience5]],Table4[Target audience],Table4[Target audienceFR],"Check",FALSE))</f>
        <v/>
      </c>
      <c r="R92" s="19" t="str">
        <f>_xlfn.XLOOKUP(Projects[[#This Row],[Status]],Table8[Status],Table8[StatusFR],"",FALSE)</f>
        <v>Version pilote/bêta</v>
      </c>
      <c r="S92" s="19" t="str">
        <f>_xlfn.XLOOKUP(Projects[[#This Row],[Coverage]],Table7[Coverage],Table7[CoverageFR],"",FALSE)</f>
        <v xml:space="preserve">National </v>
      </c>
      <c r="T92" s="31" t="str">
        <f>IF(Projects[[#This Row],[To publish]]="","",Projects[[#This Row],[To publish]])</f>
        <v>Batch 5</v>
      </c>
    </row>
    <row r="93" spans="1:20" ht="60" x14ac:dyDescent="0.25">
      <c r="A93" s="19">
        <f>Projects[[#This Row],[NR]]</f>
        <v>128</v>
      </c>
      <c r="B93" s="19" t="str">
        <f>IF(Projects[[#This Row],[Title]]="","",Projects[[#This Row],[Title]])</f>
        <v>Information Extraction from Legal Documents</v>
      </c>
      <c r="C93" s="19" t="str">
        <f>IF(Projects[[#This Row],[AI Relevance]]="","",Projects[[#This Row],[AI Relevance]])</f>
        <v>AI</v>
      </c>
      <c r="D93" s="19" t="str">
        <f>_xlfn.XLOOKUP(Projects[[#This Row],[Area1]],Table1[Area],Table1[FRArea],"Check",FALSE)</f>
        <v>1 - Recherche documentaire</v>
      </c>
      <c r="E93" s="19" t="str">
        <f>IF(Projects[[#This Row],[Area2]]="","",_xlfn.XLOOKUP(Projects[[#This Row],[Area2]],Table1[Area],Table1[FRArea],"Check",FALSE))</f>
        <v>4 - Aide à la décision</v>
      </c>
      <c r="F93" s="19">
        <f>IF(Projects[[#This Row],[Year]]="","",Projects[[#This Row],[Year]])</f>
        <v>2022</v>
      </c>
      <c r="G93" s="19" t="str">
        <f>_xlfn.XLOOKUP(Projects[[#This Row],[Country]],Table2[Country],Table2[Pays],"Check",FALSE)</f>
        <v>Türkiye</v>
      </c>
      <c r="H93" s="19" t="str">
        <f>IF(Projects[[#This Row],[Description]]="","",Projects[[#This Row],[Description]])</f>
        <v xml:space="preserve">The AI model dentifies file information such as: reference number, file number, relevant court name, case number, decision number. </v>
      </c>
      <c r="I93" s="29" t="str">
        <f>IF(Projects[[#This Row],[DescriptionFR]]="","",Projects[[#This Row],[DescriptionFR]])</f>
        <v xml:space="preserve">Le modèle d'IA identifie les informations du dossier telles que : le numéro de référence, le numéro de dossier, le nom de la juridiction concernée, le numéro de l'affaire, le numéro de la décision. </v>
      </c>
      <c r="J93" s="30" t="str">
        <f>IF(Projects[[#This Row],[Link]]="","",Projects[[#This Row],[Link]])</f>
        <v>https://rm.coe.int/internal-system/4880299b55</v>
      </c>
      <c r="K93" s="30" t="str">
        <f>IF(Projects[[#This Row],[Link1]]="","",Projects[[#This Row],[Link1]])</f>
        <v/>
      </c>
      <c r="L93" s="19" t="str">
        <f>_xlfn.XLOOKUP(Projects[[#This Row],[Implemented by]],Table3[Implemented by],Table3[ImplementedFR],"",FALSE)</f>
        <v xml:space="preserve">Publique </v>
      </c>
      <c r="M93" s="19" t="str">
        <f>_xlfn.XLOOKUP(Projects[[#This Row],[Target audience]],Table4[Target audience],Table4[Target audienceFR],"",FALSE)</f>
        <v>Gestion</v>
      </c>
      <c r="N93" s="19" t="str">
        <f>IF(Projects[[#This Row],[Target audience2]]="","",_xlfn.XLOOKUP(Projects[[#This Row],[Target audience2]],Table4[Target audience],Table4[Target audienceFR],"Check",FALSE))</f>
        <v>Avocats</v>
      </c>
      <c r="O93" s="19" t="str">
        <f>IF(Projects[[#This Row],[Target audience3]]="","",_xlfn.XLOOKUP(Projects[[#This Row],[Target audience3]],Table4[Target audience],Table4[Target audienceFR],"Check",FALSE))</f>
        <v>Usagers des tribunaux (Grand public)</v>
      </c>
      <c r="P93" s="19" t="str">
        <f>IF(Projects[[#This Row],[Target audience4]]="","",_xlfn.XLOOKUP(Projects[[#This Row],[Target audience4]],Table4[Target audience],Table4[Target audienceFR],"Check",FALSE))</f>
        <v/>
      </c>
      <c r="Q93" s="19" t="str">
        <f>IF(Projects[[#This Row],[Target audience5]]="","",_xlfn.XLOOKUP(Projects[[#This Row],[Target audience5]],Table4[Target audience],Table4[Target audienceFR],"Check",FALSE))</f>
        <v/>
      </c>
      <c r="R93" s="19" t="str">
        <f>_xlfn.XLOOKUP(Projects[[#This Row],[Status]],Table8[Status],Table8[StatusFR],"",FALSE)</f>
        <v>Version pilote/bêta</v>
      </c>
      <c r="S93" s="19" t="str">
        <f>_xlfn.XLOOKUP(Projects[[#This Row],[Coverage]],Table7[Coverage],Table7[CoverageFR],"",FALSE)</f>
        <v xml:space="preserve">National </v>
      </c>
      <c r="T93" s="31" t="str">
        <f>IF(Projects[[#This Row],[To publish]]="","",Projects[[#This Row],[To publish]])</f>
        <v>Batch 5</v>
      </c>
    </row>
    <row r="94" spans="1:20" ht="255" x14ac:dyDescent="0.25">
      <c r="A94" s="19">
        <f>Projects[[#This Row],[NR]]</f>
        <v>129</v>
      </c>
      <c r="B94" s="19" t="str">
        <f>IF(Projects[[#This Row],[Title]]="","",Projects[[#This Row],[Title]])</f>
        <v>Inconsistency Detection in Bill of Indictment</v>
      </c>
      <c r="C94" s="19" t="str">
        <f>IF(Projects[[#This Row],[AI Relevance]]="","",Projects[[#This Row],[AI Relevance]])</f>
        <v>AI</v>
      </c>
      <c r="D94" s="19" t="str">
        <f>_xlfn.XLOOKUP(Projects[[#This Row],[Area1]],Table1[Area],Table1[FRArea],"Check",FALSE)</f>
        <v>4 - Aide à la décision</v>
      </c>
      <c r="E94" s="19" t="str">
        <f>IF(Projects[[#This Row],[Area2]]="","",_xlfn.XLOOKUP(Projects[[#This Row],[Area2]],Table1[Area],Table1[FRArea],"Check",FALSE))</f>
        <v>1 - Recherche documentaire</v>
      </c>
      <c r="F94" s="19">
        <f>IF(Projects[[#This Row],[Year]]="","",Projects[[#This Row],[Year]])</f>
        <v>2022</v>
      </c>
      <c r="G94" s="19" t="str">
        <f>_xlfn.XLOOKUP(Projects[[#This Row],[Country]],Table2[Country],Table2[Pays],"Check",FALSE)</f>
        <v>Türkiye</v>
      </c>
      <c r="H94" s="19" t="str">
        <f>IF(Projects[[#This Row],[Description]]="","",Projects[[#This Row],[Description]])</f>
        <v>The system aims at saving time for Public Prosecutors in the control of indictments by identifying the inconsistencies between the identity information of the parties, party status, referral items, name of the offence, place and time of the offence and the records in the UYAP database.  The system shall ensure that indictments that turn into a public case process are created with the correct data.</v>
      </c>
      <c r="I94" s="29" t="str">
        <f>IF(Projects[[#This Row],[DescriptionFR]]="","",Projects[[#This Row],[DescriptionFR]])</f>
        <v xml:space="preserve">Le système vise à faire gagner du temps aux procureurs dans le contrôle des actes d'accusation en identifiant les incohérences entre les informations sur l'identité des parties, le statut des parties, les éléments de référence, le nom de l'infraction, le lieu et l'heure de l'infraction et les enregistrements dans la base de données de l'UYAP.  Le système doit garantir que les actes d'accusation qui deviennent une procédure publique sont créés avec les données correctes.
</v>
      </c>
      <c r="J94" s="30" t="str">
        <f>IF(Projects[[#This Row],[Link]]="","",Projects[[#This Row],[Link]])</f>
        <v>https://rm.coe.int/internal-system/4880299b55</v>
      </c>
      <c r="K94" s="30" t="str">
        <f>IF(Projects[[#This Row],[Link1]]="","",Projects[[#This Row],[Link1]])</f>
        <v/>
      </c>
      <c r="L94" s="19" t="str">
        <f>_xlfn.XLOOKUP(Projects[[#This Row],[Implemented by]],Table3[Implemented by],Table3[ImplementedFR],"",FALSE)</f>
        <v xml:space="preserve">Publique </v>
      </c>
      <c r="M94" s="19" t="str">
        <f>_xlfn.XLOOKUP(Projects[[#This Row],[Target audience]],Table4[Target audience],Table4[Target audienceFR],"",FALSE)</f>
        <v>Procureurs/greffiers</v>
      </c>
      <c r="N94" s="19" t="str">
        <f>IF(Projects[[#This Row],[Target audience2]]="","",_xlfn.XLOOKUP(Projects[[#This Row],[Target audience2]],Table4[Target audience],Table4[Target audienceFR],"Check",FALSE))</f>
        <v/>
      </c>
      <c r="O94" s="19" t="str">
        <f>IF(Projects[[#This Row],[Target audience3]]="","",_xlfn.XLOOKUP(Projects[[#This Row],[Target audience3]],Table4[Target audience],Table4[Target audienceFR],"Check",FALSE))</f>
        <v/>
      </c>
      <c r="P94" s="19" t="str">
        <f>IF(Projects[[#This Row],[Target audience4]]="","",_xlfn.XLOOKUP(Projects[[#This Row],[Target audience4]],Table4[Target audience],Table4[Target audienceFR],"Check",FALSE))</f>
        <v/>
      </c>
      <c r="Q94" s="19" t="str">
        <f>IF(Projects[[#This Row],[Target audience5]]="","",_xlfn.XLOOKUP(Projects[[#This Row],[Target audience5]],Table4[Target audience],Table4[Target audienceFR],"Check",FALSE))</f>
        <v/>
      </c>
      <c r="R94" s="19" t="str">
        <f>_xlfn.XLOOKUP(Projects[[#This Row],[Status]],Table8[Status],Table8[StatusFR],"",FALSE)</f>
        <v>Version pilote/bêta</v>
      </c>
      <c r="S94" s="19" t="str">
        <f>_xlfn.XLOOKUP(Projects[[#This Row],[Coverage]],Table7[Coverage],Table7[CoverageFR],"",FALSE)</f>
        <v xml:space="preserve">National </v>
      </c>
      <c r="T94" s="31" t="str">
        <f>IF(Projects[[#This Row],[To publish]]="","",Projects[[#This Row],[To publish]])</f>
        <v>Batch 5</v>
      </c>
    </row>
    <row r="95" spans="1:20" ht="45" x14ac:dyDescent="0.25">
      <c r="A95" s="19">
        <f>Projects[[#This Row],[NR]]</f>
        <v>130</v>
      </c>
      <c r="B95" s="19" t="str">
        <f>IF(Projects[[#This Row],[Title]]="","",Projects[[#This Row],[Title]])</f>
        <v xml:space="preserve">Belonging Decision Estimation </v>
      </c>
      <c r="C95" s="19" t="str">
        <f>IF(Projects[[#This Row],[AI Relevance]]="","",Projects[[#This Row],[AI Relevance]])</f>
        <v>AI</v>
      </c>
      <c r="D95" s="19" t="str">
        <f>_xlfn.XLOOKUP(Projects[[#This Row],[Area1]],Table1[Area],Table1[FRArea],"Check",FALSE)</f>
        <v>4 - Aide à la décision</v>
      </c>
      <c r="E95" s="19" t="str">
        <f>IF(Projects[[#This Row],[Area2]]="","",_xlfn.XLOOKUP(Projects[[#This Row],[Area2]],Table1[Area],Table1[FRArea],"Check",FALSE))</f>
        <v>1 - Recherche documentaire</v>
      </c>
      <c r="F95" s="19">
        <f>IF(Projects[[#This Row],[Year]]="","",Projects[[#This Row],[Year]])</f>
        <v>2022</v>
      </c>
      <c r="G95" s="19" t="str">
        <f>_xlfn.XLOOKUP(Projects[[#This Row],[Country]],Table2[Country],Table2[Pays],"Check",FALSE)</f>
        <v>Türkiye</v>
      </c>
      <c r="H95" s="19" t="str">
        <f>IF(Projects[[#This Row],[Description]]="","",Projects[[#This Row],[Description]])</f>
        <v xml:space="preserve">The "Belonging Decision Estimation system", helps  in the correct and fast allocation of decisions to the Cour of Appeal. </v>
      </c>
      <c r="I95" s="29" t="str">
        <f>IF(Projects[[#This Row],[DescriptionFR]]="","",Projects[[#This Row],[DescriptionFR]])</f>
        <v xml:space="preserve">Le projet "Belonging Decision Estimation" (estimation de la décision d'appartenance) contribue à l'attribution rapide et correcte des décisions à la cour d'appel. </v>
      </c>
      <c r="J95" s="30" t="str">
        <f>IF(Projects[[#This Row],[Link]]="","",Projects[[#This Row],[Link]])</f>
        <v>https://rm.coe.int/internal-system/4880299b55</v>
      </c>
      <c r="K95" s="30" t="str">
        <f>IF(Projects[[#This Row],[Link1]]="","",Projects[[#This Row],[Link1]])</f>
        <v/>
      </c>
      <c r="L95" s="19" t="str">
        <f>_xlfn.XLOOKUP(Projects[[#This Row],[Implemented by]],Table3[Implemented by],Table3[ImplementedFR],"",FALSE)</f>
        <v xml:space="preserve">Publique </v>
      </c>
      <c r="M95" s="19" t="str">
        <f>_xlfn.XLOOKUP(Projects[[#This Row],[Target audience]],Table4[Target audience],Table4[Target audienceFR],"",FALSE)</f>
        <v>Juges/greffiers</v>
      </c>
      <c r="N95" s="19" t="str">
        <f>IF(Projects[[#This Row],[Target audience2]]="","",_xlfn.XLOOKUP(Projects[[#This Row],[Target audience2]],Table4[Target audience],Table4[Target audienceFR],"Check",FALSE))</f>
        <v/>
      </c>
      <c r="O95" s="19" t="str">
        <f>IF(Projects[[#This Row],[Target audience3]]="","",_xlfn.XLOOKUP(Projects[[#This Row],[Target audience3]],Table4[Target audience],Table4[Target audienceFR],"Check",FALSE))</f>
        <v/>
      </c>
      <c r="P95" s="19" t="str">
        <f>IF(Projects[[#This Row],[Target audience4]]="","",_xlfn.XLOOKUP(Projects[[#This Row],[Target audience4]],Table4[Target audience],Table4[Target audienceFR],"Check",FALSE))</f>
        <v/>
      </c>
      <c r="Q95" s="19" t="str">
        <f>IF(Projects[[#This Row],[Target audience5]]="","",_xlfn.XLOOKUP(Projects[[#This Row],[Target audience5]],Table4[Target audience],Table4[Target audienceFR],"Check",FALSE))</f>
        <v/>
      </c>
      <c r="R95" s="19" t="str">
        <f>_xlfn.XLOOKUP(Projects[[#This Row],[Status]],Table8[Status],Table8[StatusFR],"",FALSE)</f>
        <v>Version pilote/bêta</v>
      </c>
      <c r="S95" s="19" t="str">
        <f>_xlfn.XLOOKUP(Projects[[#This Row],[Coverage]],Table7[Coverage],Table7[CoverageFR],"",FALSE)</f>
        <v xml:space="preserve">National </v>
      </c>
      <c r="T95" s="31" t="str">
        <f>IF(Projects[[#This Row],[To publish]]="","",Projects[[#This Row],[To publish]])</f>
        <v>Batch 5</v>
      </c>
    </row>
    <row r="96" spans="1:20" ht="165" x14ac:dyDescent="0.25">
      <c r="A96" s="19">
        <f>Projects[[#This Row],[NR]]</f>
        <v>131</v>
      </c>
      <c r="B96" s="19" t="str">
        <f>IF(Projects[[#This Row],[Title]]="","",Projects[[#This Row],[Title]])</f>
        <v>Small Claims Tribunal</v>
      </c>
      <c r="C96" s="19" t="str">
        <f>IF(Projects[[#This Row],[AI Relevance]]="","",Projects[[#This Row],[AI Relevance]])</f>
        <v>AI</v>
      </c>
      <c r="D96" s="19" t="str">
        <f>_xlfn.XLOOKUP(Projects[[#This Row],[Area1]],Table1[Area],Table1[FRArea],"Check",FALSE)</f>
        <v>2 - Résolution automatisée des litiges</v>
      </c>
      <c r="E96" s="19" t="str">
        <f>IF(Projects[[#This Row],[Area2]]="","",_xlfn.XLOOKUP(Projects[[#This Row],[Area2]],Table1[Area],Table1[FRArea],"Check",FALSE))</f>
        <v>8 - Services d'information/assistance</v>
      </c>
      <c r="F96" s="19">
        <f>IF(Projects[[#This Row],[Year]]="","",Projects[[#This Row],[Year]])</f>
        <v>2023</v>
      </c>
      <c r="G96" s="19" t="str">
        <f>_xlfn.XLOOKUP(Projects[[#This Row],[Country]],Table2[Country],Table2[Pays],"Check",FALSE)</f>
        <v>Singapour</v>
      </c>
      <c r="H96" s="19" t="str">
        <f>IF(Projects[[#This Row],[Description]]="","",Projects[[#This Row],[Description]])</f>
        <v>The generative AI system, which answers questions based on pre-loaded data, aims at helping litigants with their claims or defence. The system should be able to inform the litigant how to proceed with his claim and point to the relevant websites and forms.
The system would ideally also be able to point the litigant to the material he should have, such as receipts, and possibly point to settlement.</v>
      </c>
      <c r="I96" s="29" t="str">
        <f>IF(Projects[[#This Row],[DescriptionFR]]="","",Projects[[#This Row],[DescriptionFR]])</f>
        <v xml:space="preserve">Le système d'IA générative, qui répond aux questions sur la base de données préchargées, vise à aider les parties à un litige à présenter leurs demandes ou leur défense. Le système devrait être en mesure d'informer le justiciable sur la manière de procéder avec sa demande et de lui indiquer les sites web et les formulaires appropriés. Idéalement, le système devrait également être en mesure d'indiquer au justiciable les documents qu'il devrait avoir, tels que les reçus, et éventuellement d'indiquer un règlement.
</v>
      </c>
      <c r="J96" s="30" t="str">
        <f>IF(Projects[[#This Row],[Link]]="","",Projects[[#This Row],[Link]])</f>
        <v>https://www.channelnewsasia.com/singapore/artificial-intelligence-court-small-claims-singapore-chatgpt-3801756</v>
      </c>
      <c r="K96" s="30" t="str">
        <f>IF(Projects[[#This Row],[Link1]]="","",Projects[[#This Row],[Link1]])</f>
        <v/>
      </c>
      <c r="L96" s="19" t="str">
        <f>_xlfn.XLOOKUP(Projects[[#This Row],[Implemented by]],Table3[Implemented by],Table3[ImplementedFR],"",FALSE)</f>
        <v xml:space="preserve">Publique </v>
      </c>
      <c r="M96" s="19" t="str">
        <f>_xlfn.XLOOKUP(Projects[[#This Row],[Target audience]],Table4[Target audience],Table4[Target audienceFR],"",FALSE)</f>
        <v>Usagers des tribunaux (Grand public)</v>
      </c>
      <c r="N96" s="19" t="str">
        <f>IF(Projects[[#This Row],[Target audience2]]="","",_xlfn.XLOOKUP(Projects[[#This Row],[Target audience2]],Table4[Target audience],Table4[Target audienceFR],"Check",FALSE))</f>
        <v/>
      </c>
      <c r="O96" s="19" t="str">
        <f>IF(Projects[[#This Row],[Target audience3]]="","",_xlfn.XLOOKUP(Projects[[#This Row],[Target audience3]],Table4[Target audience],Table4[Target audienceFR],"Check",FALSE))</f>
        <v/>
      </c>
      <c r="P96" s="19" t="str">
        <f>IF(Projects[[#This Row],[Target audience4]]="","",_xlfn.XLOOKUP(Projects[[#This Row],[Target audience4]],Table4[Target audience],Table4[Target audienceFR],"Check",FALSE))</f>
        <v/>
      </c>
      <c r="Q96" s="19" t="str">
        <f>IF(Projects[[#This Row],[Target audience5]]="","",_xlfn.XLOOKUP(Projects[[#This Row],[Target audience5]],Table4[Target audience],Table4[Target audienceFR],"Check",FALSE))</f>
        <v/>
      </c>
      <c r="R96" s="19" t="str">
        <f>_xlfn.XLOOKUP(Projects[[#This Row],[Status]],Table8[Status],Table8[StatusFR],"",FALSE)</f>
        <v>Version pilote/bêta</v>
      </c>
      <c r="S96" s="19" t="str">
        <f>_xlfn.XLOOKUP(Projects[[#This Row],[Coverage]],Table7[Coverage],Table7[CoverageFR],"",FALSE)</f>
        <v xml:space="preserve">National </v>
      </c>
      <c r="T96" s="31" t="str">
        <f>IF(Projects[[#This Row],[To publish]]="","",Projects[[#This Row],[To publish]])</f>
        <v>Batch 5</v>
      </c>
    </row>
    <row r="97" spans="1:20" ht="45" x14ac:dyDescent="0.25">
      <c r="A97" s="19">
        <f>Projects[[#This Row],[NR]]</f>
        <v>132</v>
      </c>
      <c r="B97" s="19" t="str">
        <f>IF(Projects[[#This Row],[Title]]="","",Projects[[#This Row],[Title]])</f>
        <v>Chatbot on neighbour disputes</v>
      </c>
      <c r="C97" s="19" t="str">
        <f>IF(Projects[[#This Row],[AI Relevance]]="","",Projects[[#This Row],[AI Relevance]])</f>
        <v xml:space="preserve">AI </v>
      </c>
      <c r="D97" s="19" t="str">
        <f>_xlfn.XLOOKUP(Projects[[#This Row],[Area1]],Table1[Area],Table1[FRArea],"Check",FALSE)</f>
        <v>8 - Services d'information/assistance</v>
      </c>
      <c r="E97" s="19" t="str">
        <f>IF(Projects[[#This Row],[Area2]]="","",_xlfn.XLOOKUP(Projects[[#This Row],[Area2]],Table1[Area],Table1[FRArea],"Check",FALSE))</f>
        <v>2 - Résolution automatisée des litiges</v>
      </c>
      <c r="F97" s="19">
        <f>IF(Projects[[#This Row],[Year]]="","",Projects[[#This Row],[Year]])</f>
        <v>2023</v>
      </c>
      <c r="G97" s="19" t="str">
        <f>_xlfn.XLOOKUP(Projects[[#This Row],[Country]],Table2[Country],Table2[Pays],"Check",FALSE)</f>
        <v>Singapour</v>
      </c>
      <c r="H97" s="19" t="str">
        <f>IF(Projects[[#This Row],[Description]]="","",Projects[[#This Row],[Description]])</f>
        <v xml:space="preserve">The system helps citzens to decide on actions concerning neighbour disputes. Pre-defined and individual questions are possible. </v>
      </c>
      <c r="I97" s="29" t="str">
        <f>IF(Projects[[#This Row],[DescriptionFR]]="","",Projects[[#This Row],[DescriptionFR]])</f>
        <v xml:space="preserve">Le système aide les citoyens à décider des mesures à prendre en cas de conflit de voisinage. Des questions prédéfinies et individuelles sont possibles. </v>
      </c>
      <c r="J97" s="30" t="str">
        <f>IF(Projects[[#This Row],[Link]]="","",Projects[[#This Row],[Link]])</f>
        <v>https://go.gov.sg/chat-neighbour</v>
      </c>
      <c r="K97" s="30" t="str">
        <f>IF(Projects[[#This Row],[Link1]]="","",Projects[[#This Row],[Link1]])</f>
        <v/>
      </c>
      <c r="L97" s="19" t="str">
        <f>_xlfn.XLOOKUP(Projects[[#This Row],[Implemented by]],Table3[Implemented by],Table3[ImplementedFR],"",FALSE)</f>
        <v xml:space="preserve">Publique </v>
      </c>
      <c r="M97" s="19" t="str">
        <f>_xlfn.XLOOKUP(Projects[[#This Row],[Target audience]],Table4[Target audience],Table4[Target audienceFR],"",FALSE)</f>
        <v>Usagers des tribunaux (Grand public)</v>
      </c>
      <c r="N97" s="19" t="str">
        <f>IF(Projects[[#This Row],[Target audience2]]="","",_xlfn.XLOOKUP(Projects[[#This Row],[Target audience2]],Table4[Target audience],Table4[Target audienceFR],"Check",FALSE))</f>
        <v/>
      </c>
      <c r="O97" s="19" t="str">
        <f>IF(Projects[[#This Row],[Target audience3]]="","",_xlfn.XLOOKUP(Projects[[#This Row],[Target audience3]],Table4[Target audience],Table4[Target audienceFR],"Check",FALSE))</f>
        <v/>
      </c>
      <c r="P97" s="19" t="str">
        <f>IF(Projects[[#This Row],[Target audience4]]="","",_xlfn.XLOOKUP(Projects[[#This Row],[Target audience4]],Table4[Target audience],Table4[Target audienceFR],"Check",FALSE))</f>
        <v/>
      </c>
      <c r="Q97" s="19" t="str">
        <f>IF(Projects[[#This Row],[Target audience5]]="","",_xlfn.XLOOKUP(Projects[[#This Row],[Target audience5]],Table4[Target audience],Table4[Target audienceFR],"Check",FALSE))</f>
        <v/>
      </c>
      <c r="R97" s="19" t="str">
        <f>_xlfn.XLOOKUP(Projects[[#This Row],[Status]],Table8[Status],Table8[StatusFR],"",FALSE)</f>
        <v>Version pilote/bêta</v>
      </c>
      <c r="S97" s="19" t="str">
        <f>_xlfn.XLOOKUP(Projects[[#This Row],[Coverage]],Table7[Coverage],Table7[CoverageFR],"",FALSE)</f>
        <v xml:space="preserve">National </v>
      </c>
      <c r="T97" s="31" t="str">
        <f>IF(Projects[[#This Row],[To publish]]="","",Projects[[#This Row],[To publish]])</f>
        <v>Batch 5</v>
      </c>
    </row>
    <row r="98" spans="1:20" ht="45" x14ac:dyDescent="0.25">
      <c r="A98" s="19">
        <f>Projects[[#This Row],[NR]]</f>
        <v>133</v>
      </c>
      <c r="B98" s="19" t="str">
        <f>IF(Projects[[#This Row],[Title]]="","",Projects[[#This Row],[Title]])</f>
        <v>Chatbot on crime cases</v>
      </c>
      <c r="C98" s="19" t="str">
        <f>IF(Projects[[#This Row],[AI Relevance]]="","",Projects[[#This Row],[AI Relevance]])</f>
        <v xml:space="preserve">AI </v>
      </c>
      <c r="D98" s="19" t="str">
        <f>_xlfn.XLOOKUP(Projects[[#This Row],[Area1]],Table1[Area],Table1[FRArea],"Check",FALSE)</f>
        <v>8 - Services d'information/assistance</v>
      </c>
      <c r="E98" s="19" t="str">
        <f>IF(Projects[[#This Row],[Area2]]="","",_xlfn.XLOOKUP(Projects[[#This Row],[Area2]],Table1[Area],Table1[FRArea],"Check",FALSE))</f>
        <v>2 - Résolution automatisée des litiges</v>
      </c>
      <c r="F98" s="19">
        <f>IF(Projects[[#This Row],[Year]]="","",Projects[[#This Row],[Year]])</f>
        <v>2023</v>
      </c>
      <c r="G98" s="19" t="str">
        <f>_xlfn.XLOOKUP(Projects[[#This Row],[Country]],Table2[Country],Table2[Pays],"Check",FALSE)</f>
        <v>Singapour</v>
      </c>
      <c r="H98" s="19" t="str">
        <f>IF(Projects[[#This Row],[Description]]="","",Projects[[#This Row],[Description]])</f>
        <v xml:space="preserve">The system helps citzens to decide on actions concerning crime cases. Pre-defined and individual questions are possible. </v>
      </c>
      <c r="I98" s="29" t="str">
        <f>IF(Projects[[#This Row],[DescriptionFR]]="","",Projects[[#This Row],[DescriptionFR]])</f>
        <v xml:space="preserve">Le système aide les citoyens à décider des actions à entreprendre dans les affaires criminelles. Des questions prédéfinies et individuelles sont possibles. </v>
      </c>
      <c r="J98" s="30" t="str">
        <f>IF(Projects[[#This Row],[Link]]="","",Projects[[#This Row],[Link]])</f>
        <v>https://go.gov.sg/chat-crime</v>
      </c>
      <c r="K98" s="30" t="str">
        <f>IF(Projects[[#This Row],[Link1]]="","",Projects[[#This Row],[Link1]])</f>
        <v/>
      </c>
      <c r="L98" s="19" t="str">
        <f>_xlfn.XLOOKUP(Projects[[#This Row],[Implemented by]],Table3[Implemented by],Table3[ImplementedFR],"",FALSE)</f>
        <v xml:space="preserve">Publique </v>
      </c>
      <c r="M98" s="19" t="str">
        <f>_xlfn.XLOOKUP(Projects[[#This Row],[Target audience]],Table4[Target audience],Table4[Target audienceFR],"",FALSE)</f>
        <v>Usagers des tribunaux (Grand public)</v>
      </c>
      <c r="N98" s="19" t="str">
        <f>IF(Projects[[#This Row],[Target audience2]]="","",_xlfn.XLOOKUP(Projects[[#This Row],[Target audience2]],Table4[Target audience],Table4[Target audienceFR],"Check",FALSE))</f>
        <v/>
      </c>
      <c r="O98" s="19" t="str">
        <f>IF(Projects[[#This Row],[Target audience3]]="","",_xlfn.XLOOKUP(Projects[[#This Row],[Target audience3]],Table4[Target audience],Table4[Target audienceFR],"Check",FALSE))</f>
        <v/>
      </c>
      <c r="P98" s="19" t="str">
        <f>IF(Projects[[#This Row],[Target audience4]]="","",_xlfn.XLOOKUP(Projects[[#This Row],[Target audience4]],Table4[Target audience],Table4[Target audienceFR],"Check",FALSE))</f>
        <v/>
      </c>
      <c r="Q98" s="19" t="str">
        <f>IF(Projects[[#This Row],[Target audience5]]="","",_xlfn.XLOOKUP(Projects[[#This Row],[Target audience5]],Table4[Target audience],Table4[Target audienceFR],"Check",FALSE))</f>
        <v/>
      </c>
      <c r="R98" s="19" t="str">
        <f>_xlfn.XLOOKUP(Projects[[#This Row],[Status]],Table8[Status],Table8[StatusFR],"",FALSE)</f>
        <v>Version pilote/bêta</v>
      </c>
      <c r="S98" s="19" t="str">
        <f>_xlfn.XLOOKUP(Projects[[#This Row],[Coverage]],Table7[Coverage],Table7[CoverageFR],"",FALSE)</f>
        <v xml:space="preserve">National </v>
      </c>
      <c r="T98" s="31" t="str">
        <f>IF(Projects[[#This Row],[To publish]]="","",Projects[[#This Row],[To publish]])</f>
        <v>Batch 5</v>
      </c>
    </row>
    <row r="99" spans="1:20" ht="45" x14ac:dyDescent="0.25">
      <c r="A99" s="19">
        <f>Projects[[#This Row],[NR]]</f>
        <v>134</v>
      </c>
      <c r="B99" s="19" t="str">
        <f>IF(Projects[[#This Row],[Title]]="","",Projects[[#This Row],[Title]])</f>
        <v>Chatbot on wills</v>
      </c>
      <c r="C99" s="19" t="str">
        <f>IF(Projects[[#This Row],[AI Relevance]]="","",Projects[[#This Row],[AI Relevance]])</f>
        <v>AI</v>
      </c>
      <c r="D99" s="19" t="str">
        <f>_xlfn.XLOOKUP(Projects[[#This Row],[Area1]],Table1[Area],Table1[FRArea],"Check",FALSE)</f>
        <v>8 - Services d'information/assistance</v>
      </c>
      <c r="E99" s="19" t="str">
        <f>IF(Projects[[#This Row],[Area2]]="","",_xlfn.XLOOKUP(Projects[[#This Row],[Area2]],Table1[Area],Table1[FRArea],"Check",FALSE))</f>
        <v>2 - Résolution automatisée des litiges</v>
      </c>
      <c r="F99" s="19">
        <f>IF(Projects[[#This Row],[Year]]="","",Projects[[#This Row],[Year]])</f>
        <v>2023</v>
      </c>
      <c r="G99" s="19" t="str">
        <f>_xlfn.XLOOKUP(Projects[[#This Row],[Country]],Table2[Country],Table2[Pays],"Check",FALSE)</f>
        <v>Singapour</v>
      </c>
      <c r="H99" s="19" t="str">
        <f>IF(Projects[[#This Row],[Description]]="","",Projects[[#This Row],[Description]])</f>
        <v xml:space="preserve">The system helps citzens to decide on actions concerning wills. Pre-defined and individual questions are possible. </v>
      </c>
      <c r="I99" s="29" t="str">
        <f>IF(Projects[[#This Row],[DescriptionFR]]="","",Projects[[#This Row],[DescriptionFR]])</f>
        <v xml:space="preserve">Le système aide les citoyens à décider des actions concernant les testaments. Des questions prédéfinies et individuelles sont possibles. </v>
      </c>
      <c r="J99" s="30" t="str">
        <f>IF(Projects[[#This Row],[Link]]="","",Projects[[#This Row],[Link]])</f>
        <v>https://go.gov.sg/chat-probate</v>
      </c>
      <c r="K99" s="30" t="str">
        <f>IF(Projects[[#This Row],[Link1]]="","",Projects[[#This Row],[Link1]])</f>
        <v/>
      </c>
      <c r="L99" s="19" t="str">
        <f>_xlfn.XLOOKUP(Projects[[#This Row],[Implemented by]],Table3[Implemented by],Table3[ImplementedFR],"",FALSE)</f>
        <v xml:space="preserve">Publique </v>
      </c>
      <c r="M99" s="19" t="str">
        <f>_xlfn.XLOOKUP(Projects[[#This Row],[Target audience]],Table4[Target audience],Table4[Target audienceFR],"",FALSE)</f>
        <v>Usagers des tribunaux (Grand public)</v>
      </c>
      <c r="N99" s="19" t="str">
        <f>IF(Projects[[#This Row],[Target audience2]]="","",_xlfn.XLOOKUP(Projects[[#This Row],[Target audience2]],Table4[Target audience],Table4[Target audienceFR],"Check",FALSE))</f>
        <v/>
      </c>
      <c r="O99" s="19" t="str">
        <f>IF(Projects[[#This Row],[Target audience3]]="","",_xlfn.XLOOKUP(Projects[[#This Row],[Target audience3]],Table4[Target audience],Table4[Target audienceFR],"Check",FALSE))</f>
        <v/>
      </c>
      <c r="P99" s="19" t="str">
        <f>IF(Projects[[#This Row],[Target audience4]]="","",_xlfn.XLOOKUP(Projects[[#This Row],[Target audience4]],Table4[Target audience],Table4[Target audienceFR],"Check",FALSE))</f>
        <v/>
      </c>
      <c r="Q99" s="19" t="str">
        <f>IF(Projects[[#This Row],[Target audience5]]="","",_xlfn.XLOOKUP(Projects[[#This Row],[Target audience5]],Table4[Target audience],Table4[Target audienceFR],"Check",FALSE))</f>
        <v/>
      </c>
      <c r="R99" s="19" t="str">
        <f>_xlfn.XLOOKUP(Projects[[#This Row],[Status]],Table8[Status],Table8[StatusFR],"",FALSE)</f>
        <v>Version pilote/bêta</v>
      </c>
      <c r="S99" s="19" t="str">
        <f>_xlfn.XLOOKUP(Projects[[#This Row],[Coverage]],Table7[Coverage],Table7[CoverageFR],"",FALSE)</f>
        <v xml:space="preserve">National </v>
      </c>
      <c r="T99" s="31" t="str">
        <f>IF(Projects[[#This Row],[To publish]]="","",Projects[[#This Row],[To publish]])</f>
        <v>Batch 5</v>
      </c>
    </row>
    <row r="100" spans="1:20" ht="135" x14ac:dyDescent="0.25">
      <c r="A100" s="19">
        <f>Projects[[#This Row],[NR]]</f>
        <v>135</v>
      </c>
      <c r="B100" s="19" t="str">
        <f>IF(Projects[[#This Row],[Title]]="","",Projects[[#This Row],[Title]])</f>
        <v>Generative language model of justice (GSJ)/ Generatives Sprachmodell der Justiz (GSJ)</v>
      </c>
      <c r="C100" s="19" t="str">
        <f>IF(Projects[[#This Row],[AI Relevance]]="","",Projects[[#This Row],[AI Relevance]])</f>
        <v>AI</v>
      </c>
      <c r="D100" s="19" t="str">
        <f>_xlfn.XLOOKUP(Projects[[#This Row],[Area1]],Table1[Area],Table1[FRArea],"Check",FALSE)</f>
        <v>4 - Aide à la décision</v>
      </c>
      <c r="E100" s="19" t="str">
        <f>IF(Projects[[#This Row],[Area2]]="","",_xlfn.XLOOKUP(Projects[[#This Row],[Area2]],Table1[Area],Table1[FRArea],"Check",FALSE))</f>
        <v/>
      </c>
      <c r="F100" s="19">
        <f>IF(Projects[[#This Row],[Year]]="","",Projects[[#This Row],[Year]])</f>
        <v>2024</v>
      </c>
      <c r="G100" s="19" t="str">
        <f>_xlfn.XLOOKUP(Projects[[#This Row],[Country]],Table2[Country],Table2[Pays],"Check",FALSE)</f>
        <v>Allemagne</v>
      </c>
      <c r="H100" s="19" t="str">
        <f>IF(Projects[[#This Row],[Description]]="","",Projects[[#This Row],[Description]])</f>
        <v>Technically informed adaptation of modern large language models (LLMs, comparable with e.g. the GPT or BERT family) in the judicial context, adaptation to security requirements, evaluation based on two to three use cases in the context of tests in real operation based on real analysis tasks. Client Bavarian State Ministry of Justice / Ministry of Justice of North Rhine-Westphalia.</v>
      </c>
      <c r="I100" s="29" t="str">
        <f>IF(Projects[[#This Row],[DescriptionFR]]="","",Projects[[#This Row],[DescriptionFR]])</f>
        <v xml:space="preserve">Adaptation techniquement informée des grands modèles linguistiques modernes (LML, comparables par exemple à la famille GPT ou BERT) dans le contexte judiciaire, adaptation aux exigences de sécurité, évaluation basée sur deux à trois cas d’utilisation dans le cadre de tests en fonctionnement réel basés sur des tâches d’analyse. Client : 
Ministère bavarois de la Justice / Ministère de la Justice de Rhénanie du Nord-Ouest.  </v>
      </c>
      <c r="J100" s="30" t="str">
        <f>IF(Projects[[#This Row],[Link]]="","",Projects[[#This Row],[Link]])</f>
        <v/>
      </c>
      <c r="K100" s="30" t="str">
        <f>IF(Projects[[#This Row],[Link1]]="","",Projects[[#This Row],[Link1]])</f>
        <v/>
      </c>
      <c r="L100" s="19" t="str">
        <f>_xlfn.XLOOKUP(Projects[[#This Row],[Implemented by]],Table3[Implemented by],Table3[ImplementedFR],"",FALSE)</f>
        <v xml:space="preserve">Publique </v>
      </c>
      <c r="M100" s="19" t="str">
        <f>_xlfn.XLOOKUP(Projects[[#This Row],[Target audience]],Table4[Target audience],Table4[Target audienceFR],"",FALSE)</f>
        <v>Juges/greffiers</v>
      </c>
      <c r="N100" s="19" t="str">
        <f>IF(Projects[[#This Row],[Target audience2]]="","",_xlfn.XLOOKUP(Projects[[#This Row],[Target audience2]],Table4[Target audience],Table4[Target audienceFR],"Check",FALSE))</f>
        <v/>
      </c>
      <c r="O100" s="19" t="str">
        <f>IF(Projects[[#This Row],[Target audience3]]="","",_xlfn.XLOOKUP(Projects[[#This Row],[Target audience3]],Table4[Target audience],Table4[Target audienceFR],"Check",FALSE))</f>
        <v/>
      </c>
      <c r="P100" s="19" t="str">
        <f>IF(Projects[[#This Row],[Target audience4]]="","",_xlfn.XLOOKUP(Projects[[#This Row],[Target audience4]],Table4[Target audience],Table4[Target audienceFR],"Check",FALSE))</f>
        <v/>
      </c>
      <c r="Q100" s="19" t="str">
        <f>IF(Projects[[#This Row],[Target audience5]]="","",_xlfn.XLOOKUP(Projects[[#This Row],[Target audience5]],Table4[Target audience],Table4[Target audienceFR],"Check",FALSE))</f>
        <v/>
      </c>
      <c r="R100" s="19" t="str">
        <f>_xlfn.XLOOKUP(Projects[[#This Row],[Status]],Table8[Status],Table8[StatusFR],"",FALSE)</f>
        <v>Concept/prévu</v>
      </c>
      <c r="S100" s="19" t="str">
        <f>_xlfn.XLOOKUP(Projects[[#This Row],[Coverage]],Table7[Coverage],Table7[CoverageFR],"",FALSE)</f>
        <v>Spécifique au tribunal</v>
      </c>
      <c r="T100" s="31" t="str">
        <f>IF(Projects[[#This Row],[To publish]]="","",Projects[[#This Row],[To publish]])</f>
        <v>Batch 5</v>
      </c>
    </row>
    <row r="101" spans="1:20" ht="165" x14ac:dyDescent="0.25">
      <c r="A101" s="19">
        <f>Projects[[#This Row],[NR]]</f>
        <v>136</v>
      </c>
      <c r="B101" s="19" t="str">
        <f>IF(Projects[[#This Row],[Title]]="","",Projects[[#This Row],[Title]])</f>
        <v xml:space="preserve">Automated anonymisation and pseudonymisation of court decisions/ Automatische Anonymisierung und Pseudonymisierung von Gerichtsentscheidungen </v>
      </c>
      <c r="C101" s="19" t="str">
        <f>IF(Projects[[#This Row],[AI Relevance]]="","",Projects[[#This Row],[AI Relevance]])</f>
        <v>AI</v>
      </c>
      <c r="D101" s="19" t="str">
        <f>_xlfn.XLOOKUP(Projects[[#This Row],[Area1]],Table1[Area],Table1[FRArea],"Check",FALSE)</f>
        <v>5 - Anonymisation et pseudonymisation</v>
      </c>
      <c r="E101" s="19" t="str">
        <f>IF(Projects[[#This Row],[Area2]]="","",_xlfn.XLOOKUP(Projects[[#This Row],[Area2]],Table1[Area],Table1[FRArea],"Check",FALSE))</f>
        <v/>
      </c>
      <c r="F101" s="19">
        <f>IF(Projects[[#This Row],[Year]]="","",Projects[[#This Row],[Year]])</f>
        <v>2024</v>
      </c>
      <c r="G101" s="19" t="str">
        <f>_xlfn.XLOOKUP(Projects[[#This Row],[Country]],Table2[Country],Table2[Pays],"Check",FALSE)</f>
        <v>Allemagne</v>
      </c>
      <c r="H101" s="19" t="str">
        <f>IF(Projects[[#This Row],[Description]]="","",Projects[[#This Row],[Description]])</f>
        <v xml:space="preserve">Court decisions are automatically anonymised with a view to publication; current deployment scenarios: civil law traffic disputes and residential tenancy matters; perspective: court decisions of all instances, also in other specialist areas; requirement/goal: such a high degree of correctness that de-anonymisation is no longer possible (e.g. anonymisation not only of the name, but also of "red house" or the company in small towns) Client:  Bavarian State Ministry of Justice.
</v>
      </c>
      <c r="I101" s="29" t="str">
        <f>IF(Projects[[#This Row],[DescriptionFR]]="","",Projects[[#This Row],[DescriptionFR]])</f>
        <v>Les décisions des tribunaux sont automatiquement anonymisées en vue de leur publication; scénarios de déploiement actuels : litiges de trafic civil et questions de location résidentielle; perspective : décisions des tribunaux de toutes les instances, également dans d’autres domaines spécialisés; exigence/objectif : un tel degré d’exactitude que la dépersonnalisation n’est plus possible (par ex. anonymisation non seulement du nom, mais aussi de la « maison rouge » ou de l’entreprise dans les petites villes) Client :  Ministère bavarois de la justice.</v>
      </c>
      <c r="J101" s="30" t="str">
        <f>IF(Projects[[#This Row],[Link]]="","",Projects[[#This Row],[Link]])</f>
        <v/>
      </c>
      <c r="K101" s="30" t="str">
        <f>IF(Projects[[#This Row],[Link1]]="","",Projects[[#This Row],[Link1]])</f>
        <v/>
      </c>
      <c r="L101" s="19" t="str">
        <f>_xlfn.XLOOKUP(Projects[[#This Row],[Implemented by]],Table3[Implemented by],Table3[ImplementedFR],"",FALSE)</f>
        <v xml:space="preserve">Publique </v>
      </c>
      <c r="M101" s="19" t="str">
        <f>_xlfn.XLOOKUP(Projects[[#This Row],[Target audience]],Table4[Target audience],Table4[Target audienceFR],"",FALSE)</f>
        <v>Juges/greffiers</v>
      </c>
      <c r="N101" s="19" t="str">
        <f>IF(Projects[[#This Row],[Target audience2]]="","",_xlfn.XLOOKUP(Projects[[#This Row],[Target audience2]],Table4[Target audience],Table4[Target audienceFR],"Check",FALSE))</f>
        <v>Gestion</v>
      </c>
      <c r="O101" s="19" t="str">
        <f>IF(Projects[[#This Row],[Target audience3]]="","",_xlfn.XLOOKUP(Projects[[#This Row],[Target audience3]],Table4[Target audience],Table4[Target audienceFR],"Check",FALSE))</f>
        <v/>
      </c>
      <c r="P101" s="19" t="str">
        <f>IF(Projects[[#This Row],[Target audience4]]="","",_xlfn.XLOOKUP(Projects[[#This Row],[Target audience4]],Table4[Target audience],Table4[Target audienceFR],"Check",FALSE))</f>
        <v/>
      </c>
      <c r="Q101" s="19" t="str">
        <f>IF(Projects[[#This Row],[Target audience5]]="","",_xlfn.XLOOKUP(Projects[[#This Row],[Target audience5]],Table4[Target audience],Table4[Target audienceFR],"Check",FALSE))</f>
        <v/>
      </c>
      <c r="R101" s="19" t="str">
        <f>_xlfn.XLOOKUP(Projects[[#This Row],[Status]],Table8[Status],Table8[StatusFR],"",FALSE)</f>
        <v>Version pilote/bêta</v>
      </c>
      <c r="S101" s="19" t="str">
        <f>_xlfn.XLOOKUP(Projects[[#This Row],[Coverage]],Table7[Coverage],Table7[CoverageFR],"",FALSE)</f>
        <v>Régional</v>
      </c>
      <c r="T101" s="31" t="str">
        <f>IF(Projects[[#This Row],[To publish]]="","",Projects[[#This Row],[To publish]])</f>
        <v>Batch 5</v>
      </c>
    </row>
    <row r="102" spans="1:20" ht="165" x14ac:dyDescent="0.25">
      <c r="A102" s="19">
        <f>Projects[[#This Row],[NR]]</f>
        <v>137</v>
      </c>
      <c r="B102" s="19" t="str">
        <f>IF(Projects[[#This Row],[Title]]="","",Projects[[#This Row],[Title]])</f>
        <v>Real-world laboratory "Structural projects for party submissions in civil proceedings": Development and testing of an electronic basic document / Reallabor "Strukturvorhaben für den parteivortrag im Zivilprozess": Entwicklung und Erprobung eines elektronischen Basisdokuments</v>
      </c>
      <c r="C102" s="19" t="str">
        <f>IF(Projects[[#This Row],[AI Relevance]]="","",Projects[[#This Row],[AI Relevance]])</f>
        <v>AI</v>
      </c>
      <c r="D102" s="19" t="str">
        <f>_xlfn.XLOOKUP(Projects[[#This Row],[Area1]],Table1[Area],Table1[FRArea],"Check",FALSE)</f>
        <v>2 - Résolution automatisée des litiges</v>
      </c>
      <c r="E102" s="19" t="str">
        <f>IF(Projects[[#This Row],[Area2]]="","",_xlfn.XLOOKUP(Projects[[#This Row],[Area2]],Table1[Area],Table1[FRArea],"Check",FALSE))</f>
        <v>6 - Triage, attribution et automatisation des flux de travail</v>
      </c>
      <c r="F102" s="19">
        <f>IF(Projects[[#This Row],[Year]]="","",Projects[[#This Row],[Year]])</f>
        <v>2024</v>
      </c>
      <c r="G102" s="19" t="str">
        <f>_xlfn.XLOOKUP(Projects[[#This Row],[Country]],Table2[Country],Table2[Pays],"Check",FALSE)</f>
        <v>Allemagne</v>
      </c>
      <c r="H102" s="19" t="str">
        <f>IF(Projects[[#This Row],[Description]]="","",Projects[[#This Row],[Description]])</f>
        <v xml:space="preserve">The research project aims to determine whether and in what form the conventional exchange of pleadings can be replaced in future civil proceedings. This will be tested with a digital basic document. This is a joint procedural document that presents the subject matter of the proceedings in a clear and structured manner. The basic document is filled in by the parties. At the end of the project, a recommendation will be made to the legislator. Client: Bavarian State Ministry of Justice / Lower Saxony </v>
      </c>
      <c r="I102" s="29" t="str">
        <f>IF(Projects[[#This Row],[DescriptionFR]]="","",Projects[[#This Row],[DescriptionFR]])</f>
        <v xml:space="preserve">Le projet de recherche vise à déterminer si et sous quelle forme l’échange conventionnel de mémoires peut être remplacé dans les procédures civiles futures. Cela sera testé avec un document de base numérique. Il s’agit d’un document de procédure conjoint qui présente l’objet de la procédure de manière claire et structurée. Le document de base est rempli par les parties. À la fin du projet, une recommandation sera faite au législateur. Client : Ministère bavarois de la justice / Basse-Saxe Ministère de la justice
</v>
      </c>
      <c r="J102" s="30" t="str">
        <f>IF(Projects[[#This Row],[Link]]="","",Projects[[#This Row],[Link]])</f>
        <v/>
      </c>
      <c r="K102" s="30" t="str">
        <f>IF(Projects[[#This Row],[Link1]]="","",Projects[[#This Row],[Link1]])</f>
        <v/>
      </c>
      <c r="L102" s="19" t="str">
        <f>_xlfn.XLOOKUP(Projects[[#This Row],[Implemented by]],Table3[Implemented by],Table3[ImplementedFR],"",FALSE)</f>
        <v>Recherche/Universitaire</v>
      </c>
      <c r="M102" s="19" t="str">
        <f>_xlfn.XLOOKUP(Projects[[#This Row],[Target audience]],Table4[Target audience],Table4[Target audienceFR],"",FALSE)</f>
        <v>Usagers des tribunaux (Grand public)</v>
      </c>
      <c r="N102" s="19" t="str">
        <f>IF(Projects[[#This Row],[Target audience2]]="","",_xlfn.XLOOKUP(Projects[[#This Row],[Target audience2]],Table4[Target audience],Table4[Target audienceFR],"Check",FALSE))</f>
        <v>Juges/greffiers</v>
      </c>
      <c r="O102" s="19" t="str">
        <f>IF(Projects[[#This Row],[Target audience3]]="","",_xlfn.XLOOKUP(Projects[[#This Row],[Target audience3]],Table4[Target audience],Table4[Target audienceFR],"Check",FALSE))</f>
        <v>Avocats</v>
      </c>
      <c r="P102" s="19" t="str">
        <f>IF(Projects[[#This Row],[Target audience4]]="","",_xlfn.XLOOKUP(Projects[[#This Row],[Target audience4]],Table4[Target audience],Table4[Target audienceFR],"Check",FALSE))</f>
        <v/>
      </c>
      <c r="Q102" s="19" t="str">
        <f>IF(Projects[[#This Row],[Target audience5]]="","",_xlfn.XLOOKUP(Projects[[#This Row],[Target audience5]],Table4[Target audience],Table4[Target audienceFR],"Check",FALSE))</f>
        <v/>
      </c>
      <c r="R102" s="19" t="str">
        <f>_xlfn.XLOOKUP(Projects[[#This Row],[Status]],Table8[Status],Table8[StatusFR],"",FALSE)</f>
        <v>Concept/prévu</v>
      </c>
      <c r="S102" s="19" t="str">
        <f>_xlfn.XLOOKUP(Projects[[#This Row],[Coverage]],Table7[Coverage],Table7[CoverageFR],"",FALSE)</f>
        <v>Régional</v>
      </c>
      <c r="T102" s="31" t="str">
        <f>IF(Projects[[#This Row],[To publish]]="","",Projects[[#This Row],[To publish]])</f>
        <v>Batch 5</v>
      </c>
    </row>
    <row r="103" spans="1:20" ht="135" x14ac:dyDescent="0.25">
      <c r="A103" s="19">
        <f>Projects[[#This Row],[NR]]</f>
        <v>138</v>
      </c>
      <c r="B103" s="19" t="str">
        <f>IF(Projects[[#This Row],[Title]]="","",Projects[[#This Row],[Title]])</f>
        <v>Ocos: Hybrid AI for the processing of air passenger complaints / Ocos: Hybride KI für die Bearbeitung von Fluggastklagen</v>
      </c>
      <c r="C103" s="19" t="str">
        <f>IF(Projects[[#This Row],[AI Relevance]]="","",Projects[[#This Row],[AI Relevance]])</f>
        <v>AI</v>
      </c>
      <c r="D103" s="19" t="str">
        <f>_xlfn.XLOOKUP(Projects[[#This Row],[Area1]],Table1[Area],Table1[FRArea],"Check",FALSE)</f>
        <v>4 - Aide à la décision</v>
      </c>
      <c r="E103" s="19" t="str">
        <f>IF(Projects[[#This Row],[Area2]]="","",_xlfn.XLOOKUP(Projects[[#This Row],[Area2]],Table1[Area],Table1[FRArea],"Check",FALSE))</f>
        <v>6 - Triage, attribution et automatisation des flux de travail</v>
      </c>
      <c r="F103" s="19">
        <f>IF(Projects[[#This Row],[Year]]="","",Projects[[#This Row],[Year]])</f>
        <v>2024</v>
      </c>
      <c r="G103" s="19" t="str">
        <f>_xlfn.XLOOKUP(Projects[[#This Row],[Country]],Table2[Country],Table2[Pays],"Check",FALSE)</f>
        <v>Allemagne</v>
      </c>
      <c r="H103" s="19" t="str">
        <f>IF(Projects[[#This Row],[Description]]="","",Projects[[#This Row],[Description]])</f>
        <v xml:space="preserve">Implementation of a proof of concept to support judicial practice in the processing of air passenger claims: Creation of a module-based draft decision in the use case: Final judgement in simplified proceedings without a statement of defence
Client: Bavarian State Ministry of Justice
</v>
      </c>
      <c r="I103" s="29" t="str">
        <f>IF(Projects[[#This Row],[DescriptionFR]]="","",Projects[[#This Row],[DescriptionFR]])</f>
        <v xml:space="preserve">Mise en œuvre d’une preuve de concept pour soutenir la pratique judiciaire dans le traitement des réclamations de passagers aériens : Création d’un projet de décision basé sur un module dans le cas d’utilisation : Jugement final dans une procédure simplifiée sans défense
Client : Ministère bavarois de la justice
</v>
      </c>
      <c r="J103" s="30" t="str">
        <f>IF(Projects[[#This Row],[Link]]="","",Projects[[#This Row],[Link]])</f>
        <v/>
      </c>
      <c r="K103" s="30" t="str">
        <f>IF(Projects[[#This Row],[Link1]]="","",Projects[[#This Row],[Link1]])</f>
        <v/>
      </c>
      <c r="L103" s="19" t="str">
        <f>_xlfn.XLOOKUP(Projects[[#This Row],[Implemented by]],Table3[Implemented by],Table3[ImplementedFR],"",FALSE)</f>
        <v xml:space="preserve">Publique </v>
      </c>
      <c r="M103" s="19" t="str">
        <f>_xlfn.XLOOKUP(Projects[[#This Row],[Target audience]],Table4[Target audience],Table4[Target audienceFR],"",FALSE)</f>
        <v>Juges/greffiers</v>
      </c>
      <c r="N103" s="19" t="str">
        <f>IF(Projects[[#This Row],[Target audience2]]="","",_xlfn.XLOOKUP(Projects[[#This Row],[Target audience2]],Table4[Target audience],Table4[Target audienceFR],"Check",FALSE))</f>
        <v/>
      </c>
      <c r="O103" s="19" t="str">
        <f>IF(Projects[[#This Row],[Target audience3]]="","",_xlfn.XLOOKUP(Projects[[#This Row],[Target audience3]],Table4[Target audience],Table4[Target audienceFR],"Check",FALSE))</f>
        <v/>
      </c>
      <c r="P103" s="19" t="str">
        <f>IF(Projects[[#This Row],[Target audience4]]="","",_xlfn.XLOOKUP(Projects[[#This Row],[Target audience4]],Table4[Target audience],Table4[Target audienceFR],"Check",FALSE))</f>
        <v/>
      </c>
      <c r="Q103" s="19" t="str">
        <f>IF(Projects[[#This Row],[Target audience5]]="","",_xlfn.XLOOKUP(Projects[[#This Row],[Target audience5]],Table4[Target audience],Table4[Target audienceFR],"Check",FALSE))</f>
        <v/>
      </c>
      <c r="R103" s="19" t="str">
        <f>_xlfn.XLOOKUP(Projects[[#This Row],[Status]],Table8[Status],Table8[StatusFR],"",FALSE)</f>
        <v>Version pilote/bêta</v>
      </c>
      <c r="S103" s="19" t="str">
        <f>_xlfn.XLOOKUP(Projects[[#This Row],[Coverage]],Table7[Coverage],Table7[CoverageFR],"",FALSE)</f>
        <v>Spécifique au tribunal</v>
      </c>
      <c r="T103" s="31" t="str">
        <f>IF(Projects[[#This Row],[To publish]]="","",Projects[[#This Row],[To publish]])</f>
        <v>Batch 5</v>
      </c>
    </row>
    <row r="104" spans="1:20" ht="180" x14ac:dyDescent="0.25">
      <c r="A104" s="19">
        <f>Projects[[#This Row],[NR]]</f>
        <v>139</v>
      </c>
      <c r="B104" s="19" t="str">
        <f>IF(Projects[[#This Row],[Title]]="","",Projects[[#This Row],[Title]])</f>
        <v>Hybrid AI inparticular for the processing of diesel claims (target group: decision-makers of the 1st instance) / Hybride KI insbesondere für die Bearbeitung von Dieselklagen (Zielgruppe: Entscheider der 1. Instanz)</v>
      </c>
      <c r="C104" s="19" t="str">
        <f>IF(Projects[[#This Row],[AI Relevance]]="","",Projects[[#This Row],[AI Relevance]])</f>
        <v>AI</v>
      </c>
      <c r="D104" s="19" t="str">
        <f>_xlfn.XLOOKUP(Projects[[#This Row],[Area1]],Table1[Area],Table1[FRArea],"Check",FALSE)</f>
        <v>4 - Aide à la décision</v>
      </c>
      <c r="E104" s="19" t="str">
        <f>IF(Projects[[#This Row],[Area2]]="","",_xlfn.XLOOKUP(Projects[[#This Row],[Area2]],Table1[Area],Table1[FRArea],"Check",FALSE))</f>
        <v>6 - Triage, attribution et automatisation des flux de travail</v>
      </c>
      <c r="F104" s="19">
        <f>IF(Projects[[#This Row],[Year]]="","",Projects[[#This Row],[Year]])</f>
        <v>2024</v>
      </c>
      <c r="G104" s="19" t="str">
        <f>_xlfn.XLOOKUP(Projects[[#This Row],[Country]],Table2[Country],Table2[Pays],"Check",FALSE)</f>
        <v>Allemagne</v>
      </c>
      <c r="H104" s="19" t="str">
        <f>IF(Projects[[#This Row],[Description]]="","",Projects[[#This Row],[Description]])</f>
        <v xml:space="preserve">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
Client: Bavarian State Ministry of Justice
</v>
      </c>
      <c r="I104" s="29" t="str">
        <f>IF(Projects[[#This Row],[DescriptionFR]]="","",Projects[[#This Row],[DescriptionFR]])</f>
        <v xml:space="preserve">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
Client : Ministère bavarois de la justice
</v>
      </c>
      <c r="J104" s="30" t="str">
        <f>IF(Projects[[#This Row],[Link]]="","",Projects[[#This Row],[Link]])</f>
        <v/>
      </c>
      <c r="K104" s="30" t="str">
        <f>IF(Projects[[#This Row],[Link1]]="","",Projects[[#This Row],[Link1]])</f>
        <v/>
      </c>
      <c r="L104" s="19" t="str">
        <f>_xlfn.XLOOKUP(Projects[[#This Row],[Implemented by]],Table3[Implemented by],Table3[ImplementedFR],"",FALSE)</f>
        <v xml:space="preserve">Publique </v>
      </c>
      <c r="M104" s="19" t="str">
        <f>_xlfn.XLOOKUP(Projects[[#This Row],[Target audience]],Table4[Target audience],Table4[Target audienceFR],"",FALSE)</f>
        <v>Juges/greffiers</v>
      </c>
      <c r="N104" s="19" t="str">
        <f>IF(Projects[[#This Row],[Target audience2]]="","",_xlfn.XLOOKUP(Projects[[#This Row],[Target audience2]],Table4[Target audience],Table4[Target audienceFR],"Check",FALSE))</f>
        <v/>
      </c>
      <c r="O104" s="19" t="str">
        <f>IF(Projects[[#This Row],[Target audience3]]="","",_xlfn.XLOOKUP(Projects[[#This Row],[Target audience3]],Table4[Target audience],Table4[Target audienceFR],"Check",FALSE))</f>
        <v/>
      </c>
      <c r="P104" s="19" t="str">
        <f>IF(Projects[[#This Row],[Target audience4]]="","",_xlfn.XLOOKUP(Projects[[#This Row],[Target audience4]],Table4[Target audience],Table4[Target audienceFR],"Check",FALSE))</f>
        <v/>
      </c>
      <c r="Q104" s="19" t="str">
        <f>IF(Projects[[#This Row],[Target audience5]]="","",_xlfn.XLOOKUP(Projects[[#This Row],[Target audience5]],Table4[Target audience],Table4[Target audienceFR],"Check",FALSE))</f>
        <v/>
      </c>
      <c r="R104" s="19" t="str">
        <f>_xlfn.XLOOKUP(Projects[[#This Row],[Status]],Table8[Status],Table8[StatusFR],"",FALSE)</f>
        <v>Version pilote/bêta</v>
      </c>
      <c r="S104" s="19" t="str">
        <f>_xlfn.XLOOKUP(Projects[[#This Row],[Coverage]],Table7[Coverage],Table7[CoverageFR],"",FALSE)</f>
        <v>Spécifique au tribunal</v>
      </c>
      <c r="T104" s="31" t="str">
        <f>IF(Projects[[#This Row],[To publish]]="","",Projects[[#This Row],[To publish]])</f>
        <v>Batch 5</v>
      </c>
    </row>
    <row r="105" spans="1:20" ht="165" x14ac:dyDescent="0.25">
      <c r="A105" s="19">
        <f>Projects[[#This Row],[NR]]</f>
        <v>140</v>
      </c>
      <c r="B105" s="19" t="str">
        <f>IF(Projects[[#This Row],[Title]]="","",Projects[[#This Row],[Title]])</f>
        <v>Expert system for the categorisation of first instance decisions on diesel claims (target group: 2nd instance decision-makers) / Expertensystem zur Kategorisierung von erstinstanzlichen Entscheidungen über Dieselkalgen (Zielgruppe: Entscheider der 2. Instanz)</v>
      </c>
      <c r="C105" s="19" t="str">
        <f>IF(Projects[[#This Row],[AI Relevance]]="","",Projects[[#This Row],[AI Relevance]])</f>
        <v>AI</v>
      </c>
      <c r="D105" s="19" t="str">
        <f>_xlfn.XLOOKUP(Projects[[#This Row],[Area1]],Table1[Area],Table1[FRArea],"Check",FALSE)</f>
        <v>4 - Aide à la décision</v>
      </c>
      <c r="E105" s="19" t="str">
        <f>IF(Projects[[#This Row],[Area2]]="","",_xlfn.XLOOKUP(Projects[[#This Row],[Area2]],Table1[Area],Table1[FRArea],"Check",FALSE))</f>
        <v>6 - Triage, attribution et automatisation des flux de travail</v>
      </c>
      <c r="F105" s="19">
        <f>IF(Projects[[#This Row],[Year]]="","",Projects[[#This Row],[Year]])</f>
        <v>2024</v>
      </c>
      <c r="G105" s="19" t="str">
        <f>_xlfn.XLOOKUP(Projects[[#This Row],[Country]],Table2[Country],Table2[Pays],"Check",FALSE)</f>
        <v>Allemagne</v>
      </c>
      <c r="H105" s="19" t="str">
        <f>IF(Projects[[#This Row],[Description]]="","",Projects[[#This Row],[Description]])</f>
        <v>Research project to support judicial practice, especially in the processing of diesel claims: Creation of a module-based draft decision for the use case of differential damages according to the Federal Court of Justice as well as a general module for drafting the operative part with regard to costs and decision on provisional enforceability after corresponding calculations. Costs and decision on provisional enforceability after corresponding calculations. Client: Bavarian State Ministry of Justice</v>
      </c>
      <c r="I105" s="29" t="str">
        <f>IF(Projects[[#This Row],[DescriptionFR]]="","",Projects[[#This Row],[DescriptionFR]])</f>
        <v>Projet de recherche visant à soutenir la pratique judiciaire, notamment dans le traitement des réclamations de diesel : Création d’un module-projet de décision basé sur l’utilisation de dommages différentiels selon la Cour fédérale de justice ainsi qu’un module général pour la rédaction du dispositif en ce qui concerne les dépens et la décision sur l’applicabilité provisoire après les calculs correspondants. Frais et décision d’exécution provisoire après calculs correspondants. Client :Ministère bavarois de la justice</v>
      </c>
      <c r="J105" s="30" t="str">
        <f>IF(Projects[[#This Row],[Link]]="","",Projects[[#This Row],[Link]])</f>
        <v/>
      </c>
      <c r="K105" s="30" t="str">
        <f>IF(Projects[[#This Row],[Link1]]="","",Projects[[#This Row],[Link1]])</f>
        <v/>
      </c>
      <c r="L105" s="19" t="str">
        <f>_xlfn.XLOOKUP(Projects[[#This Row],[Implemented by]],Table3[Implemented by],Table3[ImplementedFR],"",FALSE)</f>
        <v xml:space="preserve">Publique </v>
      </c>
      <c r="M105" s="19" t="str">
        <f>_xlfn.XLOOKUP(Projects[[#This Row],[Target audience]],Table4[Target audience],Table4[Target audienceFR],"",FALSE)</f>
        <v>Juges/greffiers</v>
      </c>
      <c r="N105" s="19" t="str">
        <f>IF(Projects[[#This Row],[Target audience2]]="","",_xlfn.XLOOKUP(Projects[[#This Row],[Target audience2]],Table4[Target audience],Table4[Target audienceFR],"Check",FALSE))</f>
        <v/>
      </c>
      <c r="O105" s="19" t="str">
        <f>IF(Projects[[#This Row],[Target audience3]]="","",_xlfn.XLOOKUP(Projects[[#This Row],[Target audience3]],Table4[Target audience],Table4[Target audienceFR],"Check",FALSE))</f>
        <v/>
      </c>
      <c r="P105" s="19" t="str">
        <f>IF(Projects[[#This Row],[Target audience4]]="","",_xlfn.XLOOKUP(Projects[[#This Row],[Target audience4]],Table4[Target audience],Table4[Target audienceFR],"Check",FALSE))</f>
        <v/>
      </c>
      <c r="Q105" s="19" t="str">
        <f>IF(Projects[[#This Row],[Target audience5]]="","",_xlfn.XLOOKUP(Projects[[#This Row],[Target audience5]],Table4[Target audience],Table4[Target audienceFR],"Check",FALSE))</f>
        <v/>
      </c>
      <c r="R105" s="19" t="str">
        <f>_xlfn.XLOOKUP(Projects[[#This Row],[Status]],Table8[Status],Table8[StatusFR],"",FALSE)</f>
        <v>Concept/prévu</v>
      </c>
      <c r="S105" s="19" t="str">
        <f>_xlfn.XLOOKUP(Projects[[#This Row],[Coverage]],Table7[Coverage],Table7[CoverageFR],"",FALSE)</f>
        <v>Spécifique au tribunal</v>
      </c>
      <c r="T105" s="31" t="str">
        <f>IF(Projects[[#This Row],[To publish]]="","",Projects[[#This Row],[To publish]])</f>
        <v>Batch 5</v>
      </c>
    </row>
    <row r="106" spans="1:20" ht="165" x14ac:dyDescent="0.25">
      <c r="A106" s="19">
        <f>Projects[[#This Row],[NR]]</f>
        <v>141</v>
      </c>
      <c r="B106" s="19" t="str">
        <f>IF(Projects[[#This Row],[Title]]="","",Projects[[#This Row],[Title]])</f>
        <v>Dark Web Monitor for cataloguing and indexing the darknet and blockchain analysis tool GraphSense for tracking payment flows with cryptocurrencies / Dark Web Monitor zur Katalogisierung und Indizierung des Darknets und Blockchain-Analysetool GraphSense zur Nachverfolgung von Zahlungsströhmungen und Kryptowährungen</v>
      </c>
      <c r="C106" s="19" t="str">
        <f>IF(Projects[[#This Row],[AI Relevance]]="","",Projects[[#This Row],[AI Relevance]])</f>
        <v>AI</v>
      </c>
      <c r="D106" s="19" t="str">
        <f>_xlfn.XLOOKUP(Projects[[#This Row],[Area1]],Table1[Area],Table1[FRArea],"Check",FALSE)</f>
        <v>1 - Recherche documentaire</v>
      </c>
      <c r="E106" s="19" t="str">
        <f>IF(Projects[[#This Row],[Area2]]="","",_xlfn.XLOOKUP(Projects[[#This Row],[Area2]],Table1[Area],Table1[FRArea],"Check",FALSE))</f>
        <v/>
      </c>
      <c r="F106" s="19">
        <f>IF(Projects[[#This Row],[Year]]="","",Projects[[#This Row],[Year]])</f>
        <v>2024</v>
      </c>
      <c r="G106" s="19" t="str">
        <f>_xlfn.XLOOKUP(Projects[[#This Row],[Country]],Table2[Country],Table2[Pays],"Check",FALSE)</f>
        <v>Allemagne</v>
      </c>
      <c r="H106" s="19" t="str">
        <f>IF(Projects[[#This Row],[Description]]="","",Projects[[#This Row],[Description]])</f>
        <v>Even more effective action against the trade in stolen data, drugs, weapons or child pornography on the digital black market by developing a "search engine for the darknet" based on the needs of law enforcement authorities; in addition: using a blockchain analysis tool to better track cryptocurrency flows and thus be able to follow the "trail of money".
Client: Bavarian State Ministry of Justice / Bavarian Cybercrime Centre</v>
      </c>
      <c r="I106" s="29" t="str">
        <f>IF(Projects[[#This Row],[DescriptionFR]]="","",Projects[[#This Row],[DescriptionFR]])</f>
        <v xml:space="preserve">Une action encore plus efficace contre le commerce de données volées, de drogues, d’armes ou de pornographie juvénile sur le marché noir numérique en développant un « moteur de recherche pour le darknet » basé sur les besoins des autorités policières; en plus : utiliser un outil d’analyse blockchain pour mieux suivre les flux de crypto-monnaie et ainsi pouvoir suivre la « piste de l’argent ». Client : Ministère bavarois de la Justice / Centre bavarois de lutte contre la cybercriminalité
</v>
      </c>
      <c r="J106" s="30" t="str">
        <f>IF(Projects[[#This Row],[Link]]="","",Projects[[#This Row],[Link]])</f>
        <v/>
      </c>
      <c r="K106" s="30" t="str">
        <f>IF(Projects[[#This Row],[Link1]]="","",Projects[[#This Row],[Link1]])</f>
        <v/>
      </c>
      <c r="L106" s="19" t="str">
        <f>_xlfn.XLOOKUP(Projects[[#This Row],[Implemented by]],Table3[Implemented by],Table3[ImplementedFR],"",FALSE)</f>
        <v xml:space="preserve">Publique </v>
      </c>
      <c r="M106" s="19" t="str">
        <f>_xlfn.XLOOKUP(Projects[[#This Row],[Target audience]],Table4[Target audience],Table4[Target audienceFR],"",FALSE)</f>
        <v>Procureurs/greffiers</v>
      </c>
      <c r="N106" s="19" t="str">
        <f>IF(Projects[[#This Row],[Target audience2]]="","",_xlfn.XLOOKUP(Projects[[#This Row],[Target audience2]],Table4[Target audience],Table4[Target audienceFR],"Check",FALSE))</f>
        <v/>
      </c>
      <c r="O106" s="19" t="str">
        <f>IF(Projects[[#This Row],[Target audience3]]="","",_xlfn.XLOOKUP(Projects[[#This Row],[Target audience3]],Table4[Target audience],Table4[Target audienceFR],"Check",FALSE))</f>
        <v/>
      </c>
      <c r="P106" s="19" t="str">
        <f>IF(Projects[[#This Row],[Target audience4]]="","",_xlfn.XLOOKUP(Projects[[#This Row],[Target audience4]],Table4[Target audience],Table4[Target audienceFR],"Check",FALSE))</f>
        <v/>
      </c>
      <c r="Q106" s="19" t="str">
        <f>IF(Projects[[#This Row],[Target audience5]]="","",_xlfn.XLOOKUP(Projects[[#This Row],[Target audience5]],Table4[Target audience],Table4[Target audienceFR],"Check",FALSE))</f>
        <v/>
      </c>
      <c r="R106" s="19" t="str">
        <f>_xlfn.XLOOKUP(Projects[[#This Row],[Status]],Table8[Status],Table8[StatusFR],"",FALSE)</f>
        <v>Version pilote/bêta</v>
      </c>
      <c r="S106" s="19" t="str">
        <f>_xlfn.XLOOKUP(Projects[[#This Row],[Coverage]],Table7[Coverage],Table7[CoverageFR],"",FALSE)</f>
        <v>Spécifique au tribunal</v>
      </c>
      <c r="T106" s="31" t="str">
        <f>IF(Projects[[#This Row],[To publish]]="","",Projects[[#This Row],[To publish]])</f>
        <v>Batch 5</v>
      </c>
    </row>
    <row r="107" spans="1:20" ht="195" x14ac:dyDescent="0.25">
      <c r="A107" s="19">
        <f>Projects[[#This Row],[NR]]</f>
        <v>142</v>
      </c>
      <c r="B107" s="19" t="str">
        <f>IF(Projects[[#This Row],[Title]]="","",Projects[[#This Row],[Title]])</f>
        <v>Fake Shop Detector</v>
      </c>
      <c r="C107" s="19" t="str">
        <f>IF(Projects[[#This Row],[AI Relevance]]="","",Projects[[#This Row],[AI Relevance]])</f>
        <v>AI</v>
      </c>
      <c r="D107" s="19" t="str">
        <f>_xlfn.XLOOKUP(Projects[[#This Row],[Area1]],Table1[Area],Table1[FRArea],"Check",FALSE)</f>
        <v>1 - Recherche documentaire</v>
      </c>
      <c r="E107" s="19" t="str">
        <f>IF(Projects[[#This Row],[Area2]]="","",_xlfn.XLOOKUP(Projects[[#This Row],[Area2]],Table1[Area],Table1[FRArea],"Check",FALSE))</f>
        <v/>
      </c>
      <c r="F107" s="19">
        <f>IF(Projects[[#This Row],[Year]]="","",Projects[[#This Row],[Year]])</f>
        <v>2024</v>
      </c>
      <c r="G107" s="19" t="str">
        <f>_xlfn.XLOOKUP(Projects[[#This Row],[Country]],Table2[Country],Table2[Pays],"Check",FALSE)</f>
        <v>Allemagne</v>
      </c>
      <c r="H107" s="19" t="str">
        <f>IF(Projects[[#This Row],[Description]]="","",Projects[[#This Row],[Description]])</f>
        <v>Even more effective action against fake shops. Fake Shop Detector uses AI to check unknown online shops for more than 21,000 features in real time; the detector issues an alert when a suspicious shop is detected. Fake Shop Detector thus offers considerable potential for investigators to identify fake shops at an early stage. The tool could also help to better recognise the structures behind the offences and make investigations even more efficient.
Client: Bavarian State Ministry of Justice / Bavarian Cybercrime Centre</v>
      </c>
      <c r="I107" s="29" t="str">
        <f>IF(Projects[[#This Row],[DescriptionFR]]="","",Projects[[#This Row],[DescriptionFR]])</f>
        <v>Une action encore plus efficace contre les faux magasins. Fake Shop Detector utilise l’IA pour vérifier les boutiques en ligne inconnues pour plus de 21 000 fonctionnalités en temps réel; le détecteur émet une alerte lorsqu’un magasin suspect est détecté. Fake Shop Detector offre donc un potentiel considérable aux enquêteurs pour identifier les faux magasins à un stade précoce. L’outil pourrait également aider à mieux reconnaître les structures derrière les infractions et à rendre les enquêtes encore plus efficaces.
Client : Ministère bavarois de la Justice / Centre bavarois de lutte contre la cybercriminalité</v>
      </c>
      <c r="J107" s="30" t="str">
        <f>IF(Projects[[#This Row],[Link]]="","",Projects[[#This Row],[Link]])</f>
        <v/>
      </c>
      <c r="K107" s="30" t="str">
        <f>IF(Projects[[#This Row],[Link1]]="","",Projects[[#This Row],[Link1]])</f>
        <v/>
      </c>
      <c r="L107" s="19" t="str">
        <f>_xlfn.XLOOKUP(Projects[[#This Row],[Implemented by]],Table3[Implemented by],Table3[ImplementedFR],"",FALSE)</f>
        <v xml:space="preserve">Publique </v>
      </c>
      <c r="M107" s="19" t="str">
        <f>_xlfn.XLOOKUP(Projects[[#This Row],[Target audience]],Table4[Target audience],Table4[Target audienceFR],"",FALSE)</f>
        <v>Procureurs/greffiers</v>
      </c>
      <c r="N107" s="19" t="str">
        <f>IF(Projects[[#This Row],[Target audience2]]="","",_xlfn.XLOOKUP(Projects[[#This Row],[Target audience2]],Table4[Target audience],Table4[Target audienceFR],"Check",FALSE))</f>
        <v/>
      </c>
      <c r="O107" s="19" t="str">
        <f>IF(Projects[[#This Row],[Target audience3]]="","",_xlfn.XLOOKUP(Projects[[#This Row],[Target audience3]],Table4[Target audience],Table4[Target audienceFR],"Check",FALSE))</f>
        <v/>
      </c>
      <c r="P107" s="19" t="str">
        <f>IF(Projects[[#This Row],[Target audience4]]="","",_xlfn.XLOOKUP(Projects[[#This Row],[Target audience4]],Table4[Target audience],Table4[Target audienceFR],"Check",FALSE))</f>
        <v/>
      </c>
      <c r="Q107" s="19" t="str">
        <f>IF(Projects[[#This Row],[Target audience5]]="","",_xlfn.XLOOKUP(Projects[[#This Row],[Target audience5]],Table4[Target audience],Table4[Target audienceFR],"Check",FALSE))</f>
        <v/>
      </c>
      <c r="R107" s="19" t="str">
        <f>_xlfn.XLOOKUP(Projects[[#This Row],[Status]],Table8[Status],Table8[StatusFR],"",FALSE)</f>
        <v>Version pilote/bêta</v>
      </c>
      <c r="S107" s="19" t="str">
        <f>_xlfn.XLOOKUP(Projects[[#This Row],[Coverage]],Table7[Coverage],Table7[CoverageFR],"",FALSE)</f>
        <v>Spécifique au tribunal</v>
      </c>
      <c r="T107" s="31" t="str">
        <f>IF(Projects[[#This Row],[To publish]]="","",Projects[[#This Row],[To publish]])</f>
        <v>Batch 5</v>
      </c>
    </row>
    <row r="108" spans="1:20" ht="75" x14ac:dyDescent="0.25">
      <c r="A108" s="19">
        <f>Projects[[#This Row],[NR]]</f>
        <v>143</v>
      </c>
      <c r="B108" s="19" t="str">
        <f>IF(Projects[[#This Row],[Title]]="","",Projects[[#This Row],[Title]])</f>
        <v>Juris Collect</v>
      </c>
      <c r="C108" s="19" t="str">
        <f>IF(Projects[[#This Row],[AI Relevance]]="","",Projects[[#This Row],[AI Relevance]])</f>
        <v>AI</v>
      </c>
      <c r="D108" s="19" t="str">
        <f>_xlfn.XLOOKUP(Projects[[#This Row],[Area1]],Table1[Area],Table1[FRArea],"Check",FALSE)</f>
        <v>1 - Recherche documentaire</v>
      </c>
      <c r="E108" s="19" t="str">
        <f>IF(Projects[[#This Row],[Area2]]="","",_xlfn.XLOOKUP(Projects[[#This Row],[Area2]],Table1[Area],Table1[FRArea],"Check",FALSE))</f>
        <v>6 - Triage, attribution et automatisation des flux de travail</v>
      </c>
      <c r="F108" s="19">
        <f>IF(Projects[[#This Row],[Year]]="","",Projects[[#This Row],[Year]])</f>
        <v>2024</v>
      </c>
      <c r="G108" s="19" t="str">
        <f>_xlfn.XLOOKUP(Projects[[#This Row],[Country]],Table2[Country],Table2[Pays],"Check",FALSE)</f>
        <v>Allemagne</v>
      </c>
      <c r="H108" s="19" t="str">
        <f>IF(Projects[[#This Row],[Description]]="","",Projects[[#This Row],[Description]])</f>
        <v xml:space="preserve">Integration, structuring and categorisation of own content/decisions in juris
Client: Court of Appeal Berlin </v>
      </c>
      <c r="I108" s="29" t="str">
        <f>IF(Projects[[#This Row],[DescriptionFR]]="","",Projects[[#This Row],[DescriptionFR]])</f>
        <v xml:space="preserve">Intégration, structuration et catégorisation de ses propres contenus/de la jurisprudence 
Client : Cour d’appel Berlin
</v>
      </c>
      <c r="J108" s="30" t="str">
        <f>IF(Projects[[#This Row],[Link]]="","",Projects[[#This Row],[Link]])</f>
        <v/>
      </c>
      <c r="K108" s="30" t="str">
        <f>IF(Projects[[#This Row],[Link1]]="","",Projects[[#This Row],[Link1]])</f>
        <v/>
      </c>
      <c r="L108" s="19" t="str">
        <f>_xlfn.XLOOKUP(Projects[[#This Row],[Implemented by]],Table3[Implemented by],Table3[ImplementedFR],"",FALSE)</f>
        <v xml:space="preserve">Publique </v>
      </c>
      <c r="M108" s="19" t="str">
        <f>_xlfn.XLOOKUP(Projects[[#This Row],[Target audience]],Table4[Target audience],Table4[Target audienceFR],"",FALSE)</f>
        <v>Juges/greffiers</v>
      </c>
      <c r="N108" s="19" t="str">
        <f>IF(Projects[[#This Row],[Target audience2]]="","",_xlfn.XLOOKUP(Projects[[#This Row],[Target audience2]],Table4[Target audience],Table4[Target audienceFR],"Check",FALSE))</f>
        <v/>
      </c>
      <c r="O108" s="19" t="str">
        <f>IF(Projects[[#This Row],[Target audience3]]="","",_xlfn.XLOOKUP(Projects[[#This Row],[Target audience3]],Table4[Target audience],Table4[Target audienceFR],"Check",FALSE))</f>
        <v/>
      </c>
      <c r="P108" s="19" t="str">
        <f>IF(Projects[[#This Row],[Target audience4]]="","",_xlfn.XLOOKUP(Projects[[#This Row],[Target audience4]],Table4[Target audience],Table4[Target audienceFR],"Check",FALSE))</f>
        <v/>
      </c>
      <c r="Q108" s="19" t="str">
        <f>IF(Projects[[#This Row],[Target audience5]]="","",_xlfn.XLOOKUP(Projects[[#This Row],[Target audience5]],Table4[Target audience],Table4[Target audienceFR],"Check",FALSE))</f>
        <v/>
      </c>
      <c r="R108" s="19" t="str">
        <f>_xlfn.XLOOKUP(Projects[[#This Row],[Status]],Table8[Status],Table8[StatusFR],"",FALSE)</f>
        <v>Version pilote/bêta</v>
      </c>
      <c r="S108" s="19" t="str">
        <f>_xlfn.XLOOKUP(Projects[[#This Row],[Coverage]],Table7[Coverage],Table7[CoverageFR],"",FALSE)</f>
        <v>Spécifique au tribunal</v>
      </c>
      <c r="T108" s="31" t="str">
        <f>IF(Projects[[#This Row],[To publish]]="","",Projects[[#This Row],[To publish]])</f>
        <v>Batch 5</v>
      </c>
    </row>
    <row r="109" spans="1:20" ht="60" x14ac:dyDescent="0.25">
      <c r="A109" s="19">
        <f>Projects[[#This Row],[NR]]</f>
        <v>144</v>
      </c>
      <c r="B109" s="19" t="str">
        <f>IF(Projects[[#This Row],[Title]]="","",Projects[[#This Row],[Title]])</f>
        <v>Speech Recognition / Spracherkennung</v>
      </c>
      <c r="C109" s="19" t="str">
        <f>IF(Projects[[#This Row],[AI Relevance]]="","",Projects[[#This Row],[AI Relevance]])</f>
        <v>AI</v>
      </c>
      <c r="D109" s="19" t="str">
        <f>_xlfn.XLOOKUP(Projects[[#This Row],[Area1]],Table1[Area],Table1[FRArea],"Check",FALSE)</f>
        <v>7 - Enregistrement, transcription et traduction</v>
      </c>
      <c r="E109" s="19" t="str">
        <f>IF(Projects[[#This Row],[Area2]]="","",_xlfn.XLOOKUP(Projects[[#This Row],[Area2]],Table1[Area],Table1[FRArea],"Check",FALSE))</f>
        <v/>
      </c>
      <c r="F109" s="19">
        <f>IF(Projects[[#This Row],[Year]]="","",Projects[[#This Row],[Year]])</f>
        <v>2024</v>
      </c>
      <c r="G109" s="19" t="str">
        <f>_xlfn.XLOOKUP(Projects[[#This Row],[Country]],Table2[Country],Table2[Pays],"Check",FALSE)</f>
        <v>Allemagne</v>
      </c>
      <c r="H109" s="19" t="str">
        <f>IF(Projects[[#This Row],[Description]]="","",Projects[[#This Row],[Description]])</f>
        <v xml:space="preserve">Availability of speech recognition as widely as possible, especially for judges
Client: Court of Appeal berlin
</v>
      </c>
      <c r="I109" s="29" t="str">
        <f>IF(Projects[[#This Row],[DescriptionFR]]="","",Projects[[#This Row],[DescriptionFR]])</f>
        <v xml:space="preserve">Disponibilité de la reconnaissance vocale aussi largement que possible, en particulier pour les juges
Client : Cour d’appel Berlin
</v>
      </c>
      <c r="J109" s="30" t="str">
        <f>IF(Projects[[#This Row],[Link]]="","",Projects[[#This Row],[Link]])</f>
        <v/>
      </c>
      <c r="K109" s="30" t="str">
        <f>IF(Projects[[#This Row],[Link1]]="","",Projects[[#This Row],[Link1]])</f>
        <v/>
      </c>
      <c r="L109" s="19" t="str">
        <f>_xlfn.XLOOKUP(Projects[[#This Row],[Implemented by]],Table3[Implemented by],Table3[ImplementedFR],"",FALSE)</f>
        <v xml:space="preserve">Publique </v>
      </c>
      <c r="M109" s="19" t="str">
        <f>_xlfn.XLOOKUP(Projects[[#This Row],[Target audience]],Table4[Target audience],Table4[Target audienceFR],"",FALSE)</f>
        <v>Juges/greffiers</v>
      </c>
      <c r="N109" s="19" t="str">
        <f>IF(Projects[[#This Row],[Target audience2]]="","",_xlfn.XLOOKUP(Projects[[#This Row],[Target audience2]],Table4[Target audience],Table4[Target audienceFR],"Check",FALSE))</f>
        <v>Gestion</v>
      </c>
      <c r="O109" s="19" t="str">
        <f>IF(Projects[[#This Row],[Target audience3]]="","",_xlfn.XLOOKUP(Projects[[#This Row],[Target audience3]],Table4[Target audience],Table4[Target audienceFR],"Check",FALSE))</f>
        <v/>
      </c>
      <c r="P109" s="19" t="str">
        <f>IF(Projects[[#This Row],[Target audience4]]="","",_xlfn.XLOOKUP(Projects[[#This Row],[Target audience4]],Table4[Target audience],Table4[Target audienceFR],"Check",FALSE))</f>
        <v/>
      </c>
      <c r="Q109" s="19" t="str">
        <f>IF(Projects[[#This Row],[Target audience5]]="","",_xlfn.XLOOKUP(Projects[[#This Row],[Target audience5]],Table4[Target audience],Table4[Target audienceFR],"Check",FALSE))</f>
        <v/>
      </c>
      <c r="R109" s="19" t="str">
        <f>_xlfn.XLOOKUP(Projects[[#This Row],[Status]],Table8[Status],Table8[StatusFR],"",FALSE)</f>
        <v>Fonctionnel</v>
      </c>
      <c r="S109" s="19" t="str">
        <f>_xlfn.XLOOKUP(Projects[[#This Row],[Coverage]],Table7[Coverage],Table7[CoverageFR],"",FALSE)</f>
        <v>Spécifique au tribunal</v>
      </c>
      <c r="T109" s="31" t="str">
        <f>IF(Projects[[#This Row],[To publish]]="","",Projects[[#This Row],[To publish]])</f>
        <v>Batch 5</v>
      </c>
    </row>
    <row r="110" spans="1:20" ht="90" x14ac:dyDescent="0.25">
      <c r="A110" s="19">
        <f>Projects[[#This Row],[NR]]</f>
        <v>145</v>
      </c>
      <c r="B110" s="19" t="str">
        <f>IF(Projects[[#This Row],[Title]]="","",Projects[[#This Row],[Title]])</f>
        <v xml:space="preserve">Structuring and text recognition tool / Strukturierungs und Texterkennungswerkzeug </v>
      </c>
      <c r="C110" s="19" t="str">
        <f>IF(Projects[[#This Row],[AI Relevance]]="","",Projects[[#This Row],[AI Relevance]])</f>
        <v>AI</v>
      </c>
      <c r="D110" s="19" t="str">
        <f>_xlfn.XLOOKUP(Projects[[#This Row],[Area1]],Table1[Area],Table1[FRArea],"Check",FALSE)</f>
        <v>4 - Aide à la décision</v>
      </c>
      <c r="E110" s="19" t="str">
        <f>IF(Projects[[#This Row],[Area2]]="","",_xlfn.XLOOKUP(Projects[[#This Row],[Area2]],Table1[Area],Table1[FRArea],"Check",FALSE))</f>
        <v>6 - Triage, attribution et automatisation des flux de travail</v>
      </c>
      <c r="F110" s="19">
        <f>IF(Projects[[#This Row],[Year]]="","",Projects[[#This Row],[Year]])</f>
        <v>2024</v>
      </c>
      <c r="G110" s="19" t="str">
        <f>_xlfn.XLOOKUP(Projects[[#This Row],[Country]],Table2[Country],Table2[Pays],"Check",FALSE)</f>
        <v>Allemagne</v>
      </c>
      <c r="H110" s="19" t="str">
        <f>IF(Projects[[#This Row],[Description]]="","",Projects[[#This Row],[Description]])</f>
        <v xml:space="preserve">Creation of an AI analysis infrastructure, in particular for handling mass claims and complex proceedings
Client: Court of Appeal/Senate Administration for Justice and Consumer Protection
</v>
      </c>
      <c r="I110" s="29" t="str">
        <f>IF(Projects[[#This Row],[DescriptionFR]]="","",Projects[[#This Row],[DescriptionFR]])</f>
        <v xml:space="preserve">Création d’une infrastructure d’analyse IA, notamment pour le traitement des réclamations de masse et des procédures complexes
Client : Cour d’appel/Administration du Sénat pour la justice et la protection des consommateurs
</v>
      </c>
      <c r="J110" s="30" t="str">
        <f>IF(Projects[[#This Row],[Link]]="","",Projects[[#This Row],[Link]])</f>
        <v/>
      </c>
      <c r="K110" s="30" t="str">
        <f>IF(Projects[[#This Row],[Link1]]="","",Projects[[#This Row],[Link1]])</f>
        <v/>
      </c>
      <c r="L110" s="19" t="str">
        <f>_xlfn.XLOOKUP(Projects[[#This Row],[Implemented by]],Table3[Implemented by],Table3[ImplementedFR],"",FALSE)</f>
        <v xml:space="preserve">Publique </v>
      </c>
      <c r="M110" s="19" t="str">
        <f>_xlfn.XLOOKUP(Projects[[#This Row],[Target audience]],Table4[Target audience],Table4[Target audienceFR],"",FALSE)</f>
        <v>Juges/greffiers</v>
      </c>
      <c r="N110" s="19" t="str">
        <f>IF(Projects[[#This Row],[Target audience2]]="","",_xlfn.XLOOKUP(Projects[[#This Row],[Target audience2]],Table4[Target audience],Table4[Target audienceFR],"Check",FALSE))</f>
        <v>Gestion</v>
      </c>
      <c r="O110" s="19" t="str">
        <f>IF(Projects[[#This Row],[Target audience3]]="","",_xlfn.XLOOKUP(Projects[[#This Row],[Target audience3]],Table4[Target audience],Table4[Target audienceFR],"Check",FALSE))</f>
        <v/>
      </c>
      <c r="P110" s="19" t="str">
        <f>IF(Projects[[#This Row],[Target audience4]]="","",_xlfn.XLOOKUP(Projects[[#This Row],[Target audience4]],Table4[Target audience],Table4[Target audienceFR],"Check",FALSE))</f>
        <v/>
      </c>
      <c r="Q110" s="19" t="str">
        <f>IF(Projects[[#This Row],[Target audience5]]="","",_xlfn.XLOOKUP(Projects[[#This Row],[Target audience5]],Table4[Target audience],Table4[Target audienceFR],"Check",FALSE))</f>
        <v/>
      </c>
      <c r="R110" s="19" t="str">
        <f>_xlfn.XLOOKUP(Projects[[#This Row],[Status]],Table8[Status],Table8[StatusFR],"",FALSE)</f>
        <v>Version pilote/bêta</v>
      </c>
      <c r="S110" s="19" t="str">
        <f>_xlfn.XLOOKUP(Projects[[#This Row],[Coverage]],Table7[Coverage],Table7[CoverageFR],"",FALSE)</f>
        <v>Spécifique au tribunal</v>
      </c>
      <c r="T110" s="31" t="str">
        <f>IF(Projects[[#This Row],[To publish]]="","",Projects[[#This Row],[To publish]])</f>
        <v>Batch 5</v>
      </c>
    </row>
    <row r="111" spans="1:20" ht="285" x14ac:dyDescent="0.25">
      <c r="A111" s="19">
        <f>Projects[[#This Row],[NR]]</f>
        <v>146</v>
      </c>
      <c r="B111" s="19" t="str">
        <f>IF(Projects[[#This Row],[Title]]="","",Projects[[#This Row],[Title]])</f>
        <v>MAKI - "Mass procedure assistance with the help of AI" / Massenverfahrensassistenz mithilfe von KI</v>
      </c>
      <c r="C111" s="19" t="str">
        <f>IF(Projects[[#This Row],[AI Relevance]]="","",Projects[[#This Row],[AI Relevance]])</f>
        <v>AI</v>
      </c>
      <c r="D111" s="19" t="str">
        <f>_xlfn.XLOOKUP(Projects[[#This Row],[Area1]],Table1[Area],Table1[FRArea],"Check",FALSE)</f>
        <v>4 - Aide à la décision</v>
      </c>
      <c r="E111" s="19" t="str">
        <f>IF(Projects[[#This Row],[Area2]]="","",_xlfn.XLOOKUP(Projects[[#This Row],[Area2]],Table1[Area],Table1[FRArea],"Check",FALSE))</f>
        <v>6 - Triage, attribution et automatisation des flux de travail</v>
      </c>
      <c r="F111" s="19">
        <f>IF(Projects[[#This Row],[Year]]="","",Projects[[#This Row],[Year]])</f>
        <v>2024</v>
      </c>
      <c r="G111" s="19" t="str">
        <f>_xlfn.XLOOKUP(Projects[[#This Row],[Country]],Table2[Country],Table2[Pays],"Check",FALSE)</f>
        <v>Allemagne</v>
      </c>
      <c r="H111" s="19" t="str">
        <f>IF(Projects[[#This Row],[Description]]="","",Projects[[#This Row],[Description]])</f>
        <v xml:space="preserve">A software is being developed and tested that groups mass proceedings, recognises similarities, offers suitable decision patterns and individualises them with the respective metadata of the case to be decided. The software is configurable and therefore suitable for any mass procedure. The "Ask my document" function has also been implemented. Various LLMs are used to develop system prompts and standardise different application scenarios (e.g. the summary of the hearing in asylum cases or the elaboration of contradictions in statements, etc.). The project is scientifically supported by the Georg-August-University with a project team of currently 7 people who are developing legal and technical recommendations for the use of AI to support judicial work.
Client: Ministry of Justice of Lower Saxony
</v>
      </c>
      <c r="I111" s="29" t="str">
        <f>IF(Projects[[#This Row],[DescriptionFR]]="","",Projects[[#This Row],[DescriptionFR]])</f>
        <v xml:space="preserve">Un logiciel est en cours de développement et de test qui regroupe les procédures de masse, reconnaît les similitudes, offre des schémas de décision appropriés et les individualise avec les métadonnées respectives du cas à trancher. Le logiciel est configurable et donc adapté à toute procédure de masse. La fonction « Demander mon document » a également été mise en oeuvre. Divers LML sont utilisés pour élaborer des invites du système et normaliser différents scénarios de demande (i.e. le résumé de l’audience dans les affaires d’asile ou l’élaboration de contradictions dans les déclarations, etc.). Le projet est soutenu scientifiquement par l’Université Georg-August avec une équipe de projet de 7 personnes qui développent actuellement des recommandations juridiques et techniques pour l’utilisation de l’IA pour soutenir le travail judiciaire.
Client : Ministère de la Justice de Basse-Saxe
</v>
      </c>
      <c r="J111" s="30" t="str">
        <f>IF(Projects[[#This Row],[Link]]="","",Projects[[#This Row],[Link]])</f>
        <v/>
      </c>
      <c r="K111" s="30" t="str">
        <f>IF(Projects[[#This Row],[Link1]]="","",Projects[[#This Row],[Link1]])</f>
        <v/>
      </c>
      <c r="L111" s="19" t="str">
        <f>_xlfn.XLOOKUP(Projects[[#This Row],[Implemented by]],Table3[Implemented by],Table3[ImplementedFR],"",FALSE)</f>
        <v xml:space="preserve">Publique </v>
      </c>
      <c r="M111" s="19" t="str">
        <f>_xlfn.XLOOKUP(Projects[[#This Row],[Target audience]],Table4[Target audience],Table4[Target audienceFR],"",FALSE)</f>
        <v>Juges/greffiers</v>
      </c>
      <c r="N111" s="19" t="str">
        <f>IF(Projects[[#This Row],[Target audience2]]="","",_xlfn.XLOOKUP(Projects[[#This Row],[Target audience2]],Table4[Target audience],Table4[Target audienceFR],"Check",FALSE))</f>
        <v>Gestion</v>
      </c>
      <c r="O111" s="19" t="str">
        <f>IF(Projects[[#This Row],[Target audience3]]="","",_xlfn.XLOOKUP(Projects[[#This Row],[Target audience3]],Table4[Target audience],Table4[Target audienceFR],"Check",FALSE))</f>
        <v/>
      </c>
      <c r="P111" s="19" t="str">
        <f>IF(Projects[[#This Row],[Target audience4]]="","",_xlfn.XLOOKUP(Projects[[#This Row],[Target audience4]],Table4[Target audience],Table4[Target audienceFR],"Check",FALSE))</f>
        <v/>
      </c>
      <c r="Q111" s="19" t="str">
        <f>IF(Projects[[#This Row],[Target audience5]]="","",_xlfn.XLOOKUP(Projects[[#This Row],[Target audience5]],Table4[Target audience],Table4[Target audienceFR],"Check",FALSE))</f>
        <v/>
      </c>
      <c r="R111" s="19" t="str">
        <f>_xlfn.XLOOKUP(Projects[[#This Row],[Status]],Table8[Status],Table8[StatusFR],"",FALSE)</f>
        <v>Version pilote/bêta</v>
      </c>
      <c r="S111" s="19" t="str">
        <f>_xlfn.XLOOKUP(Projects[[#This Row],[Coverage]],Table7[Coverage],Table7[CoverageFR],"",FALSE)</f>
        <v>Spécifique au tribunal</v>
      </c>
      <c r="T111" s="31" t="str">
        <f>IF(Projects[[#This Row],[To publish]]="","",Projects[[#This Row],[To publish]])</f>
        <v>Batch 5</v>
      </c>
    </row>
    <row r="112" spans="1:20" ht="165" x14ac:dyDescent="0.25">
      <c r="A112" s="19">
        <f>Projects[[#This Row],[NR]]</f>
        <v>147</v>
      </c>
      <c r="B112" s="19" t="str">
        <f>IF(Projects[[#This Row],[Title]]="","",Projects[[#This Row],[Title]])</f>
        <v>Post Processing/ LeA</v>
      </c>
      <c r="C112" s="19" t="str">
        <f>IF(Projects[[#This Row],[AI Relevance]]="","",Projects[[#This Row],[AI Relevance]])</f>
        <v>AI</v>
      </c>
      <c r="D112" s="19" t="str">
        <f>_xlfn.XLOOKUP(Projects[[#This Row],[Area1]],Table1[Area],Table1[FRArea],"Check",FALSE)</f>
        <v>5 - Anonymisation et pseudonymisation</v>
      </c>
      <c r="E112" s="19" t="str">
        <f>IF(Projects[[#This Row],[Area2]]="","",_xlfn.XLOOKUP(Projects[[#This Row],[Area2]],Table1[Area],Table1[FRArea],"Check",FALSE))</f>
        <v/>
      </c>
      <c r="F112" s="19">
        <f>IF(Projects[[#This Row],[Year]]="","",Projects[[#This Row],[Year]])</f>
        <v>2024</v>
      </c>
      <c r="G112" s="19" t="str">
        <f>_xlfn.XLOOKUP(Projects[[#This Row],[Country]],Table2[Country],Table2[Pays],"Check",FALSE)</f>
        <v>Allemagne</v>
      </c>
      <c r="H112" s="19" t="str">
        <f>IF(Projects[[#This Row],[Description]]="","",Projects[[#This Row],[Description]])</f>
        <v xml:space="preserve">Development of a licence-free anonymisation tool for the judiciary with the possibility of individual licensing/post-processing, keywording, summarisation and support for the creation of guidelines using a large language model. The entire publication process is to be automated, including the recording of metadata in the metadata tool.
Client: Ministry of Justice of Lower Saxony
</v>
      </c>
      <c r="I112" s="29" t="str">
        <f>IF(Projects[[#This Row],[DescriptionFR]]="","",Projects[[#This Row],[DescriptionFR]])</f>
        <v xml:space="preserve">Développement d’un outil d’anonymisation sans licence pour le système judiciaire avec la possibilité d’une licence individuelle / post-traitement, de la formulation de clés, de la synthèse et du soutien à la création de lignes directrices en utilisant un modèle linguistique étendu. L’ensemble du processus de publication doit être automatisé, y compris l’enregistrement des métadonnées dans l’outil de métadonnées.
Client : Ministère de la Justice de Basse-Saxe
</v>
      </c>
      <c r="J112" s="30" t="str">
        <f>IF(Projects[[#This Row],[Link]]="","",Projects[[#This Row],[Link]])</f>
        <v/>
      </c>
      <c r="K112" s="30" t="str">
        <f>IF(Projects[[#This Row],[Link1]]="","",Projects[[#This Row],[Link1]])</f>
        <v/>
      </c>
      <c r="L112" s="19" t="str">
        <f>_xlfn.XLOOKUP(Projects[[#This Row],[Implemented by]],Table3[Implemented by],Table3[ImplementedFR],"",FALSE)</f>
        <v xml:space="preserve">Publique </v>
      </c>
      <c r="M112" s="19" t="str">
        <f>_xlfn.XLOOKUP(Projects[[#This Row],[Target audience]],Table4[Target audience],Table4[Target audienceFR],"",FALSE)</f>
        <v>Juges/greffiers</v>
      </c>
      <c r="N112" s="19" t="str">
        <f>IF(Projects[[#This Row],[Target audience2]]="","",_xlfn.XLOOKUP(Projects[[#This Row],[Target audience2]],Table4[Target audience],Table4[Target audienceFR],"Check",FALSE))</f>
        <v>Gestion</v>
      </c>
      <c r="O112" s="19" t="str">
        <f>IF(Projects[[#This Row],[Target audience3]]="","",_xlfn.XLOOKUP(Projects[[#This Row],[Target audience3]],Table4[Target audience],Table4[Target audienceFR],"Check",FALSE))</f>
        <v/>
      </c>
      <c r="P112" s="19" t="str">
        <f>IF(Projects[[#This Row],[Target audience4]]="","",_xlfn.XLOOKUP(Projects[[#This Row],[Target audience4]],Table4[Target audience],Table4[Target audienceFR],"Check",FALSE))</f>
        <v/>
      </c>
      <c r="Q112" s="19" t="str">
        <f>IF(Projects[[#This Row],[Target audience5]]="","",_xlfn.XLOOKUP(Projects[[#This Row],[Target audience5]],Table4[Target audience],Table4[Target audienceFR],"Check",FALSE))</f>
        <v/>
      </c>
      <c r="R112" s="19" t="str">
        <f>_xlfn.XLOOKUP(Projects[[#This Row],[Status]],Table8[Status],Table8[StatusFR],"",FALSE)</f>
        <v>Version pilote/bêta</v>
      </c>
      <c r="S112" s="19" t="str">
        <f>_xlfn.XLOOKUP(Projects[[#This Row],[Coverage]],Table7[Coverage],Table7[CoverageFR],"",FALSE)</f>
        <v>Spécifique au tribunal</v>
      </c>
      <c r="T112" s="31" t="str">
        <f>IF(Projects[[#This Row],[To publish]]="","",Projects[[#This Row],[To publish]])</f>
        <v>Batch 5</v>
      </c>
    </row>
    <row r="113" spans="1:20" ht="180" x14ac:dyDescent="0.25">
      <c r="A113" s="19">
        <f>Projects[[#This Row],[NR]]</f>
        <v>148</v>
      </c>
      <c r="B113" s="19" t="str">
        <f>IF(Projects[[#This Row],[Title]]="","",Projects[[#This Row],[Title]])</f>
        <v xml:space="preserve">INFOService Justice </v>
      </c>
      <c r="C113" s="19" t="str">
        <f>IF(Projects[[#This Row],[AI Relevance]]="","",Projects[[#This Row],[AI Relevance]])</f>
        <v>AI</v>
      </c>
      <c r="D113" s="19" t="str">
        <f>_xlfn.XLOOKUP(Projects[[#This Row],[Area1]],Table1[Area],Table1[FRArea],"Check",FALSE)</f>
        <v>8 - Services d'information/assistance</v>
      </c>
      <c r="E113" s="19" t="str">
        <f>IF(Projects[[#This Row],[Area2]]="","",_xlfn.XLOOKUP(Projects[[#This Row],[Area2]],Table1[Area],Table1[FRArea],"Check",FALSE))</f>
        <v/>
      </c>
      <c r="F113" s="19">
        <f>IF(Projects[[#This Row],[Year]]="","",Projects[[#This Row],[Year]])</f>
        <v>2024</v>
      </c>
      <c r="G113" s="19" t="str">
        <f>_xlfn.XLOOKUP(Projects[[#This Row],[Country]],Table2[Country],Table2[Pays],"Check",FALSE)</f>
        <v>Allemagne</v>
      </c>
      <c r="H113" s="19" t="str">
        <f>IF(Projects[[#This Row],[Description]]="","",Projects[[#This Row],[Description]])</f>
        <v xml:space="preserve">An "INFOService" has been set up at the Osterholz-Scharmbeck Local Court as a state-wide central office for answering citizens' enquiries in the area of ordinary jurisdiction, which can be contacted by email or telephone. The employees working there have access to a knowledge database that enables fast, AI-supported access to the underlying data sources (e.g. through guided dialogues [similar to chatbots]).
Client: Ministry of Justice of Lower Saxony
</v>
      </c>
      <c r="I113" s="29" t="str">
        <f>IF(Projects[[#This Row],[DescriptionFR]]="","",Projects[[#This Row],[DescriptionFR]])</f>
        <v xml:space="preserve">Un « INFOService » a été mis en place au tribunal  de Osterholz-Scharmbeck en tant que bureau central à l’échelle de l’État pour répondre aux demandes des citoyens dans le domaine de la juridiction ordinaire, qui peut être contacté par courrier électronique ou par téléphone. Les employés qui y travaillent ont accès à une base de données de connaissances qui permet un accès rapide aux sources de données sous-jacentes (i.e., au moyen de dialogues guidés [semblables aux robots conversationnels]).
Client : Ministère de la Justice de Basse-Saxe
</v>
      </c>
      <c r="J113" s="30" t="str">
        <f>IF(Projects[[#This Row],[Link]]="","",Projects[[#This Row],[Link]])</f>
        <v/>
      </c>
      <c r="K113" s="30" t="str">
        <f>IF(Projects[[#This Row],[Link1]]="","",Projects[[#This Row],[Link1]])</f>
        <v/>
      </c>
      <c r="L113" s="19" t="str">
        <f>_xlfn.XLOOKUP(Projects[[#This Row],[Implemented by]],Table3[Implemented by],Table3[ImplementedFR],"",FALSE)</f>
        <v xml:space="preserve">Publique </v>
      </c>
      <c r="M113" s="19" t="str">
        <f>_xlfn.XLOOKUP(Projects[[#This Row],[Target audience]],Table4[Target audience],Table4[Target audienceFR],"",FALSE)</f>
        <v>Usagers des tribunaux (Grand public)</v>
      </c>
      <c r="N113" s="19" t="str">
        <f>IF(Projects[[#This Row],[Target audience2]]="","",_xlfn.XLOOKUP(Projects[[#This Row],[Target audience2]],Table4[Target audience],Table4[Target audienceFR],"Check",FALSE))</f>
        <v>Gestion</v>
      </c>
      <c r="O113" s="19" t="str">
        <f>IF(Projects[[#This Row],[Target audience3]]="","",_xlfn.XLOOKUP(Projects[[#This Row],[Target audience3]],Table4[Target audience],Table4[Target audienceFR],"Check",FALSE))</f>
        <v/>
      </c>
      <c r="P113" s="19" t="str">
        <f>IF(Projects[[#This Row],[Target audience4]]="","",_xlfn.XLOOKUP(Projects[[#This Row],[Target audience4]],Table4[Target audience],Table4[Target audienceFR],"Check",FALSE))</f>
        <v/>
      </c>
      <c r="Q113" s="19" t="str">
        <f>IF(Projects[[#This Row],[Target audience5]]="","",_xlfn.XLOOKUP(Projects[[#This Row],[Target audience5]],Table4[Target audience],Table4[Target audienceFR],"Check",FALSE))</f>
        <v/>
      </c>
      <c r="R113" s="19" t="str">
        <f>_xlfn.XLOOKUP(Projects[[#This Row],[Status]],Table8[Status],Table8[StatusFR],"",FALSE)</f>
        <v>Fonctionnel</v>
      </c>
      <c r="S113" s="19" t="str">
        <f>_xlfn.XLOOKUP(Projects[[#This Row],[Coverage]],Table7[Coverage],Table7[CoverageFR],"",FALSE)</f>
        <v>Spécifique au tribunal</v>
      </c>
      <c r="T113" s="31" t="str">
        <f>IF(Projects[[#This Row],[To publish]]="","",Projects[[#This Row],[To publish]])</f>
        <v>Batch 5</v>
      </c>
    </row>
    <row r="114" spans="1:20" ht="240" x14ac:dyDescent="0.25">
      <c r="A114" s="19">
        <f>Projects[[#This Row],[NR]]</f>
        <v>149</v>
      </c>
      <c r="B114" s="19" t="str">
        <f>IF(Projects[[#This Row],[Title]]="","",Projects[[#This Row],[Title]])</f>
        <v>Automated dispatch to bailiffs / Automatisierter Versabd and die Gerichtsvollzieher (RPA)</v>
      </c>
      <c r="C114" s="19" t="str">
        <f>IF(Projects[[#This Row],[AI Relevance]]="","",Projects[[#This Row],[AI Relevance]])</f>
        <v>AI</v>
      </c>
      <c r="D114" s="19" t="str">
        <f>_xlfn.XLOOKUP(Projects[[#This Row],[Area1]],Table1[Area],Table1[FRArea],"Check",FALSE)</f>
        <v>6 - Triage, attribution et automatisation des flux de travail</v>
      </c>
      <c r="E114" s="19" t="str">
        <f>IF(Projects[[#This Row],[Area2]]="","",_xlfn.XLOOKUP(Projects[[#This Row],[Area2]],Table1[Area],Table1[FRArea],"Check",FALSE))</f>
        <v/>
      </c>
      <c r="F114" s="19">
        <f>IF(Projects[[#This Row],[Year]]="","",Projects[[#This Row],[Year]])</f>
        <v>2024</v>
      </c>
      <c r="G114" s="19" t="str">
        <f>_xlfn.XLOOKUP(Projects[[#This Row],[Country]],Table2[Country],Table2[Pays],"Check",FALSE)</f>
        <v>Allemagne</v>
      </c>
      <c r="H114" s="19" t="str">
        <f>IF(Projects[[#This Row],[Description]]="","",Projects[[#This Row],[Description]])</f>
        <v>Automated dispatch of electronic messages received by the court (at the bailiff distribution centre - GVST) to the bailiffs (GV) due to the constantly increasing number of entries at the GVST.
There are plans to develop an algorithmic system (software) to automatically forward electronic submissions from the GVST to the GV, which will replace the previous manual transmission by employees. Among other things, this should ensure faster receipt at the GV, noticeable time savings at the GVST and a reduction in manual misrouting. The prototype is expected to be completed by mid-2024.
Client: Saxon State Ministry of Justice and for Democracy, Europe and Equality</v>
      </c>
      <c r="I114" s="29" t="str">
        <f>IF(Projects[[#This Row],[DescriptionFR]]="","",Projects[[#This Row],[DescriptionFR]])</f>
        <v xml:space="preserve">Envoi automatisé des messages électroniques reçus par le tribunal (au centre de distribution des huissiers - GVST) aux huissiers (GV) en raison du nombre sans cesse croissant d’entrées au GVST.
Il est prévu de mettre au point un système algorithmique (logiciel) pour transmettre automatiquement les soumissions électroniques du GVST au GV, qui remplacera la transmission manuelle précédente par les employés. Entre autres choses, cela devrait assurer une réception plus rapide au GV, un gain de temps notable au GVST et une réduction des erreurs d’acheminement manuelles. Le prototype devrait être achevé d’ici la mi-2024.
Client : Ministère de la Justice et de la Démocratie, de l’Europe et de l’Égalité
</v>
      </c>
      <c r="J114" s="30" t="str">
        <f>IF(Projects[[#This Row],[Link]]="","",Projects[[#This Row],[Link]])</f>
        <v/>
      </c>
      <c r="K114" s="30" t="str">
        <f>IF(Projects[[#This Row],[Link1]]="","",Projects[[#This Row],[Link1]])</f>
        <v/>
      </c>
      <c r="L114" s="19" t="str">
        <f>_xlfn.XLOOKUP(Projects[[#This Row],[Implemented by]],Table3[Implemented by],Table3[ImplementedFR],"",FALSE)</f>
        <v xml:space="preserve">Publique </v>
      </c>
      <c r="M114" s="19" t="str">
        <f>_xlfn.XLOOKUP(Projects[[#This Row],[Target audience]],Table4[Target audience],Table4[Target audienceFR],"",FALSE)</f>
        <v>Juges/greffiers</v>
      </c>
      <c r="N114" s="19" t="str">
        <f>IF(Projects[[#This Row],[Target audience2]]="","",_xlfn.XLOOKUP(Projects[[#This Row],[Target audience2]],Table4[Target audience],Table4[Target audienceFR],"Check",FALSE))</f>
        <v>Huissiers de justice</v>
      </c>
      <c r="O114" s="19" t="str">
        <f>IF(Projects[[#This Row],[Target audience3]]="","",_xlfn.XLOOKUP(Projects[[#This Row],[Target audience3]],Table4[Target audience],Table4[Target audienceFR],"Check",FALSE))</f>
        <v/>
      </c>
      <c r="P114" s="19" t="str">
        <f>IF(Projects[[#This Row],[Target audience4]]="","",_xlfn.XLOOKUP(Projects[[#This Row],[Target audience4]],Table4[Target audience],Table4[Target audienceFR],"Check",FALSE))</f>
        <v/>
      </c>
      <c r="Q114" s="19" t="str">
        <f>IF(Projects[[#This Row],[Target audience5]]="","",_xlfn.XLOOKUP(Projects[[#This Row],[Target audience5]],Table4[Target audience],Table4[Target audienceFR],"Check",FALSE))</f>
        <v/>
      </c>
      <c r="R114" s="19" t="str">
        <f>_xlfn.XLOOKUP(Projects[[#This Row],[Status]],Table8[Status],Table8[StatusFR],"",FALSE)</f>
        <v>Concept/prévu</v>
      </c>
      <c r="S114" s="19" t="str">
        <f>_xlfn.XLOOKUP(Projects[[#This Row],[Coverage]],Table7[Coverage],Table7[CoverageFR],"",FALSE)</f>
        <v>Spécifique au tribunal</v>
      </c>
      <c r="T114" s="31" t="str">
        <f>IF(Projects[[#This Row],[To publish]]="","",Projects[[#This Row],[To publish]])</f>
        <v>Batch 5</v>
      </c>
    </row>
    <row r="115" spans="1:20" ht="195" x14ac:dyDescent="0.25">
      <c r="A115" s="19">
        <f>Projects[[#This Row],[NR]]</f>
        <v>150</v>
      </c>
      <c r="B115" s="19" t="str">
        <f>IF(Projects[[#This Row],[Title]]="","",Projects[[#This Row],[Title]])</f>
        <v>Codefy</v>
      </c>
      <c r="C115" s="19" t="str">
        <f>IF(Projects[[#This Row],[AI Relevance]]="","",Projects[[#This Row],[AI Relevance]])</f>
        <v xml:space="preserve">AI </v>
      </c>
      <c r="D115" s="19" t="str">
        <f>_xlfn.XLOOKUP(Projects[[#This Row],[Area1]],Table1[Area],Table1[FRArea],"Check",FALSE)</f>
        <v>4 - Aide à la décision</v>
      </c>
      <c r="E115" s="19" t="str">
        <f>IF(Projects[[#This Row],[Area2]]="","",_xlfn.XLOOKUP(Projects[[#This Row],[Area2]],Table1[Area],Table1[FRArea],"Check",FALSE))</f>
        <v>6 - Triage, attribution et automatisation des flux de travail</v>
      </c>
      <c r="F115" s="19">
        <f>IF(Projects[[#This Row],[Year]]="","",Projects[[#This Row],[Year]])</f>
        <v>2024</v>
      </c>
      <c r="G115" s="19" t="str">
        <f>_xlfn.XLOOKUP(Projects[[#This Row],[Country]],Table2[Country],Table2[Pays],"Check",FALSE)</f>
        <v>Allemagne</v>
      </c>
      <c r="H115" s="19" t="str">
        <f>IF(Projects[[#This Row],[Description]]="","",Projects[[#This Row],[Description]])</f>
        <v xml:space="preserve">Better preparation of mass
/procedures; intuitive, low-threshold approach.
Project phases: 
File structuring. Development of a
assistant for analysing the content of files (currently
inspection assistant "Bau"); prospective development of an inspection assistant "light"; later possibly connection to the E-file
Client: State of Hesse, HMdJ / IT centre of the Hessian justice system
</v>
      </c>
      <c r="I115" s="29" t="str">
        <f>IF(Projects[[#This Row],[DescriptionFR]]="","",Projects[[#This Row],[DescriptionFR]])</f>
        <v xml:space="preserve">Meilleure préparation de la masse
/procédures; approche intuitive à bas seuil.
 Phases du projet : 
Structuration des dossiers. Développement d’un assistant pour l’analyse du contenu des fichiers (actuellement
assistant d’inspection « Bau»); développement prospectif d’un assistant d’inspection « léger»; éventuellement connexion ultérieure au fichier électronique
Client : État de Hesse, HMdJ / Centre informatique de la justice de Hesse
</v>
      </c>
      <c r="J115" s="30" t="str">
        <f>IF(Projects[[#This Row],[Link]]="","",Projects[[#This Row],[Link]])</f>
        <v/>
      </c>
      <c r="K115" s="30" t="str">
        <f>IF(Projects[[#This Row],[Link1]]="","",Projects[[#This Row],[Link1]])</f>
        <v/>
      </c>
      <c r="L115" s="19" t="str">
        <f>_xlfn.XLOOKUP(Projects[[#This Row],[Implemented by]],Table3[Implemented by],Table3[ImplementedFR],"",FALSE)</f>
        <v xml:space="preserve">Publique </v>
      </c>
      <c r="M115" s="19" t="str">
        <f>_xlfn.XLOOKUP(Projects[[#This Row],[Target audience]],Table4[Target audience],Table4[Target audienceFR],"",FALSE)</f>
        <v>Juges/greffiers</v>
      </c>
      <c r="N115" s="19" t="str">
        <f>IF(Projects[[#This Row],[Target audience2]]="","",_xlfn.XLOOKUP(Projects[[#This Row],[Target audience2]],Table4[Target audience],Table4[Target audienceFR],"Check",FALSE))</f>
        <v>Gestion</v>
      </c>
      <c r="O115" s="19" t="str">
        <f>IF(Projects[[#This Row],[Target audience3]]="","",_xlfn.XLOOKUP(Projects[[#This Row],[Target audience3]],Table4[Target audience],Table4[Target audienceFR],"Check",FALSE))</f>
        <v/>
      </c>
      <c r="P115" s="19" t="str">
        <f>IF(Projects[[#This Row],[Target audience4]]="","",_xlfn.XLOOKUP(Projects[[#This Row],[Target audience4]],Table4[Target audience],Table4[Target audienceFR],"Check",FALSE))</f>
        <v/>
      </c>
      <c r="Q115" s="19" t="str">
        <f>IF(Projects[[#This Row],[Target audience5]]="","",_xlfn.XLOOKUP(Projects[[#This Row],[Target audience5]],Table4[Target audience],Table4[Target audienceFR],"Check",FALSE))</f>
        <v/>
      </c>
      <c r="R115" s="19" t="str">
        <f>_xlfn.XLOOKUP(Projects[[#This Row],[Status]],Table8[Status],Table8[StatusFR],"",FALSE)</f>
        <v>Version pilote/bêta</v>
      </c>
      <c r="S115" s="19" t="str">
        <f>_xlfn.XLOOKUP(Projects[[#This Row],[Coverage]],Table7[Coverage],Table7[CoverageFR],"",FALSE)</f>
        <v>Spécifique au tribunal</v>
      </c>
      <c r="T115" s="31" t="str">
        <f>IF(Projects[[#This Row],[To publish]]="","",Projects[[#This Row],[To publish]])</f>
        <v>Batch 5</v>
      </c>
    </row>
    <row r="116" spans="1:20" ht="105" x14ac:dyDescent="0.25">
      <c r="A116" s="19">
        <f>Projects[[#This Row],[NR]]</f>
        <v>151</v>
      </c>
      <c r="B116" s="19" t="str">
        <f>IF(Projects[[#This Row],[Title]]="","",Projects[[#This Row],[Title]])</f>
        <v>Use of AI technologies for metadata extraction in the justice system / Einsatz von KI-Technologien zur Metadatenextraktion in der Justiz</v>
      </c>
      <c r="C116" s="19" t="str">
        <f>IF(Projects[[#This Row],[AI Relevance]]="","",Projects[[#This Row],[AI Relevance]])</f>
        <v>AI</v>
      </c>
      <c r="D116" s="19" t="str">
        <f>_xlfn.XLOOKUP(Projects[[#This Row],[Area1]],Table1[Area],Table1[FRArea],"Check",FALSE)</f>
        <v>4 - Aide à la décision</v>
      </c>
      <c r="E116" s="19" t="str">
        <f>IF(Projects[[#This Row],[Area2]]="","",_xlfn.XLOOKUP(Projects[[#This Row],[Area2]],Table1[Area],Table1[FRArea],"Check",FALSE))</f>
        <v>6 - Triage, attribution et automatisation des flux de travail</v>
      </c>
      <c r="F116" s="19">
        <f>IF(Projects[[#This Row],[Year]]="","",Projects[[#This Row],[Year]])</f>
        <v>2024</v>
      </c>
      <c r="G116" s="19" t="str">
        <f>_xlfn.XLOOKUP(Projects[[#This Row],[Country]],Table2[Country],Table2[Pays],"Check",FALSE)</f>
        <v>Allemagne</v>
      </c>
      <c r="H116" s="19" t="str">
        <f>IF(Projects[[#This Row],[Description]]="","",Projects[[#This Row],[Description]])</f>
        <v xml:space="preserve">Transfer of procedurally relevant metadata in mass proceedings, reduction of manual activities in the processing of incoming external documents
Client: Authority for Justice and Consumer Protection (BJV), Hamburg
</v>
      </c>
      <c r="I116" s="29" t="str">
        <f>IF(Projects[[#This Row],[DescriptionFR]]="","",Projects[[#This Row],[DescriptionFR]])</f>
        <v xml:space="preserve">Transfert de métadonnées pertinentes sur le plan procédural dans les procédures de masse, réduction des activités manuelles dans le traitement des documents externes entrants
Client : Autorité pour la justice et la protection des consommateurs (BJV), Hambourg
</v>
      </c>
      <c r="J116" s="30" t="str">
        <f>IF(Projects[[#This Row],[Link]]="","",Projects[[#This Row],[Link]])</f>
        <v/>
      </c>
      <c r="K116" s="30" t="str">
        <f>IF(Projects[[#This Row],[Link1]]="","",Projects[[#This Row],[Link1]])</f>
        <v/>
      </c>
      <c r="L116" s="19" t="str">
        <f>_xlfn.XLOOKUP(Projects[[#This Row],[Implemented by]],Table3[Implemented by],Table3[ImplementedFR],"",FALSE)</f>
        <v xml:space="preserve">Publique </v>
      </c>
      <c r="M116" s="19" t="str">
        <f>_xlfn.XLOOKUP(Projects[[#This Row],[Target audience]],Table4[Target audience],Table4[Target audienceFR],"",FALSE)</f>
        <v>Juges/greffiers</v>
      </c>
      <c r="N116" s="19" t="str">
        <f>IF(Projects[[#This Row],[Target audience2]]="","",_xlfn.XLOOKUP(Projects[[#This Row],[Target audience2]],Table4[Target audience],Table4[Target audienceFR],"Check",FALSE))</f>
        <v>Gestion</v>
      </c>
      <c r="O116" s="19" t="str">
        <f>IF(Projects[[#This Row],[Target audience3]]="","",_xlfn.XLOOKUP(Projects[[#This Row],[Target audience3]],Table4[Target audience],Table4[Target audienceFR],"Check",FALSE))</f>
        <v/>
      </c>
      <c r="P116" s="19" t="str">
        <f>IF(Projects[[#This Row],[Target audience4]]="","",_xlfn.XLOOKUP(Projects[[#This Row],[Target audience4]],Table4[Target audience],Table4[Target audienceFR],"Check",FALSE))</f>
        <v/>
      </c>
      <c r="Q116" s="19" t="str">
        <f>IF(Projects[[#This Row],[Target audience5]]="","",_xlfn.XLOOKUP(Projects[[#This Row],[Target audience5]],Table4[Target audience],Table4[Target audienceFR],"Check",FALSE))</f>
        <v/>
      </c>
      <c r="R116" s="19" t="str">
        <f>_xlfn.XLOOKUP(Projects[[#This Row],[Status]],Table8[Status],Table8[StatusFR],"",FALSE)</f>
        <v>Concept/prévu</v>
      </c>
      <c r="S116" s="19" t="str">
        <f>_xlfn.XLOOKUP(Projects[[#This Row],[Coverage]],Table7[Coverage],Table7[CoverageFR],"",FALSE)</f>
        <v>Spécifique au tribunal</v>
      </c>
      <c r="T116" s="31" t="str">
        <f>IF(Projects[[#This Row],[To publish]]="","",Projects[[#This Row],[To publish]])</f>
        <v>Batch 5</v>
      </c>
    </row>
    <row r="117" spans="1:20" ht="105" x14ac:dyDescent="0.25">
      <c r="A117" s="19">
        <f>Projects[[#This Row],[NR]]</f>
        <v>152</v>
      </c>
      <c r="B117" s="19" t="str">
        <f>IF(Projects[[#This Row],[Title]]="","",Projects[[#This Row],[Title]])</f>
        <v>Chatbot for the legal application service / Chatbot für den Rechtsantragsdienst</v>
      </c>
      <c r="C117" s="19" t="str">
        <f>IF(Projects[[#This Row],[AI Relevance]]="","",Projects[[#This Row],[AI Relevance]])</f>
        <v xml:space="preserve">AI </v>
      </c>
      <c r="D117" s="19" t="str">
        <f>_xlfn.XLOOKUP(Projects[[#This Row],[Area1]],Table1[Area],Table1[FRArea],"Check",FALSE)</f>
        <v>8 - Services d'information/assistance</v>
      </c>
      <c r="E117" s="19" t="str">
        <f>IF(Projects[[#This Row],[Area2]]="","",_xlfn.XLOOKUP(Projects[[#This Row],[Area2]],Table1[Area],Table1[FRArea],"Check",FALSE))</f>
        <v/>
      </c>
      <c r="F117" s="19">
        <f>IF(Projects[[#This Row],[Year]]="","",Projects[[#This Row],[Year]])</f>
        <v>2024</v>
      </c>
      <c r="G117" s="19" t="str">
        <f>_xlfn.XLOOKUP(Projects[[#This Row],[Country]],Table2[Country],Table2[Pays],"Check",FALSE)</f>
        <v>Allemagne</v>
      </c>
      <c r="H117" s="19" t="str">
        <f>IF(Projects[[#This Row],[Description]]="","",Projects[[#This Row],[Description]])</f>
        <v xml:space="preserve">Development and testing of a chatbot for defined use cases in the legal application service
Client: BMJV / Joint IT of the Hanseatic Higher Regional Court and the Hamburg district courts
</v>
      </c>
      <c r="I117" s="29" t="str">
        <f>IF(Projects[[#This Row],[DescriptionFR]]="","",Projects[[#This Row],[DescriptionFR]])</f>
        <v xml:space="preserve">Développement et test d’un chatbot pour des cas d’utilisation définis dans le service d’enregistrement juridique
Client : BMJV / Joint IT du Tribunal régional supérieur hanséatique et des tribunaux de proximité de Hambourg
</v>
      </c>
      <c r="J117" s="30" t="str">
        <f>IF(Projects[[#This Row],[Link]]="","",Projects[[#This Row],[Link]])</f>
        <v/>
      </c>
      <c r="K117" s="30" t="str">
        <f>IF(Projects[[#This Row],[Link1]]="","",Projects[[#This Row],[Link1]])</f>
        <v/>
      </c>
      <c r="L117" s="19" t="str">
        <f>_xlfn.XLOOKUP(Projects[[#This Row],[Implemented by]],Table3[Implemented by],Table3[ImplementedFR],"",FALSE)</f>
        <v xml:space="preserve">Publique </v>
      </c>
      <c r="M117" s="19" t="str">
        <f>_xlfn.XLOOKUP(Projects[[#This Row],[Target audience]],Table4[Target audience],Table4[Target audienceFR],"",FALSE)</f>
        <v>Usagers des tribunaux (Grand public)</v>
      </c>
      <c r="N117" s="19" t="str">
        <f>IF(Projects[[#This Row],[Target audience2]]="","",_xlfn.XLOOKUP(Projects[[#This Row],[Target audience2]],Table4[Target audience],Table4[Target audienceFR],"Check",FALSE))</f>
        <v/>
      </c>
      <c r="O117" s="19" t="str">
        <f>IF(Projects[[#This Row],[Target audience3]]="","",_xlfn.XLOOKUP(Projects[[#This Row],[Target audience3]],Table4[Target audience],Table4[Target audienceFR],"Check",FALSE))</f>
        <v/>
      </c>
      <c r="P117" s="19" t="str">
        <f>IF(Projects[[#This Row],[Target audience4]]="","",_xlfn.XLOOKUP(Projects[[#This Row],[Target audience4]],Table4[Target audience],Table4[Target audienceFR],"Check",FALSE))</f>
        <v/>
      </c>
      <c r="Q117" s="19" t="str">
        <f>IF(Projects[[#This Row],[Target audience5]]="","",_xlfn.XLOOKUP(Projects[[#This Row],[Target audience5]],Table4[Target audience],Table4[Target audienceFR],"Check",FALSE))</f>
        <v/>
      </c>
      <c r="R117" s="19" t="str">
        <f>_xlfn.XLOOKUP(Projects[[#This Row],[Status]],Table8[Status],Table8[StatusFR],"",FALSE)</f>
        <v>Concept/prévu</v>
      </c>
      <c r="S117" s="19" t="str">
        <f>_xlfn.XLOOKUP(Projects[[#This Row],[Coverage]],Table7[Coverage],Table7[CoverageFR],"",FALSE)</f>
        <v>Spécifique au tribunal</v>
      </c>
      <c r="T117" s="31" t="str">
        <f>IF(Projects[[#This Row],[To publish]]="","",Projects[[#This Row],[To publish]])</f>
        <v>Batch 5</v>
      </c>
    </row>
    <row r="118" spans="1:20" ht="75" x14ac:dyDescent="0.25">
      <c r="A118" s="19">
        <f>Projects[[#This Row],[NR]]</f>
        <v>153</v>
      </c>
      <c r="B118" s="19" t="str">
        <f>IF(Projects[[#This Row],[Title]]="","",Projects[[#This Row],[Title]])</f>
        <v>Anonymization of judgments / Einsatz von KI-Technologien zur anonymisierung von Urteilen</v>
      </c>
      <c r="C118" s="19" t="str">
        <f>IF(Projects[[#This Row],[AI Relevance]]="","",Projects[[#This Row],[AI Relevance]])</f>
        <v xml:space="preserve">AI </v>
      </c>
      <c r="D118" s="19" t="str">
        <f>_xlfn.XLOOKUP(Projects[[#This Row],[Area1]],Table1[Area],Table1[FRArea],"Check",FALSE)</f>
        <v>5 - Anonymisation et pseudonymisation</v>
      </c>
      <c r="E118" s="19" t="str">
        <f>IF(Projects[[#This Row],[Area2]]="","",_xlfn.XLOOKUP(Projects[[#This Row],[Area2]],Table1[Area],Table1[FRArea],"Check",FALSE))</f>
        <v/>
      </c>
      <c r="F118" s="19">
        <f>IF(Projects[[#This Row],[Year]]="","",Projects[[#This Row],[Year]])</f>
        <v>2024</v>
      </c>
      <c r="G118" s="19" t="str">
        <f>_xlfn.XLOOKUP(Projects[[#This Row],[Country]],Table2[Country],Table2[Pays],"Check",FALSE)</f>
        <v>Allemagne</v>
      </c>
      <c r="H118" s="19" t="str">
        <f>IF(Projects[[#This Row],[Description]]="","",Projects[[#This Row],[Description]])</f>
        <v xml:space="preserve">Use of AI technologies to anonymize judgments
Client: Department of Justice and Consumer Protection, Hamburg
</v>
      </c>
      <c r="I118" s="29" t="str">
        <f>IF(Projects[[#This Row],[DescriptionFR]]="","",Projects[[#This Row],[DescriptionFR]])</f>
        <v xml:space="preserve">Utilisation de technologies d’IA pour anonymiser les jugements
Client:  Autorité de justice et de protection des consommateurs, Hambourg
</v>
      </c>
      <c r="J118" s="30" t="str">
        <f>IF(Projects[[#This Row],[Link]]="","",Projects[[#This Row],[Link]])</f>
        <v/>
      </c>
      <c r="K118" s="30" t="str">
        <f>IF(Projects[[#This Row],[Link1]]="","",Projects[[#This Row],[Link1]])</f>
        <v/>
      </c>
      <c r="L118" s="19" t="str">
        <f>_xlfn.XLOOKUP(Projects[[#This Row],[Implemented by]],Table3[Implemented by],Table3[ImplementedFR],"",FALSE)</f>
        <v xml:space="preserve">Publique </v>
      </c>
      <c r="M118" s="19" t="str">
        <f>_xlfn.XLOOKUP(Projects[[#This Row],[Target audience]],Table4[Target audience],Table4[Target audienceFR],"",FALSE)</f>
        <v>Juges/greffiers</v>
      </c>
      <c r="N118" s="19" t="str">
        <f>IF(Projects[[#This Row],[Target audience2]]="","",_xlfn.XLOOKUP(Projects[[#This Row],[Target audience2]],Table4[Target audience],Table4[Target audienceFR],"Check",FALSE))</f>
        <v>Gestion</v>
      </c>
      <c r="O118" s="19" t="str">
        <f>IF(Projects[[#This Row],[Target audience3]]="","",_xlfn.XLOOKUP(Projects[[#This Row],[Target audience3]],Table4[Target audience],Table4[Target audienceFR],"Check",FALSE))</f>
        <v/>
      </c>
      <c r="P118" s="19" t="str">
        <f>IF(Projects[[#This Row],[Target audience4]]="","",_xlfn.XLOOKUP(Projects[[#This Row],[Target audience4]],Table4[Target audience],Table4[Target audienceFR],"Check",FALSE))</f>
        <v/>
      </c>
      <c r="Q118" s="19" t="str">
        <f>IF(Projects[[#This Row],[Target audience5]]="","",_xlfn.XLOOKUP(Projects[[#This Row],[Target audience5]],Table4[Target audience],Table4[Target audienceFR],"Check",FALSE))</f>
        <v/>
      </c>
      <c r="R118" s="19" t="str">
        <f>_xlfn.XLOOKUP(Projects[[#This Row],[Status]],Table8[Status],Table8[StatusFR],"",FALSE)</f>
        <v>Concept/prévu</v>
      </c>
      <c r="S118" s="19" t="str">
        <f>_xlfn.XLOOKUP(Projects[[#This Row],[Coverage]],Table7[Coverage],Table7[CoverageFR],"",FALSE)</f>
        <v>Spécifique au tribunal</v>
      </c>
      <c r="T118" s="31" t="str">
        <f>IF(Projects[[#This Row],[To publish]]="","",Projects[[#This Row],[To publish]])</f>
        <v>Batch 5</v>
      </c>
    </row>
    <row r="119" spans="1:20" ht="120" x14ac:dyDescent="0.25">
      <c r="A119" s="19">
        <f>Projects[[#This Row],[NR]]</f>
        <v>154</v>
      </c>
      <c r="B119" s="19" t="str">
        <f>IF(Projects[[#This Row],[Title]]="","",Projects[[#This Row],[Title]])</f>
        <v>Assistant judge for Social Courts / Richterassistenz and Sonzialgerichten</v>
      </c>
      <c r="C119" s="19" t="str">
        <f>IF(Projects[[#This Row],[AI Relevance]]="","",Projects[[#This Row],[AI Relevance]])</f>
        <v xml:space="preserve">AI </v>
      </c>
      <c r="D119" s="19" t="str">
        <f>_xlfn.XLOOKUP(Projects[[#This Row],[Area1]],Table1[Area],Table1[FRArea],"Check",FALSE)</f>
        <v>4 - Aide à la décision</v>
      </c>
      <c r="E119" s="19" t="str">
        <f>IF(Projects[[#This Row],[Area2]]="","",_xlfn.XLOOKUP(Projects[[#This Row],[Area2]],Table1[Area],Table1[FRArea],"Check",FALSE))</f>
        <v>6 - Triage, attribution et automatisation des flux de travail</v>
      </c>
      <c r="F119" s="19">
        <f>IF(Projects[[#This Row],[Year]]="","",Projects[[#This Row],[Year]])</f>
        <v>2024</v>
      </c>
      <c r="G119" s="19" t="str">
        <f>_xlfn.XLOOKUP(Projects[[#This Row],[Country]],Table2[Country],Table2[Pays],"Check",FALSE)</f>
        <v>Allemagne</v>
      </c>
      <c r="H119" s="19" t="str">
        <f>IF(Projects[[#This Row],[Description]]="","",Projects[[#This Row],[Description]])</f>
        <v xml:space="preserve">Use of AI technologies for more efficient handling of mass proceedings at the social court (especially facilitating document organization, but also case review and draft verdicts)
Client: Department of Justice and Consumer Protection
</v>
      </c>
      <c r="I119" s="29" t="str">
        <f>IF(Projects[[#This Row],[DescriptionFR]]="","",Projects[[#This Row],[DescriptionFR]])</f>
        <v xml:space="preserve">Utilisation des technologies de l’IA pour une gestion plus efficace des procédures de masse au tribunal social (notamment pour faciliter l’organisation des documents, mais aussi pour l’examen des cas et les projets de jugement)
Client :  Autorité de justice et de protection des consommateurs
</v>
      </c>
      <c r="J119" s="30" t="str">
        <f>IF(Projects[[#This Row],[Link]]="","",Projects[[#This Row],[Link]])</f>
        <v/>
      </c>
      <c r="K119" s="30" t="str">
        <f>IF(Projects[[#This Row],[Link1]]="","",Projects[[#This Row],[Link1]])</f>
        <v/>
      </c>
      <c r="L119" s="19" t="str">
        <f>_xlfn.XLOOKUP(Projects[[#This Row],[Implemented by]],Table3[Implemented by],Table3[ImplementedFR],"",FALSE)</f>
        <v xml:space="preserve">Publique </v>
      </c>
      <c r="M119" s="19" t="str">
        <f>_xlfn.XLOOKUP(Projects[[#This Row],[Target audience]],Table4[Target audience],Table4[Target audienceFR],"",FALSE)</f>
        <v>Juges/greffiers</v>
      </c>
      <c r="N119" s="19" t="str">
        <f>IF(Projects[[#This Row],[Target audience2]]="","",_xlfn.XLOOKUP(Projects[[#This Row],[Target audience2]],Table4[Target audience],Table4[Target audienceFR],"Check",FALSE))</f>
        <v/>
      </c>
      <c r="O119" s="19" t="str">
        <f>IF(Projects[[#This Row],[Target audience3]]="","",_xlfn.XLOOKUP(Projects[[#This Row],[Target audience3]],Table4[Target audience],Table4[Target audienceFR],"Check",FALSE))</f>
        <v/>
      </c>
      <c r="P119" s="19" t="str">
        <f>IF(Projects[[#This Row],[Target audience4]]="","",_xlfn.XLOOKUP(Projects[[#This Row],[Target audience4]],Table4[Target audience],Table4[Target audienceFR],"Check",FALSE))</f>
        <v/>
      </c>
      <c r="Q119" s="19" t="str">
        <f>IF(Projects[[#This Row],[Target audience5]]="","",_xlfn.XLOOKUP(Projects[[#This Row],[Target audience5]],Table4[Target audience],Table4[Target audienceFR],"Check",FALSE))</f>
        <v/>
      </c>
      <c r="R119" s="19" t="str">
        <f>_xlfn.XLOOKUP(Projects[[#This Row],[Status]],Table8[Status],Table8[StatusFR],"",FALSE)</f>
        <v>Version pilote/bêta</v>
      </c>
      <c r="S119" s="19" t="str">
        <f>_xlfn.XLOOKUP(Projects[[#This Row],[Coverage]],Table7[Coverage],Table7[CoverageFR],"",FALSE)</f>
        <v>Spécifique au tribunal</v>
      </c>
      <c r="T119" s="31" t="str">
        <f>IF(Projects[[#This Row],[To publish]]="","",Projects[[#This Row],[To publish]])</f>
        <v>Batch 5</v>
      </c>
    </row>
    <row r="120" spans="1:20" ht="90" x14ac:dyDescent="0.25">
      <c r="A120" s="19">
        <f>Projects[[#This Row],[NR]]</f>
        <v>155</v>
      </c>
      <c r="B120" s="19" t="str">
        <f>IF(Projects[[#This Row],[Title]]="","",Projects[[#This Row],[Title]])</f>
        <v>ASTRA (analysis and structuring of extensive files) / Analyse und Strukturierung umfangreicher Akten</v>
      </c>
      <c r="C120" s="19" t="str">
        <f>IF(Projects[[#This Row],[AI Relevance]]="","",Projects[[#This Row],[AI Relevance]])</f>
        <v xml:space="preserve">AI </v>
      </c>
      <c r="D120" s="19" t="str">
        <f>_xlfn.XLOOKUP(Projects[[#This Row],[Area1]],Table1[Area],Table1[FRArea],"Check",FALSE)</f>
        <v>1 - Recherche documentaire</v>
      </c>
      <c r="E120" s="19" t="str">
        <f>IF(Projects[[#This Row],[Area2]]="","",_xlfn.XLOOKUP(Projects[[#This Row],[Area2]],Table1[Area],Table1[FRArea],"Check",FALSE))</f>
        <v/>
      </c>
      <c r="F120" s="19">
        <f>IF(Projects[[#This Row],[Year]]="","",Projects[[#This Row],[Year]])</f>
        <v>2024</v>
      </c>
      <c r="G120" s="19" t="str">
        <f>_xlfn.XLOOKUP(Projects[[#This Row],[Country]],Table2[Country],Table2[Pays],"Check",FALSE)</f>
        <v>Allemagne</v>
      </c>
      <c r="H120" s="19" t="str">
        <f>IF(Projects[[#This Row],[Description]]="","",Projects[[#This Row],[Description]])</f>
        <v xml:space="preserve">Assisting judges in penetrating large-scale civil files with manual and semi-automatic structuring tools
Client: Ministry of Justice and Migration BW
</v>
      </c>
      <c r="I120" s="29" t="str">
        <f>IF(Projects[[#This Row],[DescriptionFR]]="","",Projects[[#This Row],[DescriptionFR]])</f>
        <v xml:space="preserve">Aider les juges à gérer des dossiers civils volumineux à l’aide d’outils de structuration manuels et semi-automatiques
Client :  Ministère de la Justice et de la Migration BW
</v>
      </c>
      <c r="J120" s="30" t="str">
        <f>IF(Projects[[#This Row],[Link]]="","",Projects[[#This Row],[Link]])</f>
        <v/>
      </c>
      <c r="K120" s="30" t="str">
        <f>IF(Projects[[#This Row],[Link1]]="","",Projects[[#This Row],[Link1]])</f>
        <v/>
      </c>
      <c r="L120" s="19" t="str">
        <f>_xlfn.XLOOKUP(Projects[[#This Row],[Implemented by]],Table3[Implemented by],Table3[ImplementedFR],"",FALSE)</f>
        <v xml:space="preserve">Publique </v>
      </c>
      <c r="M120" s="19" t="str">
        <f>_xlfn.XLOOKUP(Projects[[#This Row],[Target audience]],Table4[Target audience],Table4[Target audienceFR],"",FALSE)</f>
        <v>Juges/greffiers</v>
      </c>
      <c r="N120" s="19" t="str">
        <f>IF(Projects[[#This Row],[Target audience2]]="","",_xlfn.XLOOKUP(Projects[[#This Row],[Target audience2]],Table4[Target audience],Table4[Target audienceFR],"Check",FALSE))</f>
        <v/>
      </c>
      <c r="O120" s="19" t="str">
        <f>IF(Projects[[#This Row],[Target audience3]]="","",_xlfn.XLOOKUP(Projects[[#This Row],[Target audience3]],Table4[Target audience],Table4[Target audienceFR],"Check",FALSE))</f>
        <v/>
      </c>
      <c r="P120" s="19" t="str">
        <f>IF(Projects[[#This Row],[Target audience4]]="","",_xlfn.XLOOKUP(Projects[[#This Row],[Target audience4]],Table4[Target audience],Table4[Target audienceFR],"Check",FALSE))</f>
        <v/>
      </c>
      <c r="Q120" s="19" t="str">
        <f>IF(Projects[[#This Row],[Target audience5]]="","",_xlfn.XLOOKUP(Projects[[#This Row],[Target audience5]],Table4[Target audience],Table4[Target audienceFR],"Check",FALSE))</f>
        <v/>
      </c>
      <c r="R120" s="19" t="str">
        <f>_xlfn.XLOOKUP(Projects[[#This Row],[Status]],Table8[Status],Table8[StatusFR],"",FALSE)</f>
        <v>Version pilote/bêta</v>
      </c>
      <c r="S120" s="19" t="str">
        <f>_xlfn.XLOOKUP(Projects[[#This Row],[Coverage]],Table7[Coverage],Table7[CoverageFR],"",FALSE)</f>
        <v>Spécifique au tribunal</v>
      </c>
      <c r="T120" s="31" t="str">
        <f>IF(Projects[[#This Row],[To publish]]="","",Projects[[#This Row],[To publish]])</f>
        <v>Batch 5</v>
      </c>
    </row>
    <row r="121" spans="1:20" ht="90" x14ac:dyDescent="0.25">
      <c r="A121" s="19">
        <f>Projects[[#This Row],[NR]]</f>
        <v>156</v>
      </c>
      <c r="B121" s="19" t="str">
        <f>IF(Projects[[#This Row],[Title]]="","",Projects[[#This Row],[Title]])</f>
        <v>JANO (Judicial anonymisation) / Justiz-Anonymisierung</v>
      </c>
      <c r="C121" s="19" t="str">
        <f>IF(Projects[[#This Row],[AI Relevance]]="","",Projects[[#This Row],[AI Relevance]])</f>
        <v xml:space="preserve">AI </v>
      </c>
      <c r="D121" s="19" t="str">
        <f>_xlfn.XLOOKUP(Projects[[#This Row],[Area1]],Table1[Area],Table1[FRArea],"Check",FALSE)</f>
        <v>5 - Anonymisation et pseudonymisation</v>
      </c>
      <c r="E121" s="19" t="str">
        <f>IF(Projects[[#This Row],[Area2]]="","",_xlfn.XLOOKUP(Projects[[#This Row],[Area2]],Table1[Area],Table1[FRArea],"Check",FALSE))</f>
        <v/>
      </c>
      <c r="F121" s="19">
        <f>IF(Projects[[#This Row],[Year]]="","",Projects[[#This Row],[Year]])</f>
        <v>2024</v>
      </c>
      <c r="G121" s="19" t="str">
        <f>_xlfn.XLOOKUP(Projects[[#This Row],[Country]],Table2[Country],Table2[Pays],"Check",FALSE)</f>
        <v>Allemagne</v>
      </c>
      <c r="H121" s="19" t="str">
        <f>IF(Projects[[#This Row],[Description]]="","",Projects[[#This Row],[Description]])</f>
        <v xml:space="preserve">Support of judicial staff in the anonymisation of judgments and decisions by semi-automatic recognition and replacement of personal data
Client: Ministry of Justice and Migration BW
</v>
      </c>
      <c r="I121" s="29" t="str">
        <f>IF(Projects[[#This Row],[DescriptionFR]]="","",Projects[[#This Row],[DescriptionFR]])</f>
        <v xml:space="preserve">Aider les membres de la justice à anonymiser les jugements et les décisions par la reconnaissance semi-automatique et le remplacement des données à caractère personnel
Client :  Ministère de la Justice et de la Migration BW
</v>
      </c>
      <c r="J121" s="30" t="str">
        <f>IF(Projects[[#This Row],[Link]]="","",Projects[[#This Row],[Link]])</f>
        <v/>
      </c>
      <c r="K121" s="30" t="str">
        <f>IF(Projects[[#This Row],[Link1]]="","",Projects[[#This Row],[Link1]])</f>
        <v/>
      </c>
      <c r="L121" s="19" t="str">
        <f>_xlfn.XLOOKUP(Projects[[#This Row],[Implemented by]],Table3[Implemented by],Table3[ImplementedFR],"",FALSE)</f>
        <v xml:space="preserve">Publique </v>
      </c>
      <c r="M121" s="19" t="str">
        <f>_xlfn.XLOOKUP(Projects[[#This Row],[Target audience]],Table4[Target audience],Table4[Target audienceFR],"",FALSE)</f>
        <v>Juges/greffiers</v>
      </c>
      <c r="N121" s="19" t="str">
        <f>IF(Projects[[#This Row],[Target audience2]]="","",_xlfn.XLOOKUP(Projects[[#This Row],[Target audience2]],Table4[Target audience],Table4[Target audienceFR],"Check",FALSE))</f>
        <v/>
      </c>
      <c r="O121" s="19" t="str">
        <f>IF(Projects[[#This Row],[Target audience3]]="","",_xlfn.XLOOKUP(Projects[[#This Row],[Target audience3]],Table4[Target audience],Table4[Target audienceFR],"Check",FALSE))</f>
        <v/>
      </c>
      <c r="P121" s="19" t="str">
        <f>IF(Projects[[#This Row],[Target audience4]]="","",_xlfn.XLOOKUP(Projects[[#This Row],[Target audience4]],Table4[Target audience],Table4[Target audienceFR],"Check",FALSE))</f>
        <v/>
      </c>
      <c r="Q121" s="19" t="str">
        <f>IF(Projects[[#This Row],[Target audience5]]="","",_xlfn.XLOOKUP(Projects[[#This Row],[Target audience5]],Table4[Target audience],Table4[Target audienceFR],"Check",FALSE))</f>
        <v/>
      </c>
      <c r="R121" s="19" t="str">
        <f>_xlfn.XLOOKUP(Projects[[#This Row],[Status]],Table8[Status],Table8[StatusFR],"",FALSE)</f>
        <v>Concept/prévu</v>
      </c>
      <c r="S121" s="19" t="str">
        <f>_xlfn.XLOOKUP(Projects[[#This Row],[Coverage]],Table7[Coverage],Table7[CoverageFR],"",FALSE)</f>
        <v>Spécifique au tribunal</v>
      </c>
      <c r="T121" s="31" t="str">
        <f>IF(Projects[[#This Row],[To publish]]="","",Projects[[#This Row],[To publish]])</f>
        <v>Batch 5</v>
      </c>
    </row>
    <row r="122" spans="1:20" ht="75" x14ac:dyDescent="0.25">
      <c r="A122" s="19">
        <f>Projects[[#This Row],[NR]]</f>
        <v>157</v>
      </c>
      <c r="B122" s="19" t="str">
        <f>IF(Projects[[#This Row],[Title]]="","",Projects[[#This Row],[Title]])</f>
        <v>Machine Translation / Maschinelle Übersetzung</v>
      </c>
      <c r="C122" s="19" t="str">
        <f>IF(Projects[[#This Row],[AI Relevance]]="","",Projects[[#This Row],[AI Relevance]])</f>
        <v xml:space="preserve">AI </v>
      </c>
      <c r="D122" s="19" t="str">
        <f>_xlfn.XLOOKUP(Projects[[#This Row],[Area1]],Table1[Area],Table1[FRArea],"Check",FALSE)</f>
        <v>7 - Enregistrement, transcription et traduction</v>
      </c>
      <c r="E122" s="19" t="str">
        <f>IF(Projects[[#This Row],[Area2]]="","",_xlfn.XLOOKUP(Projects[[#This Row],[Area2]],Table1[Area],Table1[FRArea],"Check",FALSE))</f>
        <v/>
      </c>
      <c r="F122" s="19">
        <f>IF(Projects[[#This Row],[Year]]="","",Projects[[#This Row],[Year]])</f>
        <v>2024</v>
      </c>
      <c r="G122" s="19" t="str">
        <f>_xlfn.XLOOKUP(Projects[[#This Row],[Country]],Table2[Country],Table2[Pays],"Check",FALSE)</f>
        <v>Allemagne</v>
      </c>
      <c r="H122" s="19" t="str">
        <f>IF(Projects[[#This Row],[Description]]="","",Projects[[#This Row],[Description]])</f>
        <v xml:space="preserve">Legal translation tool that meets the high standards of data protection and information security
Client: Ministry of Justice and Migration BW
</v>
      </c>
      <c r="I122" s="29" t="str">
        <f>IF(Projects[[#This Row],[DescriptionFR]]="","",Projects[[#This Row],[DescriptionFR]])</f>
        <v xml:space="preserve">Outil de traduction pour les professionnels de la justice répondant aux exigences de confidentialité et de sécurité de l’information
Client : Ministère de la Justice et de la Migration BW
</v>
      </c>
      <c r="J122" s="30" t="str">
        <f>IF(Projects[[#This Row],[Link]]="","",Projects[[#This Row],[Link]])</f>
        <v/>
      </c>
      <c r="K122" s="30" t="str">
        <f>IF(Projects[[#This Row],[Link1]]="","",Projects[[#This Row],[Link1]])</f>
        <v/>
      </c>
      <c r="L122" s="19" t="str">
        <f>_xlfn.XLOOKUP(Projects[[#This Row],[Implemented by]],Table3[Implemented by],Table3[ImplementedFR],"",FALSE)</f>
        <v xml:space="preserve">Publique </v>
      </c>
      <c r="M122" s="19" t="str">
        <f>_xlfn.XLOOKUP(Projects[[#This Row],[Target audience]],Table4[Target audience],Table4[Target audienceFR],"",FALSE)</f>
        <v>Juges/greffiers</v>
      </c>
      <c r="N122" s="19" t="str">
        <f>IF(Projects[[#This Row],[Target audience2]]="","",_xlfn.XLOOKUP(Projects[[#This Row],[Target audience2]],Table4[Target audience],Table4[Target audienceFR],"Check",FALSE))</f>
        <v/>
      </c>
      <c r="O122" s="19" t="str">
        <f>IF(Projects[[#This Row],[Target audience3]]="","",_xlfn.XLOOKUP(Projects[[#This Row],[Target audience3]],Table4[Target audience],Table4[Target audienceFR],"Check",FALSE))</f>
        <v/>
      </c>
      <c r="P122" s="19" t="str">
        <f>IF(Projects[[#This Row],[Target audience4]]="","",_xlfn.XLOOKUP(Projects[[#This Row],[Target audience4]],Table4[Target audience],Table4[Target audienceFR],"Check",FALSE))</f>
        <v/>
      </c>
      <c r="Q122" s="19" t="str">
        <f>IF(Projects[[#This Row],[Target audience5]]="","",_xlfn.XLOOKUP(Projects[[#This Row],[Target audience5]],Table4[Target audience],Table4[Target audienceFR],"Check",FALSE))</f>
        <v/>
      </c>
      <c r="R122" s="19" t="str">
        <f>_xlfn.XLOOKUP(Projects[[#This Row],[Status]],Table8[Status],Table8[StatusFR],"",FALSE)</f>
        <v>Fonctionnel</v>
      </c>
      <c r="S122" s="19" t="str">
        <f>_xlfn.XLOOKUP(Projects[[#This Row],[Coverage]],Table7[Coverage],Table7[CoverageFR],"",FALSE)</f>
        <v>Spécifique au tribunal</v>
      </c>
      <c r="T122" s="31" t="str">
        <f>IF(Projects[[#This Row],[To publish]]="","",Projects[[#This Row],[To publish]])</f>
        <v>Batch 5</v>
      </c>
    </row>
    <row r="123" spans="1:20" ht="105" x14ac:dyDescent="0.25">
      <c r="A123" s="19">
        <f>Projects[[#This Row],[NR]]</f>
        <v>158</v>
      </c>
      <c r="B123" s="19" t="str">
        <f>IF(Projects[[#This Row],[Title]]="","",Projects[[#This Row],[Title]])</f>
        <v>Codefy - Apeal decisions with focus Construction and Insurance/ Berufungsakten mit Fokus auf Bau und Versicherungen</v>
      </c>
      <c r="C123" s="19" t="str">
        <f>IF(Projects[[#This Row],[AI Relevance]]="","",Projects[[#This Row],[AI Relevance]])</f>
        <v>AI</v>
      </c>
      <c r="D123" s="19" t="str">
        <f>_xlfn.XLOOKUP(Projects[[#This Row],[Area1]],Table1[Area],Table1[FRArea],"Check",FALSE)</f>
        <v>1 - Recherche documentaire</v>
      </c>
      <c r="E123" s="19" t="str">
        <f>IF(Projects[[#This Row],[Area2]]="","",_xlfn.XLOOKUP(Projects[[#This Row],[Area2]],Table1[Area],Table1[FRArea],"Check",FALSE))</f>
        <v>4 - Aide à la décision</v>
      </c>
      <c r="F123" s="19">
        <f>IF(Projects[[#This Row],[Year]]="","",Projects[[#This Row],[Year]])</f>
        <v>2024</v>
      </c>
      <c r="G123" s="19" t="str">
        <f>_xlfn.XLOOKUP(Projects[[#This Row],[Country]],Table2[Country],Table2[Pays],"Check",FALSE)</f>
        <v>Allemagne</v>
      </c>
      <c r="H123" s="19" t="str">
        <f>IF(Projects[[#This Row],[Description]]="","",Projects[[#This Row],[Description]])</f>
        <v xml:space="preserve">Support of judges in the penetration of extensive appeal files by means of comprehensive and semi-automatic structuring tools and a decision database
Client: Ministry of Justice, Mainz and Higher Regional Court Koblenz
</v>
      </c>
      <c r="I123" s="29" t="str">
        <f>IF(Projects[[#This Row],[DescriptionFR]]="","",Projects[[#This Row],[DescriptionFR]])</f>
        <v xml:space="preserve">Assistance aux juges pour la pénétration d’actes d’appel volumineux par des outils de structuration simples et semi-automatiques ainsi qu’une base de données de décisions
Client :  Ministère de la Justice, de Mayence et de l’Oberlandesgericht de Coblence
</v>
      </c>
      <c r="J123" s="30" t="str">
        <f>IF(Projects[[#This Row],[Link]]="","",Projects[[#This Row],[Link]])</f>
        <v/>
      </c>
      <c r="K123" s="30" t="str">
        <f>IF(Projects[[#This Row],[Link1]]="","",Projects[[#This Row],[Link1]])</f>
        <v/>
      </c>
      <c r="L123" s="19" t="str">
        <f>_xlfn.XLOOKUP(Projects[[#This Row],[Implemented by]],Table3[Implemented by],Table3[ImplementedFR],"",FALSE)</f>
        <v xml:space="preserve">Publique </v>
      </c>
      <c r="M123" s="19" t="str">
        <f>_xlfn.XLOOKUP(Projects[[#This Row],[Target audience]],Table4[Target audience],Table4[Target audienceFR],"",FALSE)</f>
        <v>Juges/greffiers</v>
      </c>
      <c r="N123" s="19" t="str">
        <f>IF(Projects[[#This Row],[Target audience2]]="","",_xlfn.XLOOKUP(Projects[[#This Row],[Target audience2]],Table4[Target audience],Table4[Target audienceFR],"Check",FALSE))</f>
        <v/>
      </c>
      <c r="O123" s="19" t="str">
        <f>IF(Projects[[#This Row],[Target audience3]]="","",_xlfn.XLOOKUP(Projects[[#This Row],[Target audience3]],Table4[Target audience],Table4[Target audienceFR],"Check",FALSE))</f>
        <v/>
      </c>
      <c r="P123" s="19" t="str">
        <f>IF(Projects[[#This Row],[Target audience4]]="","",_xlfn.XLOOKUP(Projects[[#This Row],[Target audience4]],Table4[Target audience],Table4[Target audienceFR],"Check",FALSE))</f>
        <v/>
      </c>
      <c r="Q123" s="19" t="str">
        <f>IF(Projects[[#This Row],[Target audience5]]="","",_xlfn.XLOOKUP(Projects[[#This Row],[Target audience5]],Table4[Target audience],Table4[Target audienceFR],"Check",FALSE))</f>
        <v/>
      </c>
      <c r="R123" s="19" t="str">
        <f>_xlfn.XLOOKUP(Projects[[#This Row],[Status]],Table8[Status],Table8[StatusFR],"",FALSE)</f>
        <v>Version pilote/bêta</v>
      </c>
      <c r="S123" s="19" t="str">
        <f>_xlfn.XLOOKUP(Projects[[#This Row],[Coverage]],Table7[Coverage],Table7[CoverageFR],"",FALSE)</f>
        <v>Spécifique au tribunal</v>
      </c>
      <c r="T123" s="31" t="str">
        <f>IF(Projects[[#This Row],[To publish]]="","",Projects[[#This Row],[To publish]])</f>
        <v>Batch 5</v>
      </c>
    </row>
    <row r="124" spans="1:20" ht="75" x14ac:dyDescent="0.25">
      <c r="A124" s="19">
        <f>Projects[[#This Row],[NR]]</f>
        <v>159</v>
      </c>
      <c r="B124" s="19" t="str">
        <f>IF(Projects[[#This Row],[Title]]="","",Projects[[#This Row],[Title]])</f>
        <v>E-Manual</v>
      </c>
      <c r="C124" s="19" t="str">
        <f>IF(Projects[[#This Row],[AI Relevance]]="","",Projects[[#This Row],[AI Relevance]])</f>
        <v xml:space="preserve">AI </v>
      </c>
      <c r="D124" s="19" t="str">
        <f>_xlfn.XLOOKUP(Projects[[#This Row],[Area1]],Table1[Area],Table1[FRArea],"Check",FALSE)</f>
        <v>8 - Services d'information/assistance</v>
      </c>
      <c r="E124" s="19" t="str">
        <f>IF(Projects[[#This Row],[Area2]]="","",_xlfn.XLOOKUP(Projects[[#This Row],[Area2]],Table1[Area],Table1[FRArea],"Check",FALSE))</f>
        <v>6 - Triage, attribution et automatisation des flux de travail</v>
      </c>
      <c r="F124" s="19">
        <f>IF(Projects[[#This Row],[Year]]="","",Projects[[#This Row],[Year]])</f>
        <v>2024</v>
      </c>
      <c r="G124" s="19" t="str">
        <f>_xlfn.XLOOKUP(Projects[[#This Row],[Country]],Table2[Country],Table2[Pays],"Check",FALSE)</f>
        <v>Allemagne</v>
      </c>
      <c r="H124" s="19" t="str">
        <f>IF(Projects[[#This Row],[Description]]="","",Projects[[#This Row],[Description]])</f>
        <v xml:space="preserve">Support for all eAkte users through a chat bot that generates answers to specific user questions (AI-based interactive user manual).
Client: Ministry of Justice, Mainz
</v>
      </c>
      <c r="I124" s="29" t="str">
        <f>IF(Projects[[#This Row],[DescriptionFR]]="","",Projects[[#This Row],[DescriptionFR]])</f>
        <v>Assistance de tous les utilisateurs d’eAkte grâce à un bot de chat qui génère des réponses à des questions spécifiques des utilisateurs (manuel d’utilisation interactif basé sur l’IA).
Client:  Ministère de la Justice, Mayence</v>
      </c>
      <c r="J124" s="30" t="str">
        <f>IF(Projects[[#This Row],[Link]]="","",Projects[[#This Row],[Link]])</f>
        <v/>
      </c>
      <c r="K124" s="30" t="str">
        <f>IF(Projects[[#This Row],[Link1]]="","",Projects[[#This Row],[Link1]])</f>
        <v/>
      </c>
      <c r="L124" s="19" t="str">
        <f>_xlfn.XLOOKUP(Projects[[#This Row],[Implemented by]],Table3[Implemented by],Table3[ImplementedFR],"",FALSE)</f>
        <v xml:space="preserve">Publique </v>
      </c>
      <c r="M124" s="19" t="str">
        <f>_xlfn.XLOOKUP(Projects[[#This Row],[Target audience]],Table4[Target audience],Table4[Target audienceFR],"",FALSE)</f>
        <v>Juges/greffiers</v>
      </c>
      <c r="N124" s="19" t="str">
        <f>IF(Projects[[#This Row],[Target audience2]]="","",_xlfn.XLOOKUP(Projects[[#This Row],[Target audience2]],Table4[Target audience],Table4[Target audienceFR],"Check",FALSE))</f>
        <v>Usagers des tribunaux (Grand public)</v>
      </c>
      <c r="O124" s="19" t="str">
        <f>IF(Projects[[#This Row],[Target audience3]]="","",_xlfn.XLOOKUP(Projects[[#This Row],[Target audience3]],Table4[Target audience],Table4[Target audienceFR],"Check",FALSE))</f>
        <v>Avocats</v>
      </c>
      <c r="P124" s="19" t="str">
        <f>IF(Projects[[#This Row],[Target audience4]]="","",_xlfn.XLOOKUP(Projects[[#This Row],[Target audience4]],Table4[Target audience],Table4[Target audienceFR],"Check",FALSE))</f>
        <v/>
      </c>
      <c r="Q124" s="19" t="str">
        <f>IF(Projects[[#This Row],[Target audience5]]="","",_xlfn.XLOOKUP(Projects[[#This Row],[Target audience5]],Table4[Target audience],Table4[Target audienceFR],"Check",FALSE))</f>
        <v/>
      </c>
      <c r="R124" s="19" t="str">
        <f>_xlfn.XLOOKUP(Projects[[#This Row],[Status]],Table8[Status],Table8[StatusFR],"",FALSE)</f>
        <v>Concept/prévu</v>
      </c>
      <c r="S124" s="19" t="str">
        <f>_xlfn.XLOOKUP(Projects[[#This Row],[Coverage]],Table7[Coverage],Table7[CoverageFR],"",FALSE)</f>
        <v>Spécifique au tribunal</v>
      </c>
      <c r="T124" s="31" t="str">
        <f>IF(Projects[[#This Row],[To publish]]="","",Projects[[#This Row],[To publish]])</f>
        <v>Batch 5</v>
      </c>
    </row>
    <row r="125" spans="1:20" ht="180" x14ac:dyDescent="0.25">
      <c r="A125" s="19">
        <f>Projects[[#This Row],[NR]]</f>
        <v>160</v>
      </c>
      <c r="B125" s="19" t="str">
        <f>IF(Projects[[#This Row],[Title]]="","",Projects[[#This Row],[Title]])</f>
        <v>AI decision maker assistant with a focus on civil law /KI-Entscheider/innen-Assitenz mit Fokus auf den Zivilbereich</v>
      </c>
      <c r="C125" s="19" t="str">
        <f>IF(Projects[[#This Row],[AI Relevance]]="","",Projects[[#This Row],[AI Relevance]])</f>
        <v>AI</v>
      </c>
      <c r="D125" s="19" t="str">
        <f>_xlfn.XLOOKUP(Projects[[#This Row],[Area1]],Table1[Area],Table1[FRArea],"Check",FALSE)</f>
        <v>4 - Aide à la décision</v>
      </c>
      <c r="E125" s="19" t="str">
        <f>IF(Projects[[#This Row],[Area2]]="","",_xlfn.XLOOKUP(Projects[[#This Row],[Area2]],Table1[Area],Table1[FRArea],"Check",FALSE))</f>
        <v/>
      </c>
      <c r="F125" s="19">
        <f>IF(Projects[[#This Row],[Year]]="","",Projects[[#This Row],[Year]])</f>
        <v>2024</v>
      </c>
      <c r="G125" s="19" t="str">
        <f>_xlfn.XLOOKUP(Projects[[#This Row],[Country]],Table2[Country],Table2[Pays],"Check",FALSE)</f>
        <v>Allemagne</v>
      </c>
      <c r="H125" s="19" t="str">
        <f>IF(Projects[[#This Row],[Description]]="","",Projects[[#This Row],[Description]])</f>
        <v xml:space="preserve">Support of the judicial department by an electronic assistant for decision-makers, who can be asked about the eAkte and should summarize file contents. The project focuses on civil matters.
Objectives include the automated design of a relational table or similar (separation of disputed and undisputed facts) and a search assistant.
Client: Ministry of Justice, Mainz
</v>
      </c>
      <c r="I125" s="29" t="str">
        <f>IF(Projects[[#This Row],[DescriptionFR]]="","",Projects[[#This Row],[DescriptionFR]])</f>
        <v xml:space="preserve">Objectif du projet:
Soutien du secteur judiciaire par un assistant électronique pour les décideurs/élues, qui peut être interrogé sur le dossier électronique et doit résumer le contenu du dossier. Le projet se concentre sur le domaine des affaires civiles.
Les objectifs sont, entre autres, la conception automatisée d’un tableau de relations ou similaire (séparation des faits litigieux et incontestés) ainsi qu’un test de recherche.
Client :  Ministère de la Justice, Mayence
</v>
      </c>
      <c r="J125" s="30" t="str">
        <f>IF(Projects[[#This Row],[Link]]="","",Projects[[#This Row],[Link]])</f>
        <v/>
      </c>
      <c r="K125" s="30" t="str">
        <f>IF(Projects[[#This Row],[Link1]]="","",Projects[[#This Row],[Link1]])</f>
        <v/>
      </c>
      <c r="L125" s="19" t="str">
        <f>_xlfn.XLOOKUP(Projects[[#This Row],[Implemented by]],Table3[Implemented by],Table3[ImplementedFR],"",FALSE)</f>
        <v xml:space="preserve">Publique </v>
      </c>
      <c r="M125" s="19" t="str">
        <f>_xlfn.XLOOKUP(Projects[[#This Row],[Target audience]],Table4[Target audience],Table4[Target audienceFR],"",FALSE)</f>
        <v>Juges/greffiers</v>
      </c>
      <c r="N125" s="19" t="str">
        <f>IF(Projects[[#This Row],[Target audience2]]="","",_xlfn.XLOOKUP(Projects[[#This Row],[Target audience2]],Table4[Target audience],Table4[Target audienceFR],"Check",FALSE))</f>
        <v/>
      </c>
      <c r="O125" s="19" t="str">
        <f>IF(Projects[[#This Row],[Target audience3]]="","",_xlfn.XLOOKUP(Projects[[#This Row],[Target audience3]],Table4[Target audience],Table4[Target audienceFR],"Check",FALSE))</f>
        <v/>
      </c>
      <c r="P125" s="19" t="str">
        <f>IF(Projects[[#This Row],[Target audience4]]="","",_xlfn.XLOOKUP(Projects[[#This Row],[Target audience4]],Table4[Target audience],Table4[Target audienceFR],"Check",FALSE))</f>
        <v/>
      </c>
      <c r="Q125" s="19" t="str">
        <f>IF(Projects[[#This Row],[Target audience5]]="","",_xlfn.XLOOKUP(Projects[[#This Row],[Target audience5]],Table4[Target audience],Table4[Target audienceFR],"Check",FALSE))</f>
        <v/>
      </c>
      <c r="R125" s="19" t="str">
        <f>_xlfn.XLOOKUP(Projects[[#This Row],[Status]],Table8[Status],Table8[StatusFR],"",FALSE)</f>
        <v>Concept/prévu</v>
      </c>
      <c r="S125" s="19" t="str">
        <f>_xlfn.XLOOKUP(Projects[[#This Row],[Coverage]],Table7[Coverage],Table7[CoverageFR],"",FALSE)</f>
        <v>Spécifique au tribunal</v>
      </c>
      <c r="T125" s="31" t="str">
        <f>IF(Projects[[#This Row],[To publish]]="","",Projects[[#This Row],[To publish]])</f>
        <v>Batch 5</v>
      </c>
    </row>
    <row r="126" spans="1:20" ht="165" x14ac:dyDescent="0.25">
      <c r="A126" s="19">
        <f>Projects[[#This Row],[NR]]</f>
        <v>161</v>
      </c>
      <c r="B126" s="19" t="str">
        <f>IF(Projects[[#This Row],[Title]]="","",Projects[[#This Row],[Title]])</f>
        <v>Predictive Jurisprudence (Genoca, Pisa)</v>
      </c>
      <c r="C126" s="19" t="str">
        <f>IF(Projects[[#This Row],[AI Relevance]]="","",Projects[[#This Row],[AI Relevance]])</f>
        <v>non-AI</v>
      </c>
      <c r="D126" s="19" t="str">
        <f>_xlfn.XLOOKUP(Projects[[#This Row],[Area1]],Table1[Area],Table1[FRArea],"Check",FALSE)</f>
        <v>3 - Prévision des résultats des litiges</v>
      </c>
      <c r="E126" s="19" t="str">
        <f>IF(Projects[[#This Row],[Area2]]="","",_xlfn.XLOOKUP(Projects[[#This Row],[Area2]],Table1[Area],Table1[FRArea],"Check",FALSE))</f>
        <v>4 - Aide à la décision</v>
      </c>
      <c r="F126" s="19">
        <f>IF(Projects[[#This Row],[Year]]="","",Projects[[#This Row],[Year]])</f>
        <v>2019</v>
      </c>
      <c r="G126" s="19" t="str">
        <f>_xlfn.XLOOKUP(Projects[[#This Row],[Country]],Table2[Country],Table2[Pays],"Check",FALSE)</f>
        <v>Italie</v>
      </c>
      <c r="H126" s="19" t="str">
        <f>IF(Projects[[#This Row],[Description]]="","",Projects[[#This Row],[Description]])</f>
        <v xml:space="preserve">The initiative of Genoa Second Instance Court is part of the Predictive Justice project of the Pisa Superior School Sant'Anna. Its aim is the recognition of jurisprudential orientations, which can provide judges with synthetic and analytical data to evaluate the corectness of their decisions. It has been applied to: divorce proceedings, compensation for non-pecuniary damages, and compensation for damage caused by stress and work bullying. </v>
      </c>
      <c r="I126" s="29" t="str">
        <f>IF(Projects[[#This Row],[DescriptionFR]]="","",Projects[[#This Row],[DescriptionFR]])</f>
        <v>L'initiative du tribunal de deuxième instance de Gênes fait partie du projet Predictive Justice de l'école supérieure Sant'Anna de Pise. Son objectif est la reconnaissance des orientations jurisprudentielles, qui peuvent fournir aux juges des données synthétiques et analytiques pour évaluer le bien-fondé de leurs décisions. Il a été appliqué aux procédures de divorce, à l'indemnisation des dommages non pécuniaires et à l'indemnisation des dommages causés par le stress et le harcèlement moral au travail.</v>
      </c>
      <c r="J126" s="30" t="str">
        <f>IF(Projects[[#This Row],[Link]]="","",Projects[[#This Row],[Link]])</f>
        <v xml:space="preserve">https://www.santannapisa.it/it/news/locchio-della-tecnologia-sulla-giustizia-di-genova-unintelligenza-artificiale-potra-prevedere </v>
      </c>
      <c r="K126" s="30" t="str">
        <f>IF(Projects[[#This Row],[Link1]]="","",Projects[[#This Row],[Link1]])</f>
        <v/>
      </c>
      <c r="L126" s="19" t="str">
        <f>_xlfn.XLOOKUP(Projects[[#This Row],[Implemented by]],Table3[Implemented by],Table3[ImplementedFR],"",FALSE)</f>
        <v>Recherche/Universitaire</v>
      </c>
      <c r="M126" s="19" t="str">
        <f>_xlfn.XLOOKUP(Projects[[#This Row],[Target audience]],Table4[Target audience],Table4[Target audienceFR],"",FALSE)</f>
        <v>Juges/greffiers</v>
      </c>
      <c r="N126" s="19" t="str">
        <f>IF(Projects[[#This Row],[Target audience2]]="","",_xlfn.XLOOKUP(Projects[[#This Row],[Target audience2]],Table4[Target audience],Table4[Target audienceFR],"Check",FALSE))</f>
        <v>Usagers des tribunaux (Grand public)</v>
      </c>
      <c r="O126" s="19" t="str">
        <f>IF(Projects[[#This Row],[Target audience3]]="","",_xlfn.XLOOKUP(Projects[[#This Row],[Target audience3]],Table4[Target audience],Table4[Target audienceFR],"Check",FALSE))</f>
        <v/>
      </c>
      <c r="P126" s="19" t="str">
        <f>IF(Projects[[#This Row],[Target audience4]]="","",_xlfn.XLOOKUP(Projects[[#This Row],[Target audience4]],Table4[Target audience],Table4[Target audienceFR],"Check",FALSE))</f>
        <v/>
      </c>
      <c r="Q126" s="19" t="str">
        <f>IF(Projects[[#This Row],[Target audience5]]="","",_xlfn.XLOOKUP(Projects[[#This Row],[Target audience5]],Table4[Target audience],Table4[Target audienceFR],"Check",FALSE))</f>
        <v/>
      </c>
      <c r="R126" s="19" t="str">
        <f>_xlfn.XLOOKUP(Projects[[#This Row],[Status]],Table8[Status],Table8[StatusFR],"",FALSE)</f>
        <v>Fonctionnel</v>
      </c>
      <c r="S126" s="19" t="str">
        <f>_xlfn.XLOOKUP(Projects[[#This Row],[Coverage]],Table7[Coverage],Table7[CoverageFR],"",FALSE)</f>
        <v xml:space="preserve">National </v>
      </c>
      <c r="T126" s="31" t="str">
        <f>IF(Projects[[#This Row],[To publish]]="","",Projects[[#This Row],[To publish]])</f>
        <v>Batch 5</v>
      </c>
    </row>
    <row r="127" spans="1:20" ht="60" x14ac:dyDescent="0.25">
      <c r="A127" s="19">
        <f>Projects[[#This Row],[NR]]</f>
        <v>162</v>
      </c>
      <c r="B127" s="19" t="str">
        <f>IF(Projects[[#This Row],[Title]]="","",Projects[[#This Row],[Title]])</f>
        <v xml:space="preserve">TIPKO / Speech to text </v>
      </c>
      <c r="C127" s="19" t="str">
        <f>IF(Projects[[#This Row],[AI Relevance]]="","",Projects[[#This Row],[AI Relevance]])</f>
        <v>AI</v>
      </c>
      <c r="D127" s="19" t="str">
        <f>_xlfn.XLOOKUP(Projects[[#This Row],[Area1]],Table1[Area],Table1[FRArea],"Check",FALSE)</f>
        <v>7 - Enregistrement, transcription et traduction</v>
      </c>
      <c r="E127" s="19" t="str">
        <f>IF(Projects[[#This Row],[Area2]]="","",_xlfn.XLOOKUP(Projects[[#This Row],[Area2]],Table1[Area],Table1[FRArea],"Check",FALSE))</f>
        <v/>
      </c>
      <c r="F127" s="19">
        <f>IF(Projects[[#This Row],[Year]]="","",Projects[[#This Row],[Year]])</f>
        <v>2023</v>
      </c>
      <c r="G127" s="19" t="str">
        <f>_xlfn.XLOOKUP(Projects[[#This Row],[Country]],Table2[Country],Table2[Pays],"Check",FALSE)</f>
        <v>Slovénie</v>
      </c>
      <c r="H127" s="19" t="str">
        <f>IF(Projects[[#This Row],[Description]]="","",Projects[[#This Row],[Description]])</f>
        <v>The system directly transforms the audio recordings to text, based on machine learning and ontology of Slovene language.</v>
      </c>
      <c r="I127" s="29" t="str">
        <f>IF(Projects[[#This Row],[DescriptionFR]]="","",Projects[[#This Row],[DescriptionFR]])</f>
        <v>Le système transforme directement les enregistrements audio en texte, sur la base de l'apprentissage automatique et de l'ontologie de la langue slovène.</v>
      </c>
      <c r="J127" s="30" t="str">
        <f>IF(Projects[[#This Row],[Link]]="","",Projects[[#This Row],[Link]])</f>
        <v/>
      </c>
      <c r="K127" s="30" t="str">
        <f>IF(Projects[[#This Row],[Link1]]="","",Projects[[#This Row],[Link1]])</f>
        <v/>
      </c>
      <c r="L127" s="19" t="str">
        <f>_xlfn.XLOOKUP(Projects[[#This Row],[Implemented by]],Table3[Implemented by],Table3[ImplementedFR],"",FALSE)</f>
        <v xml:space="preserve">Publique </v>
      </c>
      <c r="M127" s="19" t="str">
        <f>_xlfn.XLOOKUP(Projects[[#This Row],[Target audience]],Table4[Target audience],Table4[Target audienceFR],"",FALSE)</f>
        <v>Gestion</v>
      </c>
      <c r="N127" s="19" t="str">
        <f>IF(Projects[[#This Row],[Target audience2]]="","",_xlfn.XLOOKUP(Projects[[#This Row],[Target audience2]],Table4[Target audience],Table4[Target audienceFR],"Check",FALSE))</f>
        <v>Usagers des tribunaux (Grand public)</v>
      </c>
      <c r="O127" s="19" t="str">
        <f>IF(Projects[[#This Row],[Target audience3]]="","",_xlfn.XLOOKUP(Projects[[#This Row],[Target audience3]],Table4[Target audience],Table4[Target audienceFR],"Check",FALSE))</f>
        <v/>
      </c>
      <c r="P127" s="19" t="str">
        <f>IF(Projects[[#This Row],[Target audience4]]="","",_xlfn.XLOOKUP(Projects[[#This Row],[Target audience4]],Table4[Target audience],Table4[Target audienceFR],"Check",FALSE))</f>
        <v/>
      </c>
      <c r="Q127" s="19" t="str">
        <f>IF(Projects[[#This Row],[Target audience5]]="","",_xlfn.XLOOKUP(Projects[[#This Row],[Target audience5]],Table4[Target audience],Table4[Target audienceFR],"Check",FALSE))</f>
        <v/>
      </c>
      <c r="R127" s="19" t="str">
        <f>_xlfn.XLOOKUP(Projects[[#This Row],[Status]],Table8[Status],Table8[StatusFR],"",FALSE)</f>
        <v>Fonctionnel</v>
      </c>
      <c r="S127" s="19" t="str">
        <f>_xlfn.XLOOKUP(Projects[[#This Row],[Coverage]],Table7[Coverage],Table7[CoverageFR],"",FALSE)</f>
        <v xml:space="preserve">National </v>
      </c>
      <c r="T127" s="31" t="str">
        <f>IF(Projects[[#This Row],[To publish]]="","",Projects[[#This Row],[To publish]])</f>
        <v>Batch 5</v>
      </c>
    </row>
    <row r="128" spans="1:20" ht="105" x14ac:dyDescent="0.25">
      <c r="A128" s="19">
        <f>Projects[[#This Row],[NR]]</f>
        <v>163</v>
      </c>
      <c r="B128" s="19" t="str">
        <f>IF(Projects[[#This Row],[Title]]="","",Projects[[#This Row],[Title]])</f>
        <v>The 206 system</v>
      </c>
      <c r="C128" s="19" t="str">
        <f>IF(Projects[[#This Row],[AI Relevance]]="","",Projects[[#This Row],[AI Relevance]])</f>
        <v>AI</v>
      </c>
      <c r="D128" s="19" t="str">
        <f>_xlfn.XLOOKUP(Projects[[#This Row],[Area1]],Table1[Area],Table1[FRArea],"Check",FALSE)</f>
        <v>7 - Enregistrement, transcription et traduction</v>
      </c>
      <c r="E128" s="19" t="str">
        <f>IF(Projects[[#This Row],[Area2]]="","",_xlfn.XLOOKUP(Projects[[#This Row],[Area2]],Table1[Area],Table1[FRArea],"Check",FALSE))</f>
        <v>4 - Aide à la décision</v>
      </c>
      <c r="F128" s="19">
        <f>IF(Projects[[#This Row],[Year]]="","",Projects[[#This Row],[Year]])</f>
        <v>2018</v>
      </c>
      <c r="G128" s="19" t="str">
        <f>_xlfn.XLOOKUP(Projects[[#This Row],[Country]],Table2[Country],Table2[Pays],"Check",FALSE)</f>
        <v>Chine</v>
      </c>
      <c r="H128" s="19" t="str">
        <f>IF(Projects[[#This Row],[Description]]="","",Projects[[#This Row],[Description]])</f>
        <v>The system can accept verbal commands to display relevant information on digital screens. It is also able to transcribe speech throughout hearings and identify speakers according to their roles: judges, prosecutors, defendants, and others.  It can assist the judge to ascertain facts and to identify evidence.</v>
      </c>
      <c r="I128" s="29" t="str">
        <f>IF(Projects[[#This Row],[DescriptionFR]]="","",Projects[[#This Row],[DescriptionFR]])</f>
        <v>Le système peut accepter des commandes verbales pour afficher des informations pertinentes sur des écrans numériques. Il est également capable de transcrire la parole tout au long des audiences et d'identifier les intervenants en fonction de leur rôle : juges, procureurs, accusés et autres. Il peut aider le juge à établir les faits et à identifier les preuves.</v>
      </c>
      <c r="J128" s="30" t="str">
        <f>IF(Projects[[#This Row],[Link]]="","",Projects[[#This Row],[Link]])</f>
        <v xml:space="preserve">https://www.sixthtone.com/news/1003496/shanghai-court-adopts-new-ai-assistant </v>
      </c>
      <c r="K128" s="30" t="str">
        <f>IF(Projects[[#This Row],[Link1]]="","",Projects[[#This Row],[Link1]])</f>
        <v/>
      </c>
      <c r="L128" s="19" t="str">
        <f>_xlfn.XLOOKUP(Projects[[#This Row],[Implemented by]],Table3[Implemented by],Table3[ImplementedFR],"",FALSE)</f>
        <v xml:space="preserve">Publique </v>
      </c>
      <c r="M128" s="19" t="str">
        <f>_xlfn.XLOOKUP(Projects[[#This Row],[Target audience]],Table4[Target audience],Table4[Target audienceFR],"",FALSE)</f>
        <v>Juges/greffiers</v>
      </c>
      <c r="N128" s="19" t="str">
        <f>IF(Projects[[#This Row],[Target audience2]]="","",_xlfn.XLOOKUP(Projects[[#This Row],[Target audience2]],Table4[Target audience],Table4[Target audienceFR],"Check",FALSE))</f>
        <v>Gestion</v>
      </c>
      <c r="O128" s="19" t="str">
        <f>IF(Projects[[#This Row],[Target audience3]]="","",_xlfn.XLOOKUP(Projects[[#This Row],[Target audience3]],Table4[Target audience],Table4[Target audienceFR],"Check",FALSE))</f>
        <v/>
      </c>
      <c r="P128" s="19" t="str">
        <f>IF(Projects[[#This Row],[Target audience4]]="","",_xlfn.XLOOKUP(Projects[[#This Row],[Target audience4]],Table4[Target audience],Table4[Target audienceFR],"Check",FALSE))</f>
        <v/>
      </c>
      <c r="Q128" s="19" t="str">
        <f>IF(Projects[[#This Row],[Target audience5]]="","",_xlfn.XLOOKUP(Projects[[#This Row],[Target audience5]],Table4[Target audience],Table4[Target audienceFR],"Check",FALSE))</f>
        <v/>
      </c>
      <c r="R128" s="19" t="str">
        <f>_xlfn.XLOOKUP(Projects[[#This Row],[Status]],Table8[Status],Table8[StatusFR],"",FALSE)</f>
        <v>Fonctionnel</v>
      </c>
      <c r="S128" s="19" t="str">
        <f>_xlfn.XLOOKUP(Projects[[#This Row],[Coverage]],Table7[Coverage],Table7[CoverageFR],"",FALSE)</f>
        <v>Spécifique au tribunal</v>
      </c>
      <c r="T128" s="31" t="str">
        <f>IF(Projects[[#This Row],[To publish]]="","",Projects[[#This Row],[To publish]])</f>
        <v>Batch 6</v>
      </c>
    </row>
    <row r="129" spans="1:20" ht="135" x14ac:dyDescent="0.25">
      <c r="A129" s="19">
        <f>Projects[[#This Row],[NR]]</f>
        <v>164</v>
      </c>
      <c r="B129" s="19" t="str">
        <f>IF(Projects[[#This Row],[Title]]="","",Projects[[#This Row],[Title]])</f>
        <v>AI-assisted sentencing</v>
      </c>
      <c r="C129" s="19" t="str">
        <f>IF(Projects[[#This Row],[AI Relevance]]="","",Projects[[#This Row],[AI Relevance]])</f>
        <v>AI</v>
      </c>
      <c r="D129" s="19" t="str">
        <f>_xlfn.XLOOKUP(Projects[[#This Row],[Area1]],Table1[Area],Table1[FRArea],"Check",FALSE)</f>
        <v>4 - Aide à la décision</v>
      </c>
      <c r="E129" s="19" t="str">
        <f>IF(Projects[[#This Row],[Area2]]="","",_xlfn.XLOOKUP(Projects[[#This Row],[Area2]],Table1[Area],Table1[FRArea],"Check",FALSE))</f>
        <v>3 - Prévision des résultats des litiges</v>
      </c>
      <c r="F129" s="19">
        <f>IF(Projects[[#This Row],[Year]]="","",Projects[[#This Row],[Year]])</f>
        <v>2019</v>
      </c>
      <c r="G129" s="19" t="str">
        <f>_xlfn.XLOOKUP(Projects[[#This Row],[Country]],Table2[Country],Table2[Pays],"Check",FALSE)</f>
        <v>Chine</v>
      </c>
      <c r="H129" s="19" t="str">
        <f>IF(Projects[[#This Row],[Description]]="","",Projects[[#This Row],[Description]])</f>
        <v>The Hainan High People's Court has introduced a system to standardise sentencing. It employs big data and AI technologies, such as natural language processing, knowledge graphs and deep learning, to automatically pick out key facts in a case and formulate a written judgment, after data analysis based on decisions from previous cases.</v>
      </c>
      <c r="I129" s="29" t="str">
        <f>IF(Projects[[#This Row],[DescriptionFR]]="","",Projects[[#This Row],[DescriptionFR]])</f>
        <v>La Haute cour de Hainan a mis en place un système de standardiser des peines. Elle utilise des technologies de big data et d'IA, telles que le traitement du langage naturel, les graphes de connaissances et l'apprentissage profond, pour sélectionner automatiquement les faits clés d'une affaire et formuler un jugement écrit, après une analyse des données basée sur les décisions d'affaires précédentes.</v>
      </c>
      <c r="J129" s="30" t="str">
        <f>IF(Projects[[#This Row],[Link]]="","",Projects[[#This Row],[Link]])</f>
        <v>https://www.chinadaily.com.cn/cndy/2019-04/18/content_37459601.htm</v>
      </c>
      <c r="K129" s="30" t="str">
        <f>IF(Projects[[#This Row],[Link1]]="","",Projects[[#This Row],[Link1]])</f>
        <v/>
      </c>
      <c r="L129" s="19" t="str">
        <f>_xlfn.XLOOKUP(Projects[[#This Row],[Implemented by]],Table3[Implemented by],Table3[ImplementedFR],"",FALSE)</f>
        <v xml:space="preserve">Publique </v>
      </c>
      <c r="M129" s="19" t="str">
        <f>_xlfn.XLOOKUP(Projects[[#This Row],[Target audience]],Table4[Target audience],Table4[Target audienceFR],"",FALSE)</f>
        <v>Juges/greffiers</v>
      </c>
      <c r="N129" s="19" t="str">
        <f>IF(Projects[[#This Row],[Target audience2]]="","",_xlfn.XLOOKUP(Projects[[#This Row],[Target audience2]],Table4[Target audience],Table4[Target audienceFR],"Check",FALSE))</f>
        <v/>
      </c>
      <c r="O129" s="19" t="str">
        <f>IF(Projects[[#This Row],[Target audience3]]="","",_xlfn.XLOOKUP(Projects[[#This Row],[Target audience3]],Table4[Target audience],Table4[Target audienceFR],"Check",FALSE))</f>
        <v/>
      </c>
      <c r="P129" s="19" t="str">
        <f>IF(Projects[[#This Row],[Target audience4]]="","",_xlfn.XLOOKUP(Projects[[#This Row],[Target audience4]],Table4[Target audience],Table4[Target audienceFR],"Check",FALSE))</f>
        <v/>
      </c>
      <c r="Q129" s="19" t="str">
        <f>IF(Projects[[#This Row],[Target audience5]]="","",_xlfn.XLOOKUP(Projects[[#This Row],[Target audience5]],Table4[Target audience],Table4[Target audienceFR],"Check",FALSE))</f>
        <v/>
      </c>
      <c r="R129" s="19" t="str">
        <f>_xlfn.XLOOKUP(Projects[[#This Row],[Status]],Table8[Status],Table8[StatusFR],"",FALSE)</f>
        <v>Fonctionnel</v>
      </c>
      <c r="S129" s="19" t="str">
        <f>_xlfn.XLOOKUP(Projects[[#This Row],[Coverage]],Table7[Coverage],Table7[CoverageFR],"",FALSE)</f>
        <v>Spécifique au tribunal</v>
      </c>
      <c r="T129" s="31" t="str">
        <f>IF(Projects[[#This Row],[To publish]]="","",Projects[[#This Row],[To publish]])</f>
        <v>Batch 6</v>
      </c>
    </row>
    <row r="130" spans="1:20" ht="195" x14ac:dyDescent="0.25">
      <c r="A130" s="19">
        <f>Projects[[#This Row],[NR]]</f>
        <v>165</v>
      </c>
      <c r="B130" s="19" t="str">
        <f>IF(Projects[[#This Row],[Title]]="","",Projects[[#This Row],[Title]])</f>
        <v xml:space="preserve">Mobile MiniCourt </v>
      </c>
      <c r="C130" s="19" t="str">
        <f>IF(Projects[[#This Row],[AI Relevance]]="","",Projects[[#This Row],[AI Relevance]])</f>
        <v>non-AI</v>
      </c>
      <c r="D130" s="19" t="str">
        <f>_xlfn.XLOOKUP(Projects[[#This Row],[Area1]],Table1[Area],Table1[FRArea],"Check",FALSE)</f>
        <v>2 - Résolution automatisée des litiges</v>
      </c>
      <c r="E130" s="19" t="str">
        <f>IF(Projects[[#This Row],[Area2]]="","",_xlfn.XLOOKUP(Projects[[#This Row],[Area2]],Table1[Area],Table1[FRArea],"Check",FALSE))</f>
        <v/>
      </c>
      <c r="F130" s="19">
        <f>IF(Projects[[#This Row],[Year]]="","",Projects[[#This Row],[Year]])</f>
        <v>2021</v>
      </c>
      <c r="G130" s="19" t="str">
        <f>_xlfn.XLOOKUP(Projects[[#This Row],[Country]],Table2[Country],Table2[Pays],"Check",FALSE)</f>
        <v>Chine</v>
      </c>
      <c r="H130" s="19" t="str">
        <f>IF(Projects[[#This Row],[Description]]="","",Projects[[#This Row],[Description]])</f>
        <v xml:space="preserve">The Mobile MiniCourt is a WeChat Applet (China's largest social media)  allowing parties living abroad to file a lawsuit in a Chinese court on the Internet, by completing the relevant operations on the mobile online platform with a mobile device.  The platform has a modular design, currently comprising: case filing, service, evidence exchange, mediation, court hearing, and enforcement. It introduces technologies, such as facial recognition, electronic signatures and multi-access real-time audio and video interaction. </v>
      </c>
      <c r="I130" s="29" t="str">
        <f>IF(Projects[[#This Row],[DescriptionFR]]="","",Projects[[#This Row],[DescriptionFR]])</f>
        <v>La MiniCour mobile est une applet WeChat (le plus grand média social chinois) permettant aux parties résidant à l'étranger d'intenter une action en justice devant un tribunal chinois sur Internet, en effectuant les opérations pertinentes sur la plateforme mobile en ligne avec un appareil mobile. La plateforme a une conception modulaire, comprenant actuellement : le dépôt d'une affaire, la signification, l'échange de preuves, la médiation, l'audience et l'exécution. Elle introduit des technologies telles que la reconnaissance faciale, les signatures électroniques et l'interaction audio et vidéo en temps réel à accès multiple.</v>
      </c>
      <c r="J130" s="30" t="str">
        <f>IF(Projects[[#This Row],[Link]]="","",Projects[[#This Row],[Link]])</f>
        <v>https://www.chinajusticeobserver.com/a/chinese-courts-on-smart-phones</v>
      </c>
      <c r="K130" s="30" t="str">
        <f>IF(Projects[[#This Row],[Link1]]="","",Projects[[#This Row],[Link1]])</f>
        <v/>
      </c>
      <c r="L130" s="19" t="str">
        <f>_xlfn.XLOOKUP(Projects[[#This Row],[Implemented by]],Table3[Implemented by],Table3[ImplementedFR],"",FALSE)</f>
        <v xml:space="preserve">Publique </v>
      </c>
      <c r="M130" s="19" t="str">
        <f>_xlfn.XLOOKUP(Projects[[#This Row],[Target audience]],Table4[Target audience],Table4[Target audienceFR],"",FALSE)</f>
        <v>Usagers des tribunaux (Grand public)</v>
      </c>
      <c r="N130" s="19" t="str">
        <f>IF(Projects[[#This Row],[Target audience2]]="","",_xlfn.XLOOKUP(Projects[[#This Row],[Target audience2]],Table4[Target audience],Table4[Target audienceFR],"Check",FALSE))</f>
        <v>Gestion</v>
      </c>
      <c r="O130" s="19" t="str">
        <f>IF(Projects[[#This Row],[Target audience3]]="","",_xlfn.XLOOKUP(Projects[[#This Row],[Target audience3]],Table4[Target audience],Table4[Target audienceFR],"Check",FALSE))</f>
        <v/>
      </c>
      <c r="P130" s="19" t="str">
        <f>IF(Projects[[#This Row],[Target audience4]]="","",_xlfn.XLOOKUP(Projects[[#This Row],[Target audience4]],Table4[Target audience],Table4[Target audienceFR],"Check",FALSE))</f>
        <v/>
      </c>
      <c r="Q130" s="19" t="str">
        <f>IF(Projects[[#This Row],[Target audience5]]="","",_xlfn.XLOOKUP(Projects[[#This Row],[Target audience5]],Table4[Target audience],Table4[Target audienceFR],"Check",FALSE))</f>
        <v/>
      </c>
      <c r="R130" s="19" t="str">
        <f>_xlfn.XLOOKUP(Projects[[#This Row],[Status]],Table8[Status],Table8[StatusFR],"",FALSE)</f>
        <v>Fonctionnel</v>
      </c>
      <c r="S130" s="19" t="str">
        <f>_xlfn.XLOOKUP(Projects[[#This Row],[Coverage]],Table7[Coverage],Table7[CoverageFR],"",FALSE)</f>
        <v xml:space="preserve">National </v>
      </c>
      <c r="T130" s="31" t="str">
        <f>IF(Projects[[#This Row],[To publish]]="","",Projects[[#This Row],[To publish]])</f>
        <v>Batch 6</v>
      </c>
    </row>
    <row r="131" spans="1:20" ht="60" x14ac:dyDescent="0.25">
      <c r="A131" s="19">
        <f>Projects[[#This Row],[NR]]</f>
        <v>167</v>
      </c>
      <c r="B131" s="19" t="str">
        <f>IF(Projects[[#This Row],[Title]]="","",Projects[[#This Row],[Title]])</f>
        <v xml:space="preserve">The Hangzhou Internet Court </v>
      </c>
      <c r="C131" s="19" t="str">
        <f>IF(Projects[[#This Row],[AI Relevance]]="","",Projects[[#This Row],[AI Relevance]])</f>
        <v>AI</v>
      </c>
      <c r="D131" s="19" t="str">
        <f>_xlfn.XLOOKUP(Projects[[#This Row],[Area1]],Table1[Area],Table1[FRArea],"Check",FALSE)</f>
        <v>2 - Résolution automatisée des litiges</v>
      </c>
      <c r="E131" s="19" t="str">
        <f>IF(Projects[[#This Row],[Area2]]="","",_xlfn.XLOOKUP(Projects[[#This Row],[Area2]],Table1[Area],Table1[FRArea],"Check",FALSE))</f>
        <v/>
      </c>
      <c r="F131" s="19">
        <f>IF(Projects[[#This Row],[Year]]="","",Projects[[#This Row],[Year]])</f>
        <v>2017</v>
      </c>
      <c r="G131" s="19" t="str">
        <f>_xlfn.XLOOKUP(Projects[[#This Row],[Country]],Table2[Country],Table2[Pays],"Check",FALSE)</f>
        <v>Chine</v>
      </c>
      <c r="H131" s="19" t="str">
        <f>IF(Projects[[#This Row],[Description]]="","",Projects[[#This Row],[Description]])</f>
        <v xml:space="preserve">The court uses new technologies such as blockchain in the online settlement of  civil and administrative disputes. By mid 2022 it concluded apparently more than  80,000 cases. </v>
      </c>
      <c r="I131" s="29" t="str">
        <f>IF(Projects[[#This Row],[DescriptionFR]]="","",Projects[[#This Row],[DescriptionFR]])</f>
        <v>Le tribunal utilise les nouvelles technologies telles que la blockchain dans le règlement en ligne des litiges civils et administratifs. À la mi-2022, il avait apparemment conclu plus de 80 000 affaires.</v>
      </c>
      <c r="J131" s="30" t="str">
        <f>IF(Projects[[#This Row],[Link]]="","",Projects[[#This Row],[Link]])</f>
        <v xml:space="preserve">http://www.ezhejiang.gov.cn/2022-08/23/c_804705.htm </v>
      </c>
      <c r="K131" s="30" t="str">
        <f>IF(Projects[[#This Row],[Link1]]="","",Projects[[#This Row],[Link1]])</f>
        <v/>
      </c>
      <c r="L131" s="19" t="str">
        <f>_xlfn.XLOOKUP(Projects[[#This Row],[Implemented by]],Table3[Implemented by],Table3[ImplementedFR],"",FALSE)</f>
        <v xml:space="preserve">Publique </v>
      </c>
      <c r="M131" s="19" t="str">
        <f>_xlfn.XLOOKUP(Projects[[#This Row],[Target audience]],Table4[Target audience],Table4[Target audienceFR],"",FALSE)</f>
        <v>Usagers des tribunaux (Grand public)</v>
      </c>
      <c r="N131" s="19" t="str">
        <f>IF(Projects[[#This Row],[Target audience2]]="","",_xlfn.XLOOKUP(Projects[[#This Row],[Target audience2]],Table4[Target audience],Table4[Target audienceFR],"Check",FALSE))</f>
        <v>Gestion</v>
      </c>
      <c r="O131" s="19" t="str">
        <f>IF(Projects[[#This Row],[Target audience3]]="","",_xlfn.XLOOKUP(Projects[[#This Row],[Target audience3]],Table4[Target audience],Table4[Target audienceFR],"Check",FALSE))</f>
        <v/>
      </c>
      <c r="P131" s="19" t="str">
        <f>IF(Projects[[#This Row],[Target audience4]]="","",_xlfn.XLOOKUP(Projects[[#This Row],[Target audience4]],Table4[Target audience],Table4[Target audienceFR],"Check",FALSE))</f>
        <v/>
      </c>
      <c r="Q131" s="19" t="str">
        <f>IF(Projects[[#This Row],[Target audience5]]="","",_xlfn.XLOOKUP(Projects[[#This Row],[Target audience5]],Table4[Target audience],Table4[Target audienceFR],"Check",FALSE))</f>
        <v/>
      </c>
      <c r="R131" s="19" t="str">
        <f>_xlfn.XLOOKUP(Projects[[#This Row],[Status]],Table8[Status],Table8[StatusFR],"",FALSE)</f>
        <v>Fonctionnel</v>
      </c>
      <c r="S131" s="19" t="str">
        <f>_xlfn.XLOOKUP(Projects[[#This Row],[Coverage]],Table7[Coverage],Table7[CoverageFR],"",FALSE)</f>
        <v xml:space="preserve">National </v>
      </c>
      <c r="T131" s="31" t="str">
        <f>IF(Projects[[#This Row],[To publish]]="","",Projects[[#This Row],[To publish]])</f>
        <v>Batch 6</v>
      </c>
    </row>
    <row r="132" spans="1:20" ht="360" x14ac:dyDescent="0.25">
      <c r="A132" s="19">
        <f>Projects[[#This Row],[NR]]</f>
        <v>169</v>
      </c>
      <c r="B132" s="19" t="str">
        <f>IF(Projects[[#This Row],[Title]]="","",Projects[[#This Row],[Title]])</f>
        <v>ClaudeAI: Claude (by Anthropic) – Conversational AI tools, chatbots, etc.</v>
      </c>
      <c r="C132" s="19" t="str">
        <f>IF(Projects[[#This Row],[AI Relevance]]="","",Projects[[#This Row],[AI Relevance]])</f>
        <v>AI</v>
      </c>
      <c r="D132" s="19" t="str">
        <f>_xlfn.XLOOKUP(Projects[[#This Row],[Area1]],Table1[Area],Table1[FRArea],"Check",FALSE)</f>
        <v>8 - Services d'information/assistance</v>
      </c>
      <c r="E132" s="19" t="str">
        <f>IF(Projects[[#This Row],[Area2]]="","",_xlfn.XLOOKUP(Projects[[#This Row],[Area2]],Table1[Area],Table1[FRArea],"Check",FALSE))</f>
        <v>4 - Aide à la décision</v>
      </c>
      <c r="F132" s="19">
        <f>IF(Projects[[#This Row],[Year]]="","",Projects[[#This Row],[Year]])</f>
        <v>2023</v>
      </c>
      <c r="G132" s="19" t="str">
        <f>_xlfn.XLOOKUP(Projects[[#This Row],[Country]],Table2[Country],Table2[Pays],"Check",FALSE)</f>
        <v>Etats-Unis</v>
      </c>
      <c r="H132" s="19" t="str">
        <f>IF(Projects[[#This Row],[Description]]="","",Projects[[#This Row],[Description]])</f>
        <v>Claude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2" s="29" t="str">
        <f>IF(Projects[[#This Row],[DescriptionFR]]="","",Projects[[#This Row],[DescriptionFR]])</f>
        <v>Claude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2" s="30" t="str">
        <f>IF(Projects[[#This Row],[Link]]="","",Projects[[#This Row],[Link]])</f>
        <v>https://claude.ai/</v>
      </c>
      <c r="K132" s="30" t="str">
        <f>IF(Projects[[#This Row],[Link1]]="","",Projects[[#This Row],[Link1]])</f>
        <v>https://rm.coe.int/cepej-gt-cyberjust-2023-5final-en-note-on-generative-ai/1680ae8e01</v>
      </c>
      <c r="L132" s="19" t="str">
        <f>_xlfn.XLOOKUP(Projects[[#This Row],[Implemented by]],Table3[Implemented by],Table3[ImplementedFR],"",FALSE)</f>
        <v>Privé</v>
      </c>
      <c r="M132" s="19" t="str">
        <f>_xlfn.XLOOKUP(Projects[[#This Row],[Target audience]],Table4[Target audience],Table4[Target audienceFR],"",FALSE)</f>
        <v>Usagers des tribunaux (Grand public)</v>
      </c>
      <c r="N132" s="19" t="str">
        <f>IF(Projects[[#This Row],[Target audience2]]="","",_xlfn.XLOOKUP(Projects[[#This Row],[Target audience2]],Table4[Target audience],Table4[Target audienceFR],"Check",FALSE))</f>
        <v>Juges/greffiers</v>
      </c>
      <c r="O132" s="19" t="str">
        <f>IF(Projects[[#This Row],[Target audience3]]="","",_xlfn.XLOOKUP(Projects[[#This Row],[Target audience3]],Table4[Target audience],Table4[Target audienceFR],"Check",FALSE))</f>
        <v>Avocats</v>
      </c>
      <c r="P132" s="19" t="str">
        <f>IF(Projects[[#This Row],[Target audience4]]="","",_xlfn.XLOOKUP(Projects[[#This Row],[Target audience4]],Table4[Target audience],Table4[Target audienceFR],"Check",FALSE))</f>
        <v/>
      </c>
      <c r="Q132" s="19" t="str">
        <f>IF(Projects[[#This Row],[Target audience5]]="","",_xlfn.XLOOKUP(Projects[[#This Row],[Target audience5]],Table4[Target audience],Table4[Target audienceFR],"Check",FALSE))</f>
        <v/>
      </c>
      <c r="R132" s="19" t="str">
        <f>_xlfn.XLOOKUP(Projects[[#This Row],[Status]],Table8[Status],Table8[StatusFR],"",FALSE)</f>
        <v>Fonctionnel</v>
      </c>
      <c r="S132" s="19" t="str">
        <f>_xlfn.XLOOKUP(Projects[[#This Row],[Coverage]],Table7[Coverage],Table7[CoverageFR],"",FALSE)</f>
        <v>International</v>
      </c>
      <c r="T132" s="31" t="str">
        <f>IF(Projects[[#This Row],[To publish]]="","",Projects[[#This Row],[To publish]])</f>
        <v>Batch 6</v>
      </c>
    </row>
    <row r="133" spans="1:20" ht="360" x14ac:dyDescent="0.25">
      <c r="A133" s="19">
        <f>Projects[[#This Row],[NR]]</f>
        <v>171</v>
      </c>
      <c r="B133" s="19" t="str">
        <f>IF(Projects[[#This Row],[Title]]="","",Projects[[#This Row],[Title]])</f>
        <v>Google Gemini: Google Gemini (by DeepMind) – previously Google Bard (now renamed to Gemini), search-related AI tools</v>
      </c>
      <c r="C133" s="19" t="str">
        <f>IF(Projects[[#This Row],[AI Relevance]]="","",Projects[[#This Row],[AI Relevance]])</f>
        <v>AI</v>
      </c>
      <c r="D133" s="19" t="str">
        <f>_xlfn.XLOOKUP(Projects[[#This Row],[Area1]],Table1[Area],Table1[FRArea],"Check",FALSE)</f>
        <v>8 - Services d'information/assistance</v>
      </c>
      <c r="E133" s="19" t="str">
        <f>IF(Projects[[#This Row],[Area2]]="","",_xlfn.XLOOKUP(Projects[[#This Row],[Area2]],Table1[Area],Table1[FRArea],"Check",FALSE))</f>
        <v>4 - Aide à la décision</v>
      </c>
      <c r="F133" s="19">
        <f>IF(Projects[[#This Row],[Year]]="","",Projects[[#This Row],[Year]])</f>
        <v>2023</v>
      </c>
      <c r="G133" s="19" t="str">
        <f>_xlfn.XLOOKUP(Projects[[#This Row],[Country]],Table2[Country],Table2[Pays],"Check",FALSE)</f>
        <v>Etats-Unis</v>
      </c>
      <c r="H133" s="19" t="str">
        <f>IF(Projects[[#This Row],[Description]]="","",Projects[[#This Row],[Description]])</f>
        <v>Gemini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3" s="29" t="str">
        <f>IF(Projects[[#This Row],[DescriptionFR]]="","",Projects[[#This Row],[DescriptionFR]])</f>
        <v>Gemini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3" s="30" t="str">
        <f>IF(Projects[[#This Row],[Link]]="","",Projects[[#This Row],[Link]])</f>
        <v>https://gemini.google.com/</v>
      </c>
      <c r="K133" s="30" t="str">
        <f>IF(Projects[[#This Row],[Link1]]="","",Projects[[#This Row],[Link1]])</f>
        <v>https://rm.coe.int/cepej-gt-cyberjust-2023-5final-en-note-on-generative-ai/1680ae8e01</v>
      </c>
      <c r="L133" s="19" t="str">
        <f>_xlfn.XLOOKUP(Projects[[#This Row],[Implemented by]],Table3[Implemented by],Table3[ImplementedFR],"",FALSE)</f>
        <v>Privé</v>
      </c>
      <c r="M133" s="19" t="str">
        <f>_xlfn.XLOOKUP(Projects[[#This Row],[Target audience]],Table4[Target audience],Table4[Target audienceFR],"",FALSE)</f>
        <v>Usagers des tribunaux (Grand public)</v>
      </c>
      <c r="N133" s="19" t="str">
        <f>IF(Projects[[#This Row],[Target audience2]]="","",_xlfn.XLOOKUP(Projects[[#This Row],[Target audience2]],Table4[Target audience],Table4[Target audienceFR],"Check",FALSE))</f>
        <v>Juges/greffiers</v>
      </c>
      <c r="O133" s="19" t="str">
        <f>IF(Projects[[#This Row],[Target audience3]]="","",_xlfn.XLOOKUP(Projects[[#This Row],[Target audience3]],Table4[Target audience],Table4[Target audienceFR],"Check",FALSE))</f>
        <v>Avocats</v>
      </c>
      <c r="P133" s="19" t="str">
        <f>IF(Projects[[#This Row],[Target audience4]]="","",_xlfn.XLOOKUP(Projects[[#This Row],[Target audience4]],Table4[Target audience],Table4[Target audienceFR],"Check",FALSE))</f>
        <v/>
      </c>
      <c r="Q133" s="19" t="str">
        <f>IF(Projects[[#This Row],[Target audience5]]="","",_xlfn.XLOOKUP(Projects[[#This Row],[Target audience5]],Table4[Target audience],Table4[Target audienceFR],"Check",FALSE))</f>
        <v/>
      </c>
      <c r="R133" s="19" t="str">
        <f>_xlfn.XLOOKUP(Projects[[#This Row],[Status]],Table8[Status],Table8[StatusFR],"",FALSE)</f>
        <v>Fonctionnel</v>
      </c>
      <c r="S133" s="19" t="str">
        <f>_xlfn.XLOOKUP(Projects[[#This Row],[Coverage]],Table7[Coverage],Table7[CoverageFR],"",FALSE)</f>
        <v>International</v>
      </c>
      <c r="T133" s="31" t="str">
        <f>IF(Projects[[#This Row],[To publish]]="","",Projects[[#This Row],[To publish]])</f>
        <v>Batch 6</v>
      </c>
    </row>
    <row r="134" spans="1:20" ht="360" x14ac:dyDescent="0.25">
      <c r="A134" s="19">
        <f>Projects[[#This Row],[NR]]</f>
        <v>173</v>
      </c>
      <c r="B134" s="19" t="str">
        <f>IF(Projects[[#This Row],[Title]]="","",Projects[[#This Row],[Title]])</f>
        <v>Microsoft Copilot: GPT (or other LLMs) – Copilot in Office apps (Word, Excel, etc.)</v>
      </c>
      <c r="C134" s="19" t="str">
        <f>IF(Projects[[#This Row],[AI Relevance]]="","",Projects[[#This Row],[AI Relevance]])</f>
        <v>AI</v>
      </c>
      <c r="D134" s="19" t="str">
        <f>_xlfn.XLOOKUP(Projects[[#This Row],[Area1]],Table1[Area],Table1[FRArea],"Check",FALSE)</f>
        <v>8 - Services d'information/assistance</v>
      </c>
      <c r="E134" s="19" t="str">
        <f>IF(Projects[[#This Row],[Area2]]="","",_xlfn.XLOOKUP(Projects[[#This Row],[Area2]],Table1[Area],Table1[FRArea],"Check",FALSE))</f>
        <v>4 - Aide à la décision</v>
      </c>
      <c r="F134" s="19">
        <f>IF(Projects[[#This Row],[Year]]="","",Projects[[#This Row],[Year]])</f>
        <v>2023</v>
      </c>
      <c r="G134" s="19" t="str">
        <f>_xlfn.XLOOKUP(Projects[[#This Row],[Country]],Table2[Country],Table2[Pays],"Check",FALSE)</f>
        <v>Etats-Unis</v>
      </c>
      <c r="H134" s="19" t="str">
        <f>IF(Projects[[#This Row],[Description]]="","",Projects[[#This Row],[Description]])</f>
        <v>Copilot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4" s="29" t="str">
        <f>IF(Projects[[#This Row],[DescriptionFR]]="","",Projects[[#This Row],[DescriptionFR]])</f>
        <v>Copilot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4" s="30" t="str">
        <f>IF(Projects[[#This Row],[Link]]="","",Projects[[#This Row],[Link]])</f>
        <v>https://copilot.cloud.microsoft/</v>
      </c>
      <c r="K134" s="30" t="str">
        <f>IF(Projects[[#This Row],[Link1]]="","",Projects[[#This Row],[Link1]])</f>
        <v>https://rm.coe.int/cepej-gt-cyberjust-2023-5final-en-note-on-generative-ai/1680ae8e01</v>
      </c>
      <c r="L134" s="19" t="str">
        <f>_xlfn.XLOOKUP(Projects[[#This Row],[Implemented by]],Table3[Implemented by],Table3[ImplementedFR],"",FALSE)</f>
        <v>Privé</v>
      </c>
      <c r="M134" s="19" t="str">
        <f>_xlfn.XLOOKUP(Projects[[#This Row],[Target audience]],Table4[Target audience],Table4[Target audienceFR],"",FALSE)</f>
        <v>Usagers des tribunaux (Grand public)</v>
      </c>
      <c r="N134" s="19" t="str">
        <f>IF(Projects[[#This Row],[Target audience2]]="","",_xlfn.XLOOKUP(Projects[[#This Row],[Target audience2]],Table4[Target audience],Table4[Target audienceFR],"Check",FALSE))</f>
        <v>Juges/greffiers</v>
      </c>
      <c r="O134" s="19" t="str">
        <f>IF(Projects[[#This Row],[Target audience3]]="","",_xlfn.XLOOKUP(Projects[[#This Row],[Target audience3]],Table4[Target audience],Table4[Target audienceFR],"Check",FALSE))</f>
        <v>Avocats</v>
      </c>
      <c r="P134" s="19" t="str">
        <f>IF(Projects[[#This Row],[Target audience4]]="","",_xlfn.XLOOKUP(Projects[[#This Row],[Target audience4]],Table4[Target audience],Table4[Target audienceFR],"Check",FALSE))</f>
        <v/>
      </c>
      <c r="Q134" s="19" t="str">
        <f>IF(Projects[[#This Row],[Target audience5]]="","",_xlfn.XLOOKUP(Projects[[#This Row],[Target audience5]],Table4[Target audience],Table4[Target audienceFR],"Check",FALSE))</f>
        <v/>
      </c>
      <c r="R134" s="19" t="str">
        <f>_xlfn.XLOOKUP(Projects[[#This Row],[Status]],Table8[Status],Table8[StatusFR],"",FALSE)</f>
        <v>Fonctionnel</v>
      </c>
      <c r="S134" s="19" t="str">
        <f>_xlfn.XLOOKUP(Projects[[#This Row],[Coverage]],Table7[Coverage],Table7[CoverageFR],"",FALSE)</f>
        <v>International</v>
      </c>
      <c r="T134" s="31" t="str">
        <f>IF(Projects[[#This Row],[To publish]]="","",Projects[[#This Row],[To publish]])</f>
        <v>Batch 6</v>
      </c>
    </row>
    <row r="135" spans="1:20" ht="360" x14ac:dyDescent="0.25">
      <c r="A135" s="19">
        <f>Projects[[#This Row],[NR]]</f>
        <v>175</v>
      </c>
      <c r="B135" s="19" t="str">
        <f>IF(Projects[[#This Row],[Title]]="","",Projects[[#This Row],[Title]])</f>
        <v>Meta AI: LLaMA, other Meta LLMs – AI for social media, content moderation, chatbots</v>
      </c>
      <c r="C135" s="19" t="str">
        <f>IF(Projects[[#This Row],[AI Relevance]]="","",Projects[[#This Row],[AI Relevance]])</f>
        <v>AI</v>
      </c>
      <c r="D135" s="19" t="str">
        <f>_xlfn.XLOOKUP(Projects[[#This Row],[Area1]],Table1[Area],Table1[FRArea],"Check",FALSE)</f>
        <v>8 - Services d'information/assistance</v>
      </c>
      <c r="E135" s="19" t="str">
        <f>IF(Projects[[#This Row],[Area2]]="","",_xlfn.XLOOKUP(Projects[[#This Row],[Area2]],Table1[Area],Table1[FRArea],"Check",FALSE))</f>
        <v>4 - Aide à la décision</v>
      </c>
      <c r="F135" s="19">
        <f>IF(Projects[[#This Row],[Year]]="","",Projects[[#This Row],[Year]])</f>
        <v>2023</v>
      </c>
      <c r="G135" s="19" t="str">
        <f>_xlfn.XLOOKUP(Projects[[#This Row],[Country]],Table2[Country],Table2[Pays],"Check",FALSE)</f>
        <v>Etats-Unis</v>
      </c>
      <c r="H135" s="19" t="str">
        <f>IF(Projects[[#This Row],[Description]]="","",Projects[[#This Row],[Description]])</f>
        <v>LLama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5" s="29" t="str">
        <f>IF(Projects[[#This Row],[DescriptionFR]]="","",Projects[[#This Row],[DescriptionFR]])</f>
        <v>LLama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5" s="30" t="str">
        <f>IF(Projects[[#This Row],[Link]]="","",Projects[[#This Row],[Link]])</f>
        <v>https://ai.meta.com/</v>
      </c>
      <c r="K135" s="30" t="str">
        <f>IF(Projects[[#This Row],[Link1]]="","",Projects[[#This Row],[Link1]])</f>
        <v>https://rm.coe.int/cepej-gt-cyberjust-2023-5final-en-note-on-generative-ai/1680ae8e01</v>
      </c>
      <c r="L135" s="19" t="str">
        <f>_xlfn.XLOOKUP(Projects[[#This Row],[Implemented by]],Table3[Implemented by],Table3[ImplementedFR],"",FALSE)</f>
        <v>Privé</v>
      </c>
      <c r="M135" s="19" t="str">
        <f>_xlfn.XLOOKUP(Projects[[#This Row],[Target audience]],Table4[Target audience],Table4[Target audienceFR],"",FALSE)</f>
        <v>Usagers des tribunaux (Grand public)</v>
      </c>
      <c r="N135" s="19" t="str">
        <f>IF(Projects[[#This Row],[Target audience2]]="","",_xlfn.XLOOKUP(Projects[[#This Row],[Target audience2]],Table4[Target audience],Table4[Target audienceFR],"Check",FALSE))</f>
        <v>Juges/greffiers</v>
      </c>
      <c r="O135" s="19" t="str">
        <f>IF(Projects[[#This Row],[Target audience3]]="","",_xlfn.XLOOKUP(Projects[[#This Row],[Target audience3]],Table4[Target audience],Table4[Target audienceFR],"Check",FALSE))</f>
        <v>Avocats</v>
      </c>
      <c r="P135" s="19" t="str">
        <f>IF(Projects[[#This Row],[Target audience4]]="","",_xlfn.XLOOKUP(Projects[[#This Row],[Target audience4]],Table4[Target audience],Table4[Target audienceFR],"Check",FALSE))</f>
        <v/>
      </c>
      <c r="Q135" s="19" t="str">
        <f>IF(Projects[[#This Row],[Target audience5]]="","",_xlfn.XLOOKUP(Projects[[#This Row],[Target audience5]],Table4[Target audience],Table4[Target audienceFR],"Check",FALSE))</f>
        <v/>
      </c>
      <c r="R135" s="19" t="str">
        <f>_xlfn.XLOOKUP(Projects[[#This Row],[Status]],Table8[Status],Table8[StatusFR],"",FALSE)</f>
        <v>Fonctionnel</v>
      </c>
      <c r="S135" s="19" t="str">
        <f>_xlfn.XLOOKUP(Projects[[#This Row],[Coverage]],Table7[Coverage],Table7[CoverageFR],"",FALSE)</f>
        <v>International</v>
      </c>
      <c r="T135" s="31" t="str">
        <f>IF(Projects[[#This Row],[To publish]]="","",Projects[[#This Row],[To publish]])</f>
        <v>Batch 6</v>
      </c>
    </row>
    <row r="136" spans="1:20" ht="375" x14ac:dyDescent="0.25">
      <c r="A136" s="19">
        <f>Projects[[#This Row],[NR]]</f>
        <v>177</v>
      </c>
      <c r="B136" s="19" t="str">
        <f>IF(Projects[[#This Row],[Title]]="","",Projects[[#This Row],[Title]])</f>
        <v>Perplexity AI: GPT, but also other LLMs – Conversational search engine, query-based tools</v>
      </c>
      <c r="C136" s="19" t="str">
        <f>IF(Projects[[#This Row],[AI Relevance]]="","",Projects[[#This Row],[AI Relevance]])</f>
        <v>AI</v>
      </c>
      <c r="D136" s="19" t="str">
        <f>_xlfn.XLOOKUP(Projects[[#This Row],[Area1]],Table1[Area],Table1[FRArea],"Check",FALSE)</f>
        <v>8 - Services d'information/assistance</v>
      </c>
      <c r="E136" s="19" t="str">
        <f>IF(Projects[[#This Row],[Area2]]="","",_xlfn.XLOOKUP(Projects[[#This Row],[Area2]],Table1[Area],Table1[FRArea],"Check",FALSE))</f>
        <v>4 - Aide à la décision</v>
      </c>
      <c r="F136" s="19">
        <f>IF(Projects[[#This Row],[Year]]="","",Projects[[#This Row],[Year]])</f>
        <v>2022</v>
      </c>
      <c r="G136" s="19" t="str">
        <f>_xlfn.XLOOKUP(Projects[[#This Row],[Country]],Table2[Country],Table2[Pays],"Check",FALSE)</f>
        <v>Etats-Unis</v>
      </c>
      <c r="H136" s="19" t="str">
        <f>IF(Projects[[#This Row],[Description]]="","",Projects[[#This Row],[Description]])</f>
        <v>Perplexity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6" s="29" t="str">
        <f>IF(Projects[[#This Row],[DescriptionFR]]="","",Projects[[#This Row],[DescriptionFR]])</f>
        <v>Perplexity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6" s="30" t="str">
        <f>IF(Projects[[#This Row],[Link]]="","",Projects[[#This Row],[Link]])</f>
        <v>https://www.perplexity.ai</v>
      </c>
      <c r="K136" s="30" t="str">
        <f>IF(Projects[[#This Row],[Link1]]="","",Projects[[#This Row],[Link1]])</f>
        <v>https://rm.coe.int/cepej-gt-cyberjust-2023-5final-en-note-on-generative-ai/1680ae8e01</v>
      </c>
      <c r="L136" s="19" t="str">
        <f>_xlfn.XLOOKUP(Projects[[#This Row],[Implemented by]],Table3[Implemented by],Table3[ImplementedFR],"",FALSE)</f>
        <v>Privé</v>
      </c>
      <c r="M136" s="19" t="str">
        <f>_xlfn.XLOOKUP(Projects[[#This Row],[Target audience]],Table4[Target audience],Table4[Target audienceFR],"",FALSE)</f>
        <v>Usagers des tribunaux (Grand public)</v>
      </c>
      <c r="N136" s="19" t="str">
        <f>IF(Projects[[#This Row],[Target audience2]]="","",_xlfn.XLOOKUP(Projects[[#This Row],[Target audience2]],Table4[Target audience],Table4[Target audienceFR],"Check",FALSE))</f>
        <v>Juges/greffiers</v>
      </c>
      <c r="O136" s="19" t="str">
        <f>IF(Projects[[#This Row],[Target audience3]]="","",_xlfn.XLOOKUP(Projects[[#This Row],[Target audience3]],Table4[Target audience],Table4[Target audienceFR],"Check",FALSE))</f>
        <v>Avocats</v>
      </c>
      <c r="P136" s="19" t="str">
        <f>IF(Projects[[#This Row],[Target audience4]]="","",_xlfn.XLOOKUP(Projects[[#This Row],[Target audience4]],Table4[Target audience],Table4[Target audienceFR],"Check",FALSE))</f>
        <v/>
      </c>
      <c r="Q136" s="19" t="str">
        <f>IF(Projects[[#This Row],[Target audience5]]="","",_xlfn.XLOOKUP(Projects[[#This Row],[Target audience5]],Table4[Target audience],Table4[Target audienceFR],"Check",FALSE))</f>
        <v/>
      </c>
      <c r="R136" s="19" t="str">
        <f>_xlfn.XLOOKUP(Projects[[#This Row],[Status]],Table8[Status],Table8[StatusFR],"",FALSE)</f>
        <v>Fonctionnel</v>
      </c>
      <c r="S136" s="19" t="str">
        <f>_xlfn.XLOOKUP(Projects[[#This Row],[Coverage]],Table7[Coverage],Table7[CoverageFR],"",FALSE)</f>
        <v>International</v>
      </c>
      <c r="T136" s="31" t="str">
        <f>IF(Projects[[#This Row],[To publish]]="","",Projects[[#This Row],[To publish]])</f>
        <v>Batch 6</v>
      </c>
    </row>
    <row r="137" spans="1:20" ht="375" x14ac:dyDescent="0.25">
      <c r="A137" s="19">
        <f>Projects[[#This Row],[NR]]</f>
        <v>179</v>
      </c>
      <c r="B137" s="19" t="str">
        <f>IF(Projects[[#This Row],[Title]]="","",Projects[[#This Row],[Title]])</f>
        <v>Mistral Le Chat: Mistral LLM (open-weight) – Chatbots and conversational tools</v>
      </c>
      <c r="C137" s="19" t="str">
        <f>IF(Projects[[#This Row],[AI Relevance]]="","",Projects[[#This Row],[AI Relevance]])</f>
        <v>AI</v>
      </c>
      <c r="D137" s="19" t="str">
        <f>_xlfn.XLOOKUP(Projects[[#This Row],[Area1]],Table1[Area],Table1[FRArea],"Check",FALSE)</f>
        <v>8 - Services d'information/assistance</v>
      </c>
      <c r="E137" s="19" t="str">
        <f>IF(Projects[[#This Row],[Area2]]="","",_xlfn.XLOOKUP(Projects[[#This Row],[Area2]],Table1[Area],Table1[FRArea],"Check",FALSE))</f>
        <v>4 - Aide à la décision</v>
      </c>
      <c r="F137" s="19">
        <f>IF(Projects[[#This Row],[Year]]="","",Projects[[#This Row],[Year]])</f>
        <v>2024</v>
      </c>
      <c r="G137" s="19" t="str">
        <f>_xlfn.XLOOKUP(Projects[[#This Row],[Country]],Table2[Country],Table2[Pays],"Check",FALSE)</f>
        <v>France</v>
      </c>
      <c r="H137" s="19" t="str">
        <f>IF(Projects[[#This Row],[Description]]="","",Projects[[#This Row],[Description]])</f>
        <v>Mistral le Chat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7" s="29" t="str">
        <f>IF(Projects[[#This Row],[DescriptionFR]]="","",Projects[[#This Row],[DescriptionFR]])</f>
        <v>Mistral le Chat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7" s="30" t="str">
        <f>IF(Projects[[#This Row],[Link]]="","",Projects[[#This Row],[Link]])</f>
        <v>https://chat.mistral.ai/chat</v>
      </c>
      <c r="K137" s="30" t="str">
        <f>IF(Projects[[#This Row],[Link1]]="","",Projects[[#This Row],[Link1]])</f>
        <v>https://rm.coe.int/cepej-gt-cyberjust-2023-5final-en-note-on-generative-ai/1680ae8e01</v>
      </c>
      <c r="L137" s="19" t="str">
        <f>_xlfn.XLOOKUP(Projects[[#This Row],[Implemented by]],Table3[Implemented by],Table3[ImplementedFR],"",FALSE)</f>
        <v>Privé</v>
      </c>
      <c r="M137" s="19" t="str">
        <f>_xlfn.XLOOKUP(Projects[[#This Row],[Target audience]],Table4[Target audience],Table4[Target audienceFR],"",FALSE)</f>
        <v>Usagers des tribunaux (Grand public)</v>
      </c>
      <c r="N137" s="19" t="str">
        <f>IF(Projects[[#This Row],[Target audience2]]="","",_xlfn.XLOOKUP(Projects[[#This Row],[Target audience2]],Table4[Target audience],Table4[Target audienceFR],"Check",FALSE))</f>
        <v>Juges/greffiers</v>
      </c>
      <c r="O137" s="19" t="str">
        <f>IF(Projects[[#This Row],[Target audience3]]="","",_xlfn.XLOOKUP(Projects[[#This Row],[Target audience3]],Table4[Target audience],Table4[Target audienceFR],"Check",FALSE))</f>
        <v>Avocats</v>
      </c>
      <c r="P137" s="19" t="str">
        <f>IF(Projects[[#This Row],[Target audience4]]="","",_xlfn.XLOOKUP(Projects[[#This Row],[Target audience4]],Table4[Target audience],Table4[Target audienceFR],"Check",FALSE))</f>
        <v/>
      </c>
      <c r="Q137" s="19" t="str">
        <f>IF(Projects[[#This Row],[Target audience5]]="","",_xlfn.XLOOKUP(Projects[[#This Row],[Target audience5]],Table4[Target audience],Table4[Target audienceFR],"Check",FALSE))</f>
        <v/>
      </c>
      <c r="R137" s="19" t="str">
        <f>_xlfn.XLOOKUP(Projects[[#This Row],[Status]],Table8[Status],Table8[StatusFR],"",FALSE)</f>
        <v>Fonctionnel</v>
      </c>
      <c r="S137" s="19" t="str">
        <f>_xlfn.XLOOKUP(Projects[[#This Row],[Coverage]],Table7[Coverage],Table7[CoverageFR],"",FALSE)</f>
        <v>International</v>
      </c>
      <c r="T137" s="31" t="str">
        <f>IF(Projects[[#This Row],[To publish]]="","",Projects[[#This Row],[To publish]])</f>
        <v>Batch 6</v>
      </c>
    </row>
    <row r="138" spans="1:20" ht="375" x14ac:dyDescent="0.25">
      <c r="A138" s="19">
        <f>Projects[[#This Row],[NR]]</f>
        <v>181</v>
      </c>
      <c r="B138" s="19" t="str">
        <f>IF(Projects[[#This Row],[Title]]="","",Projects[[#This Row],[Title]])</f>
        <v>DeepSeek: LLM + Search Models – Knowledge exploration, information retrieval tools</v>
      </c>
      <c r="C138" s="19" t="str">
        <f>IF(Projects[[#This Row],[AI Relevance]]="","",Projects[[#This Row],[AI Relevance]])</f>
        <v>AI</v>
      </c>
      <c r="D138" s="19" t="str">
        <f>_xlfn.XLOOKUP(Projects[[#This Row],[Area1]],Table1[Area],Table1[FRArea],"Check",FALSE)</f>
        <v>8 - Services d'information/assistance</v>
      </c>
      <c r="E138" s="19" t="str">
        <f>IF(Projects[[#This Row],[Area2]]="","",_xlfn.XLOOKUP(Projects[[#This Row],[Area2]],Table1[Area],Table1[FRArea],"Check",FALSE))</f>
        <v>4 - Aide à la décision</v>
      </c>
      <c r="F138" s="19">
        <f>IF(Projects[[#This Row],[Year]]="","",Projects[[#This Row],[Year]])</f>
        <v>2024</v>
      </c>
      <c r="G138" s="19" t="str">
        <f>_xlfn.XLOOKUP(Projects[[#This Row],[Country]],Table2[Country],Table2[Pays],"Check",FALSE)</f>
        <v>Chine</v>
      </c>
      <c r="H138" s="19" t="str">
        <f>IF(Projects[[#This Row],[Description]]="","",Projects[[#This Row],[Description]])</f>
        <v>DeepSeek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8" s="29" t="str">
        <f>IF(Projects[[#This Row],[DescriptionFR]]="","",Projects[[#This Row],[DescriptionFR]])</f>
        <v>DeepSeek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8" s="30" t="str">
        <f>IF(Projects[[#This Row],[Link]]="","",Projects[[#This Row],[Link]])</f>
        <v>https://www.deepseek.com</v>
      </c>
      <c r="K138" s="30" t="str">
        <f>IF(Projects[[#This Row],[Link1]]="","",Projects[[#This Row],[Link1]])</f>
        <v>https://rm.coe.int/cepej-gt-cyberjust-2023-5final-en-note-on-generative-ai/1680ae8e01</v>
      </c>
      <c r="L138" s="19" t="str">
        <f>_xlfn.XLOOKUP(Projects[[#This Row],[Implemented by]],Table3[Implemented by],Table3[ImplementedFR],"",FALSE)</f>
        <v>Privé</v>
      </c>
      <c r="M138" s="19" t="str">
        <f>_xlfn.XLOOKUP(Projects[[#This Row],[Target audience]],Table4[Target audience],Table4[Target audienceFR],"",FALSE)</f>
        <v>Usagers des tribunaux (Grand public)</v>
      </c>
      <c r="N138" s="19" t="str">
        <f>IF(Projects[[#This Row],[Target audience2]]="","",_xlfn.XLOOKUP(Projects[[#This Row],[Target audience2]],Table4[Target audience],Table4[Target audienceFR],"Check",FALSE))</f>
        <v>Juges/greffiers</v>
      </c>
      <c r="O138" s="19" t="str">
        <f>IF(Projects[[#This Row],[Target audience3]]="","",_xlfn.XLOOKUP(Projects[[#This Row],[Target audience3]],Table4[Target audience],Table4[Target audienceFR],"Check",FALSE))</f>
        <v>Avocats</v>
      </c>
      <c r="P138" s="19" t="str">
        <f>IF(Projects[[#This Row],[Target audience4]]="","",_xlfn.XLOOKUP(Projects[[#This Row],[Target audience4]],Table4[Target audience],Table4[Target audienceFR],"Check",FALSE))</f>
        <v/>
      </c>
      <c r="Q138" s="19" t="str">
        <f>IF(Projects[[#This Row],[Target audience5]]="","",_xlfn.XLOOKUP(Projects[[#This Row],[Target audience5]],Table4[Target audience],Table4[Target audienceFR],"Check",FALSE))</f>
        <v/>
      </c>
      <c r="R138" s="19" t="str">
        <f>_xlfn.XLOOKUP(Projects[[#This Row],[Status]],Table8[Status],Table8[StatusFR],"",FALSE)</f>
        <v>Fonctionnel</v>
      </c>
      <c r="S138" s="19" t="str">
        <f>_xlfn.XLOOKUP(Projects[[#This Row],[Coverage]],Table7[Coverage],Table7[CoverageFR],"",FALSE)</f>
        <v>International</v>
      </c>
      <c r="T138" s="31" t="str">
        <f>IF(Projects[[#This Row],[To publish]]="","",Projects[[#This Row],[To publish]])</f>
        <v>Batch 6</v>
      </c>
    </row>
    <row r="139" spans="1:20" ht="360" x14ac:dyDescent="0.25">
      <c r="A139" s="19">
        <f>Projects[[#This Row],[NR]]</f>
        <v>183</v>
      </c>
      <c r="B139" s="19" t="str">
        <f>IF(Projects[[#This Row],[Title]]="","",Projects[[#This Row],[Title]])</f>
        <v>Grok: Grok LLM (by xAI) – Chatbots, AI for social media, customer service</v>
      </c>
      <c r="C139" s="19" t="str">
        <f>IF(Projects[[#This Row],[AI Relevance]]="","",Projects[[#This Row],[AI Relevance]])</f>
        <v>AI</v>
      </c>
      <c r="D139" s="19" t="str">
        <f>_xlfn.XLOOKUP(Projects[[#This Row],[Area1]],Table1[Area],Table1[FRArea],"Check",FALSE)</f>
        <v>8 - Services d'information/assistance</v>
      </c>
      <c r="E139" s="19" t="str">
        <f>IF(Projects[[#This Row],[Area2]]="","",_xlfn.XLOOKUP(Projects[[#This Row],[Area2]],Table1[Area],Table1[FRArea],"Check",FALSE))</f>
        <v>4 - Aide à la décision</v>
      </c>
      <c r="F139" s="19">
        <f>IF(Projects[[#This Row],[Year]]="","",Projects[[#This Row],[Year]])</f>
        <v>2025</v>
      </c>
      <c r="G139" s="19" t="str">
        <f>_xlfn.XLOOKUP(Projects[[#This Row],[Country]],Table2[Country],Table2[Pays],"Check",FALSE)</f>
        <v>Etats-Unis</v>
      </c>
      <c r="H139" s="19" t="str">
        <f>IF(Projects[[#This Row],[Description]]="","",Projects[[#This Row],[Description]])</f>
        <v>Grok is a publicly accessible generative AI system that has been used by legal professionals in their work (even though, it is not specifically designed for the legal sector). It is a conversational search engine that uses large language models (LLMs) trained on general data to answer queries using sources from the web. Essential information on the functioning and use of generative AI: CEPEJ  Information note on the Use of Generative AI by judicial professionals in a work-related context .</v>
      </c>
      <c r="I139" s="29" t="str">
        <f>IF(Projects[[#This Row],[DescriptionFR]]="","",Projects[[#This Row],[DescriptionFR]])</f>
        <v>Grok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professionnel.XXX est un système d'IA générative accessible au public qui a été utilisé par des professionnels du droit dans leur travail (même s'il n'est pas spécifiquement conçu pour le secteur juridique). Il s'agit d'un moteur de recherche conversationnel qui utilise de grands modèles de langage (LMM) formés sur des données générales pour répondre à des requêtes à partir de sources provenant du web. Informations essentielles sur le fonctionnement et l'utilisation de l'IA générative : CEPEJ  Note d'information sur l'utilisation de l'IA générative par les professionnels de la justice dans un contexte professionnel.</v>
      </c>
      <c r="J139" s="30" t="str">
        <f>IF(Projects[[#This Row],[Link]]="","",Projects[[#This Row],[Link]])</f>
        <v>https://x.ai/grok</v>
      </c>
      <c r="K139" s="30" t="str">
        <f>IF(Projects[[#This Row],[Link1]]="","",Projects[[#This Row],[Link1]])</f>
        <v>https://rm.coe.int/cepej-gt-cyberjust-2023-5final-en-note-on-generative-ai/1680ae8e01</v>
      </c>
      <c r="L139" s="19" t="str">
        <f>_xlfn.XLOOKUP(Projects[[#This Row],[Implemented by]],Table3[Implemented by],Table3[ImplementedFR],"",FALSE)</f>
        <v>Privé</v>
      </c>
      <c r="M139" s="19" t="str">
        <f>_xlfn.XLOOKUP(Projects[[#This Row],[Target audience]],Table4[Target audience],Table4[Target audienceFR],"",FALSE)</f>
        <v>Usagers des tribunaux (Grand public)</v>
      </c>
      <c r="N139" s="19" t="str">
        <f>IF(Projects[[#This Row],[Target audience2]]="","",_xlfn.XLOOKUP(Projects[[#This Row],[Target audience2]],Table4[Target audience],Table4[Target audienceFR],"Check",FALSE))</f>
        <v>Juges/greffiers</v>
      </c>
      <c r="O139" s="19" t="str">
        <f>IF(Projects[[#This Row],[Target audience3]]="","",_xlfn.XLOOKUP(Projects[[#This Row],[Target audience3]],Table4[Target audience],Table4[Target audienceFR],"Check",FALSE))</f>
        <v>Avocats</v>
      </c>
      <c r="P139" s="19" t="str">
        <f>IF(Projects[[#This Row],[Target audience4]]="","",_xlfn.XLOOKUP(Projects[[#This Row],[Target audience4]],Table4[Target audience],Table4[Target audienceFR],"Check",FALSE))</f>
        <v/>
      </c>
      <c r="Q139" s="19" t="str">
        <f>IF(Projects[[#This Row],[Target audience5]]="","",_xlfn.XLOOKUP(Projects[[#This Row],[Target audience5]],Table4[Target audience],Table4[Target audienceFR],"Check",FALSE))</f>
        <v/>
      </c>
      <c r="R139" s="19" t="str">
        <f>_xlfn.XLOOKUP(Projects[[#This Row],[Status]],Table8[Status],Table8[StatusFR],"",FALSE)</f>
        <v>Fonctionnel</v>
      </c>
      <c r="S139" s="19" t="str">
        <f>_xlfn.XLOOKUP(Projects[[#This Row],[Coverage]],Table7[Coverage],Table7[CoverageFR],"",FALSE)</f>
        <v>International</v>
      </c>
      <c r="T139" s="31" t="str">
        <f>IF(Projects[[#This Row],[To publish]]="","",Projects[[#This Row],[To publish]])</f>
        <v>Batch 6</v>
      </c>
    </row>
    <row r="140" spans="1:20" ht="405" x14ac:dyDescent="0.25">
      <c r="A140" s="19">
        <f>Projects[[#This Row],[NR]]</f>
        <v>184</v>
      </c>
      <c r="B140" s="19" t="str">
        <f>IF(Projects[[#This Row],[Title]]="","",Projects[[#This Row],[Title]])</f>
        <v>StruKI (Strukturierung mit Künstlicher Intelligenz)</v>
      </c>
      <c r="C140" s="19" t="str">
        <f>IF(Projects[[#This Row],[AI Relevance]]="","",Projects[[#This Row],[AI Relevance]])</f>
        <v>AI</v>
      </c>
      <c r="D140" s="19" t="str">
        <f>_xlfn.XLOOKUP(Projects[[#This Row],[Area1]],Table1[Area],Table1[FRArea],"Check",FALSE)</f>
        <v>4 - Aide à la décision</v>
      </c>
      <c r="E140" s="19" t="str">
        <f>IF(Projects[[#This Row],[Area2]]="","",_xlfn.XLOOKUP(Projects[[#This Row],[Area2]],Table1[Area],Table1[FRArea],"Check",FALSE))</f>
        <v/>
      </c>
      <c r="F140" s="19">
        <f>IF(Projects[[#This Row],[Year]]="","",Projects[[#This Row],[Year]])</f>
        <v>2025</v>
      </c>
      <c r="G140" s="19" t="str">
        <f>_xlfn.XLOOKUP(Projects[[#This Row],[Country]],Table2[Country],Table2[Pays],"Check",FALSE)</f>
        <v>Allemagne</v>
      </c>
      <c r="H140" s="19" t="str">
        <f>IF(Projects[[#This Row],[Description]]="","",Projects[[#This Row],[Description]])</f>
        <v>The aim of the ‘StruKI’ (structuring with AI) project is to develop a universal structuring tool for legal proceedings based on an AI application. The structuring tool should include the option of comprehensive processing of all data from a court case. The introduction of the e-file, which contains all the data relating to a court case or legal proceedings in digital form, makes it possible to develop AI assistance systems for a range of activities in the justice system. Their role in structuring process information is particularly important. AI can be used to structure process information such as court documents, evidence or witness statements, thus efficiently supporting the legal process.
The aim of the ‘StruKI’ project is to provide an AI-based structuring tool to relieve the workload in the judiciary and to support work processes that would otherwise lead to a significant increase in work. This includes the AI-supported processing of applications for financial support in court proceedings (legal aid), the preparation of cost orders in mass proceedings, the anonymisation of documents, and much more.</v>
      </c>
      <c r="I140" s="29" t="str">
        <f>IF(Projects[[#This Row],[DescriptionFR]]="","",Projects[[#This Row],[DescriptionFR]])</f>
        <v>Le projet «StruKI» (Structuration avec IA) vise à développer un outil de structuration universel pour les dossiers de procédure judiciaire sur la base d'une application d'IA. L'outil de structuration doit permettre le traitement complet de toutes les données d'une procédure judiciaire. L'introduction du dossier électronique, qui contient toutes les données d'une procédure judiciaire ou d'un procès sous forme numérique, permet de développer des systèmes d'assistance par l'IA pour diverses activités dans le domaine de la justice. Leur rôle dans la structuration des informations relatives aux procédures est particulièrement important. Les informations relatives aux procédures, telles que les documents judiciaires, les preuves ou les dépositions de témoins, peuvent être structurées à l'aide de l'IA et ainsi soutenir efficacement le processus juridique.
L'objectif du projet «StruKI» est de fournir un outil de structuration basé sur l'IA afin de faciliter le travail dans le système judiciaire et de soutenir les processus de travail qui, autrement, entraîneraient une charge de travail supplémentaire considérable. Cela inclut également le traitement assisté par IA des demandes d'aide financière dans le cadre de procédures judiciaires (aide juridictionnelle), la préparation de décisions de coûts dans les procédures de masse, l'anonymisation de documents, etc.</v>
      </c>
      <c r="J140" s="30" t="str">
        <f>IF(Projects[[#This Row],[Link]]="","",Projects[[#This Row],[Link]])</f>
        <v>https://www.bmj.de/DE/themen/digitales/digitalisierung_justiz/digitalisierungsinitiative/laendervorhaben/_doc/artikel_vorhaben_07_struki.html</v>
      </c>
      <c r="K140" s="30" t="str">
        <f>IF(Projects[[#This Row],[Link1]]="","",Projects[[#This Row],[Link1]])</f>
        <v/>
      </c>
      <c r="L140" s="19" t="str">
        <f>_xlfn.XLOOKUP(Projects[[#This Row],[Implemented by]],Table3[Implemented by],Table3[ImplementedFR],"",FALSE)</f>
        <v xml:space="preserve">Publique </v>
      </c>
      <c r="M140" s="19" t="str">
        <f>_xlfn.XLOOKUP(Projects[[#This Row],[Target audience]],Table4[Target audience],Table4[Target audienceFR],"",FALSE)</f>
        <v>Juges/greffiers</v>
      </c>
      <c r="N140" s="19" t="str">
        <f>IF(Projects[[#This Row],[Target audience2]]="","",_xlfn.XLOOKUP(Projects[[#This Row],[Target audience2]],Table4[Target audience],Table4[Target audienceFR],"Check",FALSE))</f>
        <v/>
      </c>
      <c r="O140" s="19" t="str">
        <f>IF(Projects[[#This Row],[Target audience3]]="","",_xlfn.XLOOKUP(Projects[[#This Row],[Target audience3]],Table4[Target audience],Table4[Target audienceFR],"Check",FALSE))</f>
        <v/>
      </c>
      <c r="P140" s="19" t="str">
        <f>IF(Projects[[#This Row],[Target audience4]]="","",_xlfn.XLOOKUP(Projects[[#This Row],[Target audience4]],Table4[Target audience],Table4[Target audienceFR],"Check",FALSE))</f>
        <v/>
      </c>
      <c r="Q140" s="19" t="str">
        <f>IF(Projects[[#This Row],[Target audience5]]="","",_xlfn.XLOOKUP(Projects[[#This Row],[Target audience5]],Table4[Target audience],Table4[Target audienceFR],"Check",FALSE))</f>
        <v/>
      </c>
      <c r="R140" s="19" t="str">
        <f>_xlfn.XLOOKUP(Projects[[#This Row],[Status]],Table8[Status],Table8[StatusFR],"",FALSE)</f>
        <v>Concept/prévu</v>
      </c>
      <c r="S140" s="19" t="str">
        <f>_xlfn.XLOOKUP(Projects[[#This Row],[Coverage]],Table7[Coverage],Table7[CoverageFR],"",FALSE)</f>
        <v xml:space="preserve">National </v>
      </c>
      <c r="T140" s="31" t="str">
        <f>IF(Projects[[#This Row],[To publish]]="","",Projects[[#This Row],[To publish]])</f>
        <v>Batch 6</v>
      </c>
    </row>
    <row r="141" spans="1:20" ht="150" x14ac:dyDescent="0.25">
      <c r="A141" s="19">
        <f>Projects[[#This Row],[NR]]</f>
        <v>185</v>
      </c>
      <c r="B141" s="19" t="str">
        <f>IF(Projects[[#This Row],[Title]]="","",Projects[[#This Row],[Title]])</f>
        <v>ChatJT - Labour Justice Tool - Chatbot of the Brazilian Labour Court</v>
      </c>
      <c r="C141" s="19" t="str">
        <f>IF(Projects[[#This Row],[AI Relevance]]="","",Projects[[#This Row],[AI Relevance]])</f>
        <v>AI</v>
      </c>
      <c r="D141" s="19" t="str">
        <f>_xlfn.XLOOKUP(Projects[[#This Row],[Area1]],Table1[Area],Table1[FRArea],"Check",FALSE)</f>
        <v>4 - Aide à la décision</v>
      </c>
      <c r="E141" s="19" t="str">
        <f>IF(Projects[[#This Row],[Area2]]="","",_xlfn.XLOOKUP(Projects[[#This Row],[Area2]],Table1[Area],Table1[FRArea],"Check",FALSE))</f>
        <v/>
      </c>
      <c r="F141" s="19">
        <f>IF(Projects[[#This Row],[Year]]="","",Projects[[#This Row],[Year]])</f>
        <v>2025</v>
      </c>
      <c r="G141" s="19" t="str">
        <f>_xlfn.XLOOKUP(Projects[[#This Row],[Country]],Table2[Country],Table2[Pays],"Check",FALSE)</f>
        <v>Brésil</v>
      </c>
      <c r="H141" s="19" t="str">
        <f>IF(Projects[[#This Row],[Description]]="","",Projects[[#This Row],[Description]])</f>
        <v>ChatJT is a generative AI tool, supporting judges in the decision making. It is trained with all case law from the Brazilian Labor Court, from the Superior Labor Court to First-Instance Courts and available to all judges and staff members of the Brazilian Labor Court. It is based on Based on an open-source platform called “Hugging Face” and ser-provided data is not used to train the underlying model.</v>
      </c>
      <c r="I141" s="29" t="str">
        <f>IF(Projects[[#This Row],[DescriptionFR]]="","",Projects[[#This Row],[DescriptionFR]])</f>
        <v>ChatJT est un outil d'IA générative qui aide les juges à prendre des décisions. Il est formé à partir de toutes les affaires de la Cour du travail brésilienne, de la Cour supérieure du travail aux tribunaux de première instance, et est accessible à tous les juges et membres du personnel de la Cour du travail brésilienne. Il est basé sur une plateforme open source appelée « Hugging Face » et les données fournies par les services ne sont pas utilisées pour former le modèle sous-jacent.</v>
      </c>
      <c r="J141" s="30" t="str">
        <f>IF(Projects[[#This Row],[Link]]="","",Projects[[#This Row],[Link]])</f>
        <v>https://rm.coe.int/internal-system/4880299b55</v>
      </c>
      <c r="K141" s="30" t="str">
        <f>IF(Projects[[#This Row],[Link1]]="","",Projects[[#This Row],[Link1]])</f>
        <v/>
      </c>
      <c r="L141" s="19" t="str">
        <f>_xlfn.XLOOKUP(Projects[[#This Row],[Implemented by]],Table3[Implemented by],Table3[ImplementedFR],"",FALSE)</f>
        <v xml:space="preserve">Publique </v>
      </c>
      <c r="M141" s="19" t="str">
        <f>_xlfn.XLOOKUP(Projects[[#This Row],[Target audience]],Table4[Target audience],Table4[Target audienceFR],"",FALSE)</f>
        <v>Juges/greffiers</v>
      </c>
      <c r="N141" s="19" t="str">
        <f>IF(Projects[[#This Row],[Target audience2]]="","",_xlfn.XLOOKUP(Projects[[#This Row],[Target audience2]],Table4[Target audience],Table4[Target audienceFR],"Check",FALSE))</f>
        <v/>
      </c>
      <c r="O141" s="19" t="str">
        <f>IF(Projects[[#This Row],[Target audience3]]="","",_xlfn.XLOOKUP(Projects[[#This Row],[Target audience3]],Table4[Target audience],Table4[Target audienceFR],"Check",FALSE))</f>
        <v/>
      </c>
      <c r="P141" s="19" t="str">
        <f>IF(Projects[[#This Row],[Target audience4]]="","",_xlfn.XLOOKUP(Projects[[#This Row],[Target audience4]],Table4[Target audience],Table4[Target audienceFR],"Check",FALSE))</f>
        <v/>
      </c>
      <c r="Q141" s="19" t="str">
        <f>IF(Projects[[#This Row],[Target audience5]]="","",_xlfn.XLOOKUP(Projects[[#This Row],[Target audience5]],Table4[Target audience],Table4[Target audienceFR],"Check",FALSE))</f>
        <v/>
      </c>
      <c r="R141" s="19" t="str">
        <f>_xlfn.XLOOKUP(Projects[[#This Row],[Status]],Table8[Status],Table8[StatusFR],"",FALSE)</f>
        <v>Fonctionnel</v>
      </c>
      <c r="S141" s="19" t="str">
        <f>_xlfn.XLOOKUP(Projects[[#This Row],[Coverage]],Table7[Coverage],Table7[CoverageFR],"",FALSE)</f>
        <v xml:space="preserve">National </v>
      </c>
      <c r="T141" s="31" t="str">
        <f>IF(Projects[[#This Row],[To publish]]="","",Projects[[#This Row],[To publish]])</f>
        <v>Batch 6</v>
      </c>
    </row>
    <row r="142" spans="1:20" ht="30" x14ac:dyDescent="0.25">
      <c r="A142" s="19">
        <f>Projects[[#This Row],[NR]]</f>
        <v>186</v>
      </c>
      <c r="B142" s="19" t="str">
        <f>IF(Projects[[#This Row],[Title]]="","",Projects[[#This Row],[Title]])</f>
        <v xml:space="preserve">AI speech recognition </v>
      </c>
      <c r="C142" s="19" t="str">
        <f>IF(Projects[[#This Row],[AI Relevance]]="","",Projects[[#This Row],[AI Relevance]])</f>
        <v>AI</v>
      </c>
      <c r="D142" s="19" t="str">
        <f>_xlfn.XLOOKUP(Projects[[#This Row],[Area1]],Table1[Area],Table1[FRArea],"Check",FALSE)</f>
        <v>7 - Enregistrement, transcription et traduction</v>
      </c>
      <c r="E142" s="19" t="str">
        <f>IF(Projects[[#This Row],[Area2]]="","",_xlfn.XLOOKUP(Projects[[#This Row],[Area2]],Table1[Area],Table1[FRArea],"Check",FALSE))</f>
        <v/>
      </c>
      <c r="F142" s="19">
        <f>IF(Projects[[#This Row],[Year]]="","",Projects[[#This Row],[Year]])</f>
        <v>2023</v>
      </c>
      <c r="G142" s="19" t="str">
        <f>_xlfn.XLOOKUP(Projects[[#This Row],[Country]],Table2[Country],Table2[Pays],"Check",FALSE)</f>
        <v>Islande</v>
      </c>
      <c r="H142" s="19" t="str">
        <f>IF(Projects[[#This Row],[Description]]="","",Projects[[#This Row],[Description]])</f>
        <v xml:space="preserve">Tool used for the transcription of  court proceedings. </v>
      </c>
      <c r="I142" s="29" t="str">
        <f>IF(Projects[[#This Row],[DescriptionFR]]="","",Projects[[#This Row],[DescriptionFR]])</f>
        <v>Outil utilisé pour la transcription des procédures judiciaires.</v>
      </c>
      <c r="J142" s="30" t="str">
        <f>IF(Projects[[#This Row],[Link]]="","",Projects[[#This Row],[Link]])</f>
        <v>https://rm.coe.int/internal-system/4880299b55</v>
      </c>
      <c r="K142" s="30" t="str">
        <f>IF(Projects[[#This Row],[Link1]]="","",Projects[[#This Row],[Link1]])</f>
        <v/>
      </c>
      <c r="L142" s="19" t="str">
        <f>_xlfn.XLOOKUP(Projects[[#This Row],[Implemented by]],Table3[Implemented by],Table3[ImplementedFR],"",FALSE)</f>
        <v xml:space="preserve">Publique </v>
      </c>
      <c r="M142" s="19" t="str">
        <f>_xlfn.XLOOKUP(Projects[[#This Row],[Target audience]],Table4[Target audience],Table4[Target audienceFR],"",FALSE)</f>
        <v>Juges/greffiers</v>
      </c>
      <c r="N142" s="19" t="str">
        <f>IF(Projects[[#This Row],[Target audience2]]="","",_xlfn.XLOOKUP(Projects[[#This Row],[Target audience2]],Table4[Target audience],Table4[Target audienceFR],"Check",FALSE))</f>
        <v>Gestion</v>
      </c>
      <c r="O142" s="19" t="str">
        <f>IF(Projects[[#This Row],[Target audience3]]="","",_xlfn.XLOOKUP(Projects[[#This Row],[Target audience3]],Table4[Target audience],Table4[Target audienceFR],"Check",FALSE))</f>
        <v/>
      </c>
      <c r="P142" s="19" t="str">
        <f>IF(Projects[[#This Row],[Target audience4]]="","",_xlfn.XLOOKUP(Projects[[#This Row],[Target audience4]],Table4[Target audience],Table4[Target audienceFR],"Check",FALSE))</f>
        <v/>
      </c>
      <c r="Q142" s="19" t="str">
        <f>IF(Projects[[#This Row],[Target audience5]]="","",_xlfn.XLOOKUP(Projects[[#This Row],[Target audience5]],Table4[Target audience],Table4[Target audienceFR],"Check",FALSE))</f>
        <v/>
      </c>
      <c r="R142" s="19" t="str">
        <f>_xlfn.XLOOKUP(Projects[[#This Row],[Status]],Table8[Status],Table8[StatusFR],"",FALSE)</f>
        <v>Version pilote/bêta</v>
      </c>
      <c r="S142" s="19" t="str">
        <f>_xlfn.XLOOKUP(Projects[[#This Row],[Coverage]],Table7[Coverage],Table7[CoverageFR],"",FALSE)</f>
        <v xml:space="preserve">National </v>
      </c>
      <c r="T142" s="31" t="str">
        <f>IF(Projects[[#This Row],[To publish]]="","",Projects[[#This Row],[To publish]])</f>
        <v>Batch 7</v>
      </c>
    </row>
    <row r="143" spans="1:20" ht="30" x14ac:dyDescent="0.25">
      <c r="A143" s="19">
        <f>Projects[[#This Row],[NR]]</f>
        <v>187</v>
      </c>
      <c r="B143" s="19" t="str">
        <f>IF(Projects[[#This Row],[Title]]="","",Projects[[#This Row],[Title]])</f>
        <v>Anonymisation of Court Decisions</v>
      </c>
      <c r="C143" s="19" t="str">
        <f>IF(Projects[[#This Row],[AI Relevance]]="","",Projects[[#This Row],[AI Relevance]])</f>
        <v>AI</v>
      </c>
      <c r="D143" s="19" t="str">
        <f>_xlfn.XLOOKUP(Projects[[#This Row],[Area1]],Table1[Area],Table1[FRArea],"Check",FALSE)</f>
        <v>5 - Anonymisation et pseudonymisation</v>
      </c>
      <c r="E143" s="19" t="str">
        <f>IF(Projects[[#This Row],[Area2]]="","",_xlfn.XLOOKUP(Projects[[#This Row],[Area2]],Table1[Area],Table1[FRArea],"Check",FALSE))</f>
        <v/>
      </c>
      <c r="F143" s="19">
        <f>IF(Projects[[#This Row],[Year]]="","",Projects[[#This Row],[Year]])</f>
        <v>2023</v>
      </c>
      <c r="G143" s="19" t="str">
        <f>_xlfn.XLOOKUP(Projects[[#This Row],[Country]],Table2[Country],Table2[Pays],"Check",FALSE)</f>
        <v>Slovénie</v>
      </c>
      <c r="H143" s="19" t="str">
        <f>IF(Projects[[#This Row],[Description]]="","",Projects[[#This Row],[Description]])</f>
        <v xml:space="preserve">Tool to facilitate the automated anonymization of court decisions. </v>
      </c>
      <c r="I143" s="29" t="str">
        <f>IF(Projects[[#This Row],[DescriptionFR]]="","",Projects[[#This Row],[DescriptionFR]])</f>
        <v>Outil destiné à faciliter l'anonymisation automatique des décisions judiciaires.</v>
      </c>
      <c r="J143" s="30" t="str">
        <f>IF(Projects[[#This Row],[Link]]="","",Projects[[#This Row],[Link]])</f>
        <v>https://rm.coe.int/internal-system/4880299b55</v>
      </c>
      <c r="K143" s="30" t="str">
        <f>IF(Projects[[#This Row],[Link1]]="","",Projects[[#This Row],[Link1]])</f>
        <v/>
      </c>
      <c r="L143" s="19" t="str">
        <f>_xlfn.XLOOKUP(Projects[[#This Row],[Implemented by]],Table3[Implemented by],Table3[ImplementedFR],"",FALSE)</f>
        <v xml:space="preserve">Publique </v>
      </c>
      <c r="M143" s="19" t="str">
        <f>_xlfn.XLOOKUP(Projects[[#This Row],[Target audience]],Table4[Target audience],Table4[Target audienceFR],"",FALSE)</f>
        <v>Juges/greffiers</v>
      </c>
      <c r="N143" s="19" t="str">
        <f>IF(Projects[[#This Row],[Target audience2]]="","",_xlfn.XLOOKUP(Projects[[#This Row],[Target audience2]],Table4[Target audience],Table4[Target audienceFR],"Check",FALSE))</f>
        <v>Gestion</v>
      </c>
      <c r="O143" s="19" t="str">
        <f>IF(Projects[[#This Row],[Target audience3]]="","",_xlfn.XLOOKUP(Projects[[#This Row],[Target audience3]],Table4[Target audience],Table4[Target audienceFR],"Check",FALSE))</f>
        <v/>
      </c>
      <c r="P143" s="19" t="str">
        <f>IF(Projects[[#This Row],[Target audience4]]="","",_xlfn.XLOOKUP(Projects[[#This Row],[Target audience4]],Table4[Target audience],Table4[Target audienceFR],"Check",FALSE))</f>
        <v/>
      </c>
      <c r="Q143" s="19" t="str">
        <f>IF(Projects[[#This Row],[Target audience5]]="","",_xlfn.XLOOKUP(Projects[[#This Row],[Target audience5]],Table4[Target audience],Table4[Target audienceFR],"Check",FALSE))</f>
        <v/>
      </c>
      <c r="R143" s="19" t="str">
        <f>_xlfn.XLOOKUP(Projects[[#This Row],[Status]],Table8[Status],Table8[StatusFR],"",FALSE)</f>
        <v>Version pilote/bêta</v>
      </c>
      <c r="S143" s="19" t="str">
        <f>_xlfn.XLOOKUP(Projects[[#This Row],[Coverage]],Table7[Coverage],Table7[CoverageFR],"",FALSE)</f>
        <v xml:space="preserve">National </v>
      </c>
      <c r="T143" s="31" t="str">
        <f>IF(Projects[[#This Row],[To publish]]="","",Projects[[#This Row],[To publish]])</f>
        <v>Batch 7</v>
      </c>
    </row>
    <row r="144" spans="1:20" ht="255" x14ac:dyDescent="0.25">
      <c r="A144" s="19">
        <f>Projects[[#This Row],[NR]]</f>
        <v>188</v>
      </c>
      <c r="B144" s="19" t="str">
        <f>IF(Projects[[#This Row],[Title]]="","",Projects[[#This Row],[Title]])</f>
        <v>Document Anonymisation - Automatic</v>
      </c>
      <c r="C144" s="19" t="str">
        <f>IF(Projects[[#This Row],[AI Relevance]]="","",Projects[[#This Row],[AI Relevance]])</f>
        <v>AI</v>
      </c>
      <c r="D144" s="19" t="str">
        <f>_xlfn.XLOOKUP(Projects[[#This Row],[Area1]],Table1[Area],Table1[FRArea],"Check",FALSE)</f>
        <v>5 - Anonymisation et pseudonymisation</v>
      </c>
      <c r="E144" s="19" t="str">
        <f>IF(Projects[[#This Row],[Area2]]="","",_xlfn.XLOOKUP(Projects[[#This Row],[Area2]],Table1[Area],Table1[FRArea],"Check",FALSE))</f>
        <v/>
      </c>
      <c r="F144" s="19" t="str">
        <f>IF(Projects[[#This Row],[Year]]="","",Projects[[#This Row],[Year]])</f>
        <v>2023</v>
      </c>
      <c r="G144" s="19" t="str">
        <f>_xlfn.XLOOKUP(Projects[[#This Row],[Country]],Table2[Country],Table2[Pays],"Check",FALSE)</f>
        <v>Espagne</v>
      </c>
      <c r="H144" s="19" t="str">
        <f>IF(Projects[[#This Row],[Description]]="","",Projects[[#This Row],[Description]])</f>
        <v>Automatic anonymisation consists of replacing all categories of nominal entities detected (e.g., personal names, places, identification codes of natural and legal persons) with hyphens. The tool also allows the user to navigate to the parts of the document where the anonymized entities appear. Once the anonymisation process is completed, the document can be downloaded for use and distribution. This tool is part of a suite of AI-powered services provided by the Ministry of the Presidency, Justice and Parliamentary Relations of Spain. It automates and facilitates various document processing tasks including automatic document anonymisation.</v>
      </c>
      <c r="I144" s="29" t="str">
        <f>IF(Projects[[#This Row],[DescriptionFR]]="","",Projects[[#This Row],[DescriptionFR]])</f>
        <v>L'anonymisation automatique consiste à remplacer toutes les catégories d'entités nominales détectées (par exemple, les noms de personnes, les lieux, les codes d'identification des personnes physiques et morales) par des tirets. L'outil permet également à l'utilisateur de naviguer vers les parties du document où apparaissent les entités anonymisées.
Une fois le processus d'anonymisation terminé, le document peut être téléchargé pour être utilisé et distribué.
Cet outil fait partie d'une suite de services basés sur l'intelligence artificielle fournis par le ministère de la présidence, de la justice et des relations parlementaires de l'Espagne. Il automatise et facilite diverses tâches de traitement de documents, notamment l'anonymisation automatique des documents.</v>
      </c>
      <c r="J144" s="30" t="str">
        <f>IF(Projects[[#This Row],[Link]]="","",Projects[[#This Row],[Link]])</f>
        <v>https://rm.coe.int/internal-system/4880299b55</v>
      </c>
      <c r="K144" s="30" t="str">
        <f>IF(Projects[[#This Row],[Link1]]="","",Projects[[#This Row],[Link1]])</f>
        <v/>
      </c>
      <c r="L144" s="19" t="str">
        <f>_xlfn.XLOOKUP(Projects[[#This Row],[Implemented by]],Table3[Implemented by],Table3[ImplementedFR],"",FALSE)</f>
        <v xml:space="preserve">Publique </v>
      </c>
      <c r="M144" s="19" t="str">
        <f>_xlfn.XLOOKUP(Projects[[#This Row],[Target audience]],Table4[Target audience],Table4[Target audienceFR],"",FALSE)</f>
        <v>Juges/greffiers</v>
      </c>
      <c r="N144" s="19" t="str">
        <f>IF(Projects[[#This Row],[Target audience2]]="","",_xlfn.XLOOKUP(Projects[[#This Row],[Target audience2]],Table4[Target audience],Table4[Target audienceFR],"Check",FALSE))</f>
        <v>Gestion</v>
      </c>
      <c r="O144" s="19" t="str">
        <f>IF(Projects[[#This Row],[Target audience3]]="","",_xlfn.XLOOKUP(Projects[[#This Row],[Target audience3]],Table4[Target audience],Table4[Target audienceFR],"Check",FALSE))</f>
        <v/>
      </c>
      <c r="P144" s="19" t="str">
        <f>IF(Projects[[#This Row],[Target audience4]]="","",_xlfn.XLOOKUP(Projects[[#This Row],[Target audience4]],Table4[Target audience],Table4[Target audienceFR],"Check",FALSE))</f>
        <v/>
      </c>
      <c r="Q144" s="19" t="str">
        <f>IF(Projects[[#This Row],[Target audience5]]="","",_xlfn.XLOOKUP(Projects[[#This Row],[Target audience5]],Table4[Target audience],Table4[Target audienceFR],"Check",FALSE))</f>
        <v/>
      </c>
      <c r="R144" s="19" t="str">
        <f>_xlfn.XLOOKUP(Projects[[#This Row],[Status]],Table8[Status],Table8[StatusFR],"",FALSE)</f>
        <v>Fonctionnel</v>
      </c>
      <c r="S144" s="19" t="str">
        <f>_xlfn.XLOOKUP(Projects[[#This Row],[Coverage]],Table7[Coverage],Table7[CoverageFR],"",FALSE)</f>
        <v xml:space="preserve">National </v>
      </c>
      <c r="T144" s="31" t="str">
        <f>IF(Projects[[#This Row],[To publish]]="","",Projects[[#This Row],[To publish]])</f>
        <v>Batch 7</v>
      </c>
    </row>
    <row r="145" spans="1:20" ht="315" x14ac:dyDescent="0.25">
      <c r="A145" s="19">
        <f>Projects[[#This Row],[NR]]</f>
        <v>189</v>
      </c>
      <c r="B145" s="19" t="str">
        <f>IF(Projects[[#This Row],[Title]]="","",Projects[[#This Row],[Title]])</f>
        <v>Document Anonymisation - Initials</v>
      </c>
      <c r="C145" s="19" t="str">
        <f>IF(Projects[[#This Row],[AI Relevance]]="","",Projects[[#This Row],[AI Relevance]])</f>
        <v>AI</v>
      </c>
      <c r="D145" s="19" t="str">
        <f>_xlfn.XLOOKUP(Projects[[#This Row],[Area1]],Table1[Area],Table1[FRArea],"Check",FALSE)</f>
        <v>5 - Anonymisation et pseudonymisation</v>
      </c>
      <c r="E145" s="19" t="str">
        <f>IF(Projects[[#This Row],[Area2]]="","",_xlfn.XLOOKUP(Projects[[#This Row],[Area2]],Table1[Area],Table1[FRArea],"Check",FALSE))</f>
        <v/>
      </c>
      <c r="F145" s="19" t="str">
        <f>IF(Projects[[#This Row],[Year]]="","",Projects[[#This Row],[Year]])</f>
        <v>2023</v>
      </c>
      <c r="G145" s="19" t="str">
        <f>_xlfn.XLOOKUP(Projects[[#This Row],[Country]],Table2[Country],Table2[Pays],"Check",FALSE)</f>
        <v>Espagne</v>
      </c>
      <c r="H145" s="19" t="str">
        <f>IF(Projects[[#This Row],[Description]]="","",Projects[[#This Row],[Description]])</f>
        <v>Initials anonymisation consists of replacing the names of natural persons by their initials, instead of by hyphens. In the case of identification codes of natural and legal persons, only the first and last digits appear. For the rest of categories of nominal entities that may be identified within the document (e.g., places), words are replaced by hyphens. The tool also allows the user to navigate to the parts of the document where the anonymized entities appear.
Once the anonymization process is completed, the document can be downloaded for use and distribution. This tool is part of a suite of AI-powered services provided by the Ministry of the Presidency, Justice and Parliamentary Relations of Spain. It automates and facilitates various document processing tasks including document anonymisation by initials.</v>
      </c>
      <c r="I145" s="29" t="str">
        <f>IF(Projects[[#This Row],[DescriptionFR]]="","",Projects[[#This Row],[DescriptionFR]])</f>
        <v>L'anonymisation par initiales consiste à remplacer les noms des personnes physiques par leurs initiales, au lieu de tirets. Dans le cas des codes d'identification des personnes physiques et morales, seuls le premier et le dernier chiffre apparaissent. 
Pour les autres catégories d'entités nominales pouvant être identifiées dans le document (par exemple, les lieux), les mots sont remplacés par des tirets. L'outil permet également à l'utilisateur de naviguer vers les parties du document où apparaissent les entités anonymisées.
Une fois le processus d'anonymisation terminé, le document peut être téléchargé pour être utilisé et distribué.
Cet outil fait partie d'une suite de services basés sur l'intelligence artificielle fournis par le ministère de la présidence, de la justice et des relations parlementaires de l'Espagne. Il automatise et facilite diverses tâches de traitement de documents, notamment l'anonymisation des documents par initiales.</v>
      </c>
      <c r="J145" s="30" t="str">
        <f>IF(Projects[[#This Row],[Link]]="","",Projects[[#This Row],[Link]])</f>
        <v>https://rm.coe.int/internal-system/4880299b55</v>
      </c>
      <c r="K145" s="30" t="str">
        <f>IF(Projects[[#This Row],[Link1]]="","",Projects[[#This Row],[Link1]])</f>
        <v/>
      </c>
      <c r="L145" s="19" t="str">
        <f>_xlfn.XLOOKUP(Projects[[#This Row],[Implemented by]],Table3[Implemented by],Table3[ImplementedFR],"",FALSE)</f>
        <v xml:space="preserve">Publique </v>
      </c>
      <c r="M145" s="19" t="str">
        <f>_xlfn.XLOOKUP(Projects[[#This Row],[Target audience]],Table4[Target audience],Table4[Target audienceFR],"",FALSE)</f>
        <v>Juges/greffiers</v>
      </c>
      <c r="N145" s="19" t="str">
        <f>IF(Projects[[#This Row],[Target audience2]]="","",_xlfn.XLOOKUP(Projects[[#This Row],[Target audience2]],Table4[Target audience],Table4[Target audienceFR],"Check",FALSE))</f>
        <v>Gestion</v>
      </c>
      <c r="O145" s="19" t="str">
        <f>IF(Projects[[#This Row],[Target audience3]]="","",_xlfn.XLOOKUP(Projects[[#This Row],[Target audience3]],Table4[Target audience],Table4[Target audienceFR],"Check",FALSE))</f>
        <v/>
      </c>
      <c r="P145" s="19" t="str">
        <f>IF(Projects[[#This Row],[Target audience4]]="","",_xlfn.XLOOKUP(Projects[[#This Row],[Target audience4]],Table4[Target audience],Table4[Target audienceFR],"Check",FALSE))</f>
        <v/>
      </c>
      <c r="Q145" s="19" t="str">
        <f>IF(Projects[[#This Row],[Target audience5]]="","",_xlfn.XLOOKUP(Projects[[#This Row],[Target audience5]],Table4[Target audience],Table4[Target audienceFR],"Check",FALSE))</f>
        <v/>
      </c>
      <c r="R145" s="19" t="str">
        <f>_xlfn.XLOOKUP(Projects[[#This Row],[Status]],Table8[Status],Table8[StatusFR],"",FALSE)</f>
        <v>Fonctionnel</v>
      </c>
      <c r="S145" s="19" t="str">
        <f>_xlfn.XLOOKUP(Projects[[#This Row],[Coverage]],Table7[Coverage],Table7[CoverageFR],"",FALSE)</f>
        <v xml:space="preserve">National </v>
      </c>
      <c r="T145" s="31" t="str">
        <f>IF(Projects[[#This Row],[To publish]]="","",Projects[[#This Row],[To publish]])</f>
        <v>Batch 7</v>
      </c>
    </row>
    <row r="146" spans="1:20" ht="345" x14ac:dyDescent="0.25">
      <c r="A146" s="19">
        <f>Projects[[#This Row],[NR]]</f>
        <v>190</v>
      </c>
      <c r="B146" s="19" t="str">
        <f>IF(Projects[[#This Row],[Title]]="","",Projects[[#This Row],[Title]])</f>
        <v>Document Anonymisation - Customised</v>
      </c>
      <c r="C146" s="19" t="str">
        <f>IF(Projects[[#This Row],[AI Relevance]]="","",Projects[[#This Row],[AI Relevance]])</f>
        <v>AI</v>
      </c>
      <c r="D146" s="19" t="str">
        <f>_xlfn.XLOOKUP(Projects[[#This Row],[Area1]],Table1[Area],Table1[FRArea],"Check",FALSE)</f>
        <v>5 - Anonymisation et pseudonymisation</v>
      </c>
      <c r="E146" s="19" t="str">
        <f>IF(Projects[[#This Row],[Area2]]="","",_xlfn.XLOOKUP(Projects[[#This Row],[Area2]],Table1[Area],Table1[FRArea],"Check",FALSE))</f>
        <v/>
      </c>
      <c r="F146" s="19" t="str">
        <f>IF(Projects[[#This Row],[Year]]="","",Projects[[#This Row],[Year]])</f>
        <v>2023</v>
      </c>
      <c r="G146" s="19" t="str">
        <f>_xlfn.XLOOKUP(Projects[[#This Row],[Country]],Table2[Country],Table2[Pays],"Check",FALSE)</f>
        <v>Espagne</v>
      </c>
      <c r="H146" s="19" t="str">
        <f>IF(Projects[[#This Row],[Description]]="","",Projects[[#This Row],[Description]])</f>
        <v>Customised anonymisation allows the user to select which categories of nominal entities should be anonymised (e.g., personal names, places) as well as the way in which he/she wishes to anonymise them. For example, replacing these entities with hyphens, with generic names (e.g., Person-1, Organisation-1; i.e. generic pseudonymization), or with specific names (i.e. customised pseudonymisation). The tool also allows the user to navigate to the parts of the document where the anonymized entities appear.
Once the anonymization or pseudonymization process is completed, the document can be downloaded for use and distribution. This tool is part of a suite of AI-powered services provided by the Ministry of the Presidency, Justice and Parliamentary Relations of Spain. It automates and facilitates various document processing tasks including customised document anonymisation.</v>
      </c>
      <c r="I146" s="29" t="str">
        <f>IF(Projects[[#This Row],[DescriptionFR]]="","",Projects[[#This Row],[DescriptionFR]])</f>
        <v>L'anonymisation personnalisée permet à l'utilisateur de sélectionner les catégories d'entités nominales à anonymiser (par exemple, les noms de personnes, les lieux) ainsi que la manière dont il souhaite les anonymiser. 
Il peut par exemple remplacer ces entités par des tirets, des noms génériques (par exemple, Personne-1, Organisation-1, c'est-à-dire une pseudonymisation générique) ou des noms spécifiques (c'est-à-dire une pseudonymisation personnalisée). L'outil permet également à l'utilisateur de naviguer vers les parties du document où apparaissent les entités anonymisées.
Une fois le processus d'anonymisation ou de pseudonymisation terminé, le document peut être téléchargé pour être utilisé et distribué.
Cet outil fait partie d'une suite de services basés sur l'intelligence artificielle fournis par le ministère de la présidence, de la justice et des relations parlementaires de l'Espagne. Il automatise et facilite diverses tâches de traitement de documents, y compris l'anonymisation personnalisée des documents.</v>
      </c>
      <c r="J146" s="30" t="str">
        <f>IF(Projects[[#This Row],[Link]]="","",Projects[[#This Row],[Link]])</f>
        <v>https://rm.coe.int/internal-system/4880299b55</v>
      </c>
      <c r="K146" s="30" t="str">
        <f>IF(Projects[[#This Row],[Link1]]="","",Projects[[#This Row],[Link1]])</f>
        <v/>
      </c>
      <c r="L146" s="19" t="str">
        <f>_xlfn.XLOOKUP(Projects[[#This Row],[Implemented by]],Table3[Implemented by],Table3[ImplementedFR],"",FALSE)</f>
        <v xml:space="preserve">Publique </v>
      </c>
      <c r="M146" s="19" t="str">
        <f>_xlfn.XLOOKUP(Projects[[#This Row],[Target audience]],Table4[Target audience],Table4[Target audienceFR],"",FALSE)</f>
        <v>Juges/greffiers</v>
      </c>
      <c r="N146" s="19" t="str">
        <f>IF(Projects[[#This Row],[Target audience2]]="","",_xlfn.XLOOKUP(Projects[[#This Row],[Target audience2]],Table4[Target audience],Table4[Target audienceFR],"Check",FALSE))</f>
        <v>Gestion</v>
      </c>
      <c r="O146" s="19" t="str">
        <f>IF(Projects[[#This Row],[Target audience3]]="","",_xlfn.XLOOKUP(Projects[[#This Row],[Target audience3]],Table4[Target audience],Table4[Target audienceFR],"Check",FALSE))</f>
        <v/>
      </c>
      <c r="P146" s="19" t="str">
        <f>IF(Projects[[#This Row],[Target audience4]]="","",_xlfn.XLOOKUP(Projects[[#This Row],[Target audience4]],Table4[Target audience],Table4[Target audienceFR],"Check",FALSE))</f>
        <v/>
      </c>
      <c r="Q146" s="19" t="str">
        <f>IF(Projects[[#This Row],[Target audience5]]="","",_xlfn.XLOOKUP(Projects[[#This Row],[Target audience5]],Table4[Target audience],Table4[Target audienceFR],"Check",FALSE))</f>
        <v/>
      </c>
      <c r="R146" s="19" t="str">
        <f>_xlfn.XLOOKUP(Projects[[#This Row],[Status]],Table8[Status],Table8[StatusFR],"",FALSE)</f>
        <v>Fonctionnel</v>
      </c>
      <c r="S146" s="19" t="str">
        <f>_xlfn.XLOOKUP(Projects[[#This Row],[Coverage]],Table7[Coverage],Table7[CoverageFR],"",FALSE)</f>
        <v xml:space="preserve">National </v>
      </c>
      <c r="T146" s="31" t="str">
        <f>IF(Projects[[#This Row],[To publish]]="","",Projects[[#This Row],[To publish]])</f>
        <v>Batch 7</v>
      </c>
    </row>
    <row r="147" spans="1:20" ht="285" x14ac:dyDescent="0.25">
      <c r="A147" s="19">
        <f>Projects[[#This Row],[NR]]</f>
        <v>191</v>
      </c>
      <c r="B147" s="19" t="str">
        <f>IF(Projects[[#This Row],[Title]]="","",Projects[[#This Row],[Title]])</f>
        <v>Document Analysis – Relationship between nominal entities</v>
      </c>
      <c r="C147" s="19" t="str">
        <f>IF(Projects[[#This Row],[AI Relevance]]="","",Projects[[#This Row],[AI Relevance]])</f>
        <v>AI</v>
      </c>
      <c r="D147" s="19" t="str">
        <f>_xlfn.XLOOKUP(Projects[[#This Row],[Area1]],Table1[Area],Table1[FRArea],"Check",FALSE)</f>
        <v>1 - Recherche documentaire</v>
      </c>
      <c r="E147" s="19" t="str">
        <f>IF(Projects[[#This Row],[Area2]]="","",_xlfn.XLOOKUP(Projects[[#This Row],[Area2]],Table1[Area],Table1[FRArea],"Check",FALSE))</f>
        <v>4 - Aide à la décision</v>
      </c>
      <c r="F147" s="19" t="str">
        <f>IF(Projects[[#This Row],[Year]]="","",Projects[[#This Row],[Year]])</f>
        <v>2023</v>
      </c>
      <c r="G147" s="19" t="str">
        <f>_xlfn.XLOOKUP(Projects[[#This Row],[Country]],Table2[Country],Table2[Pays],"Check",FALSE)</f>
        <v>Espagne</v>
      </c>
      <c r="H147" s="19" t="str">
        <f>IF(Projects[[#This Row],[Description]]="","",Projects[[#This Row],[Description]])</f>
        <v>At this stage, the relationships of interest that are informed are:
- Relationships between interveners (how natural and legal persons may be related to each other; e.g., a person acts as the legal representative of a company)
- Other relationships between nominal entities (e.g., personal name – role – place; e.g., María – Lawyer - Madrid).
Another relevant functionality in this service is the possibility of displaying these relationships as a graph.
This tool is part of a suite of AI-powered services provided by the Ministry of the Presidency, Justice and Parliamentary Relations of Spain. It automates and facilitates various document processing tasks including the discovering of relationships between the nominal entities of a given document.</v>
      </c>
      <c r="I147" s="29" t="str">
        <f>IF(Projects[[#This Row],[DescriptionFR]]="","",Projects[[#This Row],[DescriptionFR]])</f>
        <v>À ce stade, les relations d'intérêt qui sont signalées sont les suivantes :
- Relations entre les intervenants (comment les personnes physiques et morales peuvent être liées entre elles ; par exemple, une personne agit en tant que représentant légal d'une entreprise)
- Autres relations entre les entités nominales (par exemple, nom personnel - rôle - lieu ; par exemple, María - Avocate - Madrid).
Une autre fonctionnalité pertinente de ce service est la possibilité d'afficher ces relations sous forme de graphique.
Cet outil fait partie d'une suite de services basés sur l'intelligence artificielle fournis par le ministère de la Présidence, de la Justice et des Relations parlementaires de l'Espagne. Il automatise et facilite diverses tâches de traitement de documents, notamment la découverte des relations entre les entités nominales d'un document donné.</v>
      </c>
      <c r="J147" s="30" t="str">
        <f>IF(Projects[[#This Row],[Link]]="","",Projects[[#This Row],[Link]])</f>
        <v>https://rm.coe.int/internal-system/4880299b55</v>
      </c>
      <c r="K147" s="30" t="str">
        <f>IF(Projects[[#This Row],[Link1]]="","",Projects[[#This Row],[Link1]])</f>
        <v/>
      </c>
      <c r="L147" s="19" t="str">
        <f>_xlfn.XLOOKUP(Projects[[#This Row],[Implemented by]],Table3[Implemented by],Table3[ImplementedFR],"",FALSE)</f>
        <v xml:space="preserve">Publique </v>
      </c>
      <c r="M147" s="19" t="str">
        <f>_xlfn.XLOOKUP(Projects[[#This Row],[Target audience]],Table4[Target audience],Table4[Target audienceFR],"",FALSE)</f>
        <v>Juges/greffiers</v>
      </c>
      <c r="N147" s="19" t="str">
        <f>IF(Projects[[#This Row],[Target audience2]]="","",_xlfn.XLOOKUP(Projects[[#This Row],[Target audience2]],Table4[Target audience],Table4[Target audienceFR],"Check",FALSE))</f>
        <v>Gestion</v>
      </c>
      <c r="O147" s="19" t="str">
        <f>IF(Projects[[#This Row],[Target audience3]]="","",_xlfn.XLOOKUP(Projects[[#This Row],[Target audience3]],Table4[Target audience],Table4[Target audienceFR],"Check",FALSE))</f>
        <v/>
      </c>
      <c r="P147" s="19" t="str">
        <f>IF(Projects[[#This Row],[Target audience4]]="","",_xlfn.XLOOKUP(Projects[[#This Row],[Target audience4]],Table4[Target audience],Table4[Target audienceFR],"Check",FALSE))</f>
        <v/>
      </c>
      <c r="Q147" s="19" t="str">
        <f>IF(Projects[[#This Row],[Target audience5]]="","",_xlfn.XLOOKUP(Projects[[#This Row],[Target audience5]],Table4[Target audience],Table4[Target audienceFR],"Check",FALSE))</f>
        <v/>
      </c>
      <c r="R147" s="19" t="str">
        <f>_xlfn.XLOOKUP(Projects[[#This Row],[Status]],Table8[Status],Table8[StatusFR],"",FALSE)</f>
        <v>Fonctionnel</v>
      </c>
      <c r="S147" s="19" t="str">
        <f>_xlfn.XLOOKUP(Projects[[#This Row],[Coverage]],Table7[Coverage],Table7[CoverageFR],"",FALSE)</f>
        <v xml:space="preserve">National </v>
      </c>
      <c r="T147" s="31" t="str">
        <f>IF(Projects[[#This Row],[To publish]]="","",Projects[[#This Row],[To publish]])</f>
        <v>Batch 7</v>
      </c>
    </row>
    <row r="148" spans="1:20" ht="375" x14ac:dyDescent="0.25">
      <c r="A148" s="19">
        <f>Projects[[#This Row],[NR]]</f>
        <v>192</v>
      </c>
      <c r="B148" s="19" t="str">
        <f>IF(Projects[[#This Row],[Title]]="","",Projects[[#This Row],[Title]])</f>
        <v>Document Analysis - Similarity</v>
      </c>
      <c r="C148" s="19" t="str">
        <f>IF(Projects[[#This Row],[AI Relevance]]="","",Projects[[#This Row],[AI Relevance]])</f>
        <v>AI</v>
      </c>
      <c r="D148" s="19" t="str">
        <f>_xlfn.XLOOKUP(Projects[[#This Row],[Area1]],Table1[Area],Table1[FRArea],"Check",FALSE)</f>
        <v>1 - Recherche documentaire</v>
      </c>
      <c r="E148" s="19" t="str">
        <f>IF(Projects[[#This Row],[Area2]]="","",_xlfn.XLOOKUP(Projects[[#This Row],[Area2]],Table1[Area],Table1[FRArea],"Check",FALSE))</f>
        <v>4 - Aide à la décision</v>
      </c>
      <c r="F148" s="19" t="str">
        <f>IF(Projects[[#This Row],[Year]]="","",Projects[[#This Row],[Year]])</f>
        <v>2023</v>
      </c>
      <c r="G148" s="19" t="str">
        <f>_xlfn.XLOOKUP(Projects[[#This Row],[Country]],Table2[Country],Table2[Pays],"Check",FALSE)</f>
        <v>Espagne</v>
      </c>
      <c r="H148" s="19" t="str">
        <f>IF(Projects[[#This Row],[Description]]="","",Projects[[#This Row],[Description]])</f>
        <v>Once a document has been processed and its nominal entities extracted, the user is given the option to select one of them. Once selected, all other entities deemed ‘similar’ by the AI model become shaded (thus, similar entities are matched and identified as the same entity).
Example. Let the selected nominal entity by the user be the personal name “María Ramirez Garcia”. If this name would also appear in the document as:
- María Ram. Gar.
- M. Ramirez Garcia
The AI model would recognize them as the same entity. Thus, identification of a given nominal entity within the document is eased, and the total number of nominal entities decreases, thus simplifying its further analysis.
This tool is part of a suite of AI-powered services provided by the Ministry of the Presidency, Justice and Parliamentary Relations of Spain. It automates and facilitates various document processing tasks including document analysis by similarity of its nominal entities.</v>
      </c>
      <c r="I148" s="29" t="str">
        <f>IF(Projects[[#This Row],[DescriptionFR]]="","",Projects[[#This Row],[DescriptionFR]])</f>
        <v>Une fois qu'un document a été traité et que ses entités nominales ont été extraites, l'utilisateur a la possibilité de sélectionner l'une d'entre elles. Une fois sélectionnée, toutes les autres entités jugées « similaires » par le modèle d'IA sont ombrées (ainsi, les entités similaires sont mises en correspondance et identifiées comme étant la même entité).
Exemple. Supposons que l'entité nominale sélectionnée par l'utilisateur soit le nom propre « María Ramirez Garcia ». Si ce nom apparaît également dans le document sous la forme :
- María Ram. Gar.
- M. Ramirez Garcia
Le modèle d'IA les reconnaîtrait comme étant la même entité. Ainsi, l'identification d'une entité nominale donnée dans le document est facilitée et le nombre total d'entités nominales diminue, ce qui simplifie son analyse ultérieure.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en fonction de la similitude de leurs entités nominales.</v>
      </c>
      <c r="J148" s="30" t="str">
        <f>IF(Projects[[#This Row],[Link]]="","",Projects[[#This Row],[Link]])</f>
        <v>https://rm.coe.int/internal-system/4880299b55</v>
      </c>
      <c r="K148" s="30" t="str">
        <f>IF(Projects[[#This Row],[Link1]]="","",Projects[[#This Row],[Link1]])</f>
        <v/>
      </c>
      <c r="L148" s="19" t="str">
        <f>_xlfn.XLOOKUP(Projects[[#This Row],[Implemented by]],Table3[Implemented by],Table3[ImplementedFR],"",FALSE)</f>
        <v xml:space="preserve">Publique </v>
      </c>
      <c r="M148" s="19" t="str">
        <f>_xlfn.XLOOKUP(Projects[[#This Row],[Target audience]],Table4[Target audience],Table4[Target audienceFR],"",FALSE)</f>
        <v>Juges/greffiers</v>
      </c>
      <c r="N148" s="19" t="str">
        <f>IF(Projects[[#This Row],[Target audience2]]="","",_xlfn.XLOOKUP(Projects[[#This Row],[Target audience2]],Table4[Target audience],Table4[Target audienceFR],"Check",FALSE))</f>
        <v/>
      </c>
      <c r="O148" s="19" t="str">
        <f>IF(Projects[[#This Row],[Target audience3]]="","",_xlfn.XLOOKUP(Projects[[#This Row],[Target audience3]],Table4[Target audience],Table4[Target audienceFR],"Check",FALSE))</f>
        <v/>
      </c>
      <c r="P148" s="19" t="str">
        <f>IF(Projects[[#This Row],[Target audience4]]="","",_xlfn.XLOOKUP(Projects[[#This Row],[Target audience4]],Table4[Target audience],Table4[Target audienceFR],"Check",FALSE))</f>
        <v/>
      </c>
      <c r="Q148" s="19" t="str">
        <f>IF(Projects[[#This Row],[Target audience5]]="","",_xlfn.XLOOKUP(Projects[[#This Row],[Target audience5]],Table4[Target audience],Table4[Target audienceFR],"Check",FALSE))</f>
        <v/>
      </c>
      <c r="R148" s="19" t="str">
        <f>_xlfn.XLOOKUP(Projects[[#This Row],[Status]],Table8[Status],Table8[StatusFR],"",FALSE)</f>
        <v>Fonctionnel</v>
      </c>
      <c r="S148" s="19" t="str">
        <f>_xlfn.XLOOKUP(Projects[[#This Row],[Coverage]],Table7[Coverage],Table7[CoverageFR],"",FALSE)</f>
        <v xml:space="preserve">National </v>
      </c>
      <c r="T148" s="31" t="str">
        <f>IF(Projects[[#This Row],[To publish]]="","",Projects[[#This Row],[To publish]])</f>
        <v>Batch 7</v>
      </c>
    </row>
    <row r="149" spans="1:20" ht="195" x14ac:dyDescent="0.25">
      <c r="A149" s="19">
        <f>Projects[[#This Row],[NR]]</f>
        <v>193</v>
      </c>
      <c r="B149" s="19" t="str">
        <f>IF(Projects[[#This Row],[Title]]="","",Projects[[#This Row],[Title]])</f>
        <v>Document Analysis – Legislation</v>
      </c>
      <c r="C149" s="19" t="str">
        <f>IF(Projects[[#This Row],[AI Relevance]]="","",Projects[[#This Row],[AI Relevance]])</f>
        <v>AI</v>
      </c>
      <c r="D149" s="19" t="str">
        <f>_xlfn.XLOOKUP(Projects[[#This Row],[Area1]],Table1[Area],Table1[FRArea],"Check",FALSE)</f>
        <v>1 - Recherche documentaire</v>
      </c>
      <c r="E149" s="19" t="str">
        <f>IF(Projects[[#This Row],[Area2]]="","",_xlfn.XLOOKUP(Projects[[#This Row],[Area2]],Table1[Area],Table1[FRArea],"Check",FALSE))</f>
        <v>4 - Aide à la décision</v>
      </c>
      <c r="F149" s="19" t="str">
        <f>IF(Projects[[#This Row],[Year]]="","",Projects[[#This Row],[Year]])</f>
        <v>2023</v>
      </c>
      <c r="G149" s="19" t="str">
        <f>_xlfn.XLOOKUP(Projects[[#This Row],[Country]],Table2[Country],Table2[Pays],"Check",FALSE)</f>
        <v>Espagne</v>
      </c>
      <c r="H149" s="19" t="str">
        <f>IF(Projects[[#This Row],[Description]]="","",Projects[[#This Row],[Description]])</f>
        <v>This analysis allows to identify references to legislation within a document and navigate to the parts of the document where such reference is made. It also displays the range of the norm, its full denomination and the link to the Official State Gaztte url where it is published.
This tool is part of a suite of AI-powered services provided by the Ministry of the Presidency, Justice and Parliamentary Relations of Spain. It automates and facilitates various document processing tasks including document analysis by legislation.</v>
      </c>
      <c r="I149" s="29" t="str">
        <f>IF(Projects[[#This Row],[DescriptionFR]]="","",Projects[[#This Row],[DescriptionFR]])</f>
        <v>Cette analyse permet d'identifier les références à la législation dans un document et de naviguer vers les parties du document où ces références apparaissent. Elle affiche également la portée de la norme, sa dénomination complète et le lien vers l'URL du Journal officiel de l'État où elle est publiée.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à la lumière de la législation.</v>
      </c>
      <c r="J149" s="30" t="str">
        <f>IF(Projects[[#This Row],[Link]]="","",Projects[[#This Row],[Link]])</f>
        <v>https://rm.coe.int/internal-system/4880299b55</v>
      </c>
      <c r="K149" s="30" t="str">
        <f>IF(Projects[[#This Row],[Link1]]="","",Projects[[#This Row],[Link1]])</f>
        <v/>
      </c>
      <c r="L149" s="19" t="str">
        <f>_xlfn.XLOOKUP(Projects[[#This Row],[Implemented by]],Table3[Implemented by],Table3[ImplementedFR],"",FALSE)</f>
        <v xml:space="preserve">Publique </v>
      </c>
      <c r="M149" s="19" t="str">
        <f>_xlfn.XLOOKUP(Projects[[#This Row],[Target audience]],Table4[Target audience],Table4[Target audienceFR],"",FALSE)</f>
        <v>Juges/greffiers</v>
      </c>
      <c r="N149" s="19" t="str">
        <f>IF(Projects[[#This Row],[Target audience2]]="","",_xlfn.XLOOKUP(Projects[[#This Row],[Target audience2]],Table4[Target audience],Table4[Target audienceFR],"Check",FALSE))</f>
        <v/>
      </c>
      <c r="O149" s="19" t="str">
        <f>IF(Projects[[#This Row],[Target audience3]]="","",_xlfn.XLOOKUP(Projects[[#This Row],[Target audience3]],Table4[Target audience],Table4[Target audienceFR],"Check",FALSE))</f>
        <v/>
      </c>
      <c r="P149" s="19" t="str">
        <f>IF(Projects[[#This Row],[Target audience4]]="","",_xlfn.XLOOKUP(Projects[[#This Row],[Target audience4]],Table4[Target audience],Table4[Target audienceFR],"Check",FALSE))</f>
        <v/>
      </c>
      <c r="Q149" s="19" t="str">
        <f>IF(Projects[[#This Row],[Target audience5]]="","",_xlfn.XLOOKUP(Projects[[#This Row],[Target audience5]],Table4[Target audience],Table4[Target audienceFR],"Check",FALSE))</f>
        <v/>
      </c>
      <c r="R149" s="19" t="str">
        <f>_xlfn.XLOOKUP(Projects[[#This Row],[Status]],Table8[Status],Table8[StatusFR],"",FALSE)</f>
        <v>Fonctionnel</v>
      </c>
      <c r="S149" s="19" t="str">
        <f>_xlfn.XLOOKUP(Projects[[#This Row],[Coverage]],Table7[Coverage],Table7[CoverageFR],"",FALSE)</f>
        <v xml:space="preserve">National </v>
      </c>
      <c r="T149" s="31" t="str">
        <f>IF(Projects[[#This Row],[To publish]]="","",Projects[[#This Row],[To publish]])</f>
        <v>Batch 7</v>
      </c>
    </row>
    <row r="150" spans="1:20" ht="180" x14ac:dyDescent="0.25">
      <c r="A150" s="19">
        <f>Projects[[#This Row],[NR]]</f>
        <v>194</v>
      </c>
      <c r="B150" s="19" t="str">
        <f>IF(Projects[[#This Row],[Title]]="","",Projects[[#This Row],[Title]])</f>
        <v>Document Analysis - Relevant Dates</v>
      </c>
      <c r="C150" s="19" t="str">
        <f>IF(Projects[[#This Row],[AI Relevance]]="","",Projects[[#This Row],[AI Relevance]])</f>
        <v>AI</v>
      </c>
      <c r="D150" s="19" t="str">
        <f>_xlfn.XLOOKUP(Projects[[#This Row],[Area1]],Table1[Area],Table1[FRArea],"Check",FALSE)</f>
        <v>1 - Recherche documentaire</v>
      </c>
      <c r="E150" s="19" t="str">
        <f>IF(Projects[[#This Row],[Area2]]="","",_xlfn.XLOOKUP(Projects[[#This Row],[Area2]],Table1[Area],Table1[FRArea],"Check",FALSE))</f>
        <v>4 - Aide à la décision</v>
      </c>
      <c r="F150" s="19" t="str">
        <f>IF(Projects[[#This Row],[Year]]="","",Projects[[#This Row],[Year]])</f>
        <v>2023</v>
      </c>
      <c r="G150" s="19" t="str">
        <f>_xlfn.XLOOKUP(Projects[[#This Row],[Country]],Table2[Country],Table2[Pays],"Check",FALSE)</f>
        <v>Espagne</v>
      </c>
      <c r="H150" s="19" t="str">
        <f>IF(Projects[[#This Row],[Description]]="","",Projects[[#This Row],[Description]])</f>
        <v>This analysis allows the user to find dates within the processed document, to navigate to the parts of the document where such dates appear and to filter them by defining a specific timespan (start date and end date).
This tool is part of a suite of AI-powered services provided by the Ministry of the Presidency, Justice and Parliamentary Relations of Spain. It automates and facilitates various document processing tasks including document analysis by relevant dates.</v>
      </c>
      <c r="I150" s="29" t="str">
        <f>IF(Projects[[#This Row],[DescriptionFR]]="","",Projects[[#This Row],[DescriptionFR]])</f>
        <v>Cette analyse permet à l'utilisateur de trouver des dates dans le document traité, de naviguer vers les parties du document où ces dates apparaissent et de les filtrer en définissant une période spécifique (date de début et date de fin).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en fonction de dates pertinentes.</v>
      </c>
      <c r="J150" s="30" t="str">
        <f>IF(Projects[[#This Row],[Link]]="","",Projects[[#This Row],[Link]])</f>
        <v>https://rm.coe.int/internal-system/4880299b55</v>
      </c>
      <c r="K150" s="30" t="str">
        <f>IF(Projects[[#This Row],[Link1]]="","",Projects[[#This Row],[Link1]])</f>
        <v/>
      </c>
      <c r="L150" s="19" t="str">
        <f>_xlfn.XLOOKUP(Projects[[#This Row],[Implemented by]],Table3[Implemented by],Table3[ImplementedFR],"",FALSE)</f>
        <v xml:space="preserve">Publique </v>
      </c>
      <c r="M150" s="19" t="str">
        <f>_xlfn.XLOOKUP(Projects[[#This Row],[Target audience]],Table4[Target audience],Table4[Target audienceFR],"",FALSE)</f>
        <v>Juges/greffiers</v>
      </c>
      <c r="N150" s="19" t="str">
        <f>IF(Projects[[#This Row],[Target audience2]]="","",_xlfn.XLOOKUP(Projects[[#This Row],[Target audience2]],Table4[Target audience],Table4[Target audienceFR],"Check",FALSE))</f>
        <v/>
      </c>
      <c r="O150" s="19" t="str">
        <f>IF(Projects[[#This Row],[Target audience3]]="","",_xlfn.XLOOKUP(Projects[[#This Row],[Target audience3]],Table4[Target audience],Table4[Target audienceFR],"Check",FALSE))</f>
        <v/>
      </c>
      <c r="P150" s="19" t="str">
        <f>IF(Projects[[#This Row],[Target audience4]]="","",_xlfn.XLOOKUP(Projects[[#This Row],[Target audience4]],Table4[Target audience],Table4[Target audienceFR],"Check",FALSE))</f>
        <v/>
      </c>
      <c r="Q150" s="19" t="str">
        <f>IF(Projects[[#This Row],[Target audience5]]="","",_xlfn.XLOOKUP(Projects[[#This Row],[Target audience5]],Table4[Target audience],Table4[Target audienceFR],"Check",FALSE))</f>
        <v/>
      </c>
      <c r="R150" s="19" t="str">
        <f>_xlfn.XLOOKUP(Projects[[#This Row],[Status]],Table8[Status],Table8[StatusFR],"",FALSE)</f>
        <v>Fonctionnel</v>
      </c>
      <c r="S150" s="19" t="str">
        <f>_xlfn.XLOOKUP(Projects[[#This Row],[Coverage]],Table7[Coverage],Table7[CoverageFR],"",FALSE)</f>
        <v xml:space="preserve">National </v>
      </c>
      <c r="T150" s="31" t="str">
        <f>IF(Projects[[#This Row],[To publish]]="","",Projects[[#This Row],[To publish]])</f>
        <v>Batch 7</v>
      </c>
    </row>
    <row r="151" spans="1:20" ht="150" x14ac:dyDescent="0.25">
      <c r="A151" s="19">
        <f>Projects[[#This Row],[NR]]</f>
        <v>195</v>
      </c>
      <c r="B151" s="19" t="str">
        <f>IF(Projects[[#This Row],[Title]]="","",Projects[[#This Row],[Title]])</f>
        <v>Document Analysis – Quantities</v>
      </c>
      <c r="C151" s="19" t="str">
        <f>IF(Projects[[#This Row],[AI Relevance]]="","",Projects[[#This Row],[AI Relevance]])</f>
        <v>AI</v>
      </c>
      <c r="D151" s="19" t="str">
        <f>_xlfn.XLOOKUP(Projects[[#This Row],[Area1]],Table1[Area],Table1[FRArea],"Check",FALSE)</f>
        <v>1 - Recherche documentaire</v>
      </c>
      <c r="E151" s="19" t="str">
        <f>IF(Projects[[#This Row],[Area2]]="","",_xlfn.XLOOKUP(Projects[[#This Row],[Area2]],Table1[Area],Table1[FRArea],"Check",FALSE))</f>
        <v>4 - Aide à la décision</v>
      </c>
      <c r="F151" s="19" t="str">
        <f>IF(Projects[[#This Row],[Year]]="","",Projects[[#This Row],[Year]])</f>
        <v>2023</v>
      </c>
      <c r="G151" s="19" t="str">
        <f>_xlfn.XLOOKUP(Projects[[#This Row],[Country]],Table2[Country],Table2[Pays],"Check",FALSE)</f>
        <v>Espagne</v>
      </c>
      <c r="H151" s="19" t="str">
        <f>IF(Projects[[#This Row],[Description]]="","",Projects[[#This Row],[Description]])</f>
        <v>This analysis shows the quantities found in the processed document, and allows to navigate to the parts of the document where such quantities appear and to filter them by minimum and maximum values.
This tool is part of a suite of AI-powered services provided by the Ministry of the Presidency, Justice and Parliamentary Relations of Spain. It automates and facilitates various document processing tasks including document analysis by quantities.</v>
      </c>
      <c r="I151" s="29" t="str">
        <f>IF(Projects[[#This Row],[DescriptionFR]]="","",Projects[[#This Row],[DescriptionFR]])</f>
        <v>Cette analyse indique les quantités trouvées dans le document traité et permet de naviguer vers les parties du document où ces quantités apparaissent et de les filtrer par valeurs minimales et maximales.
Cet outil fait partie d'une suite de services basés sur l'intelligence artificielle fournis par le ministère de la Présidence, de la Justice et des Relations parlementaires de l'Espagne. Il automatise et facilite diverses tâches de traitement de documents, notamment l'analyse de documents par quantités.</v>
      </c>
      <c r="J151" s="30" t="str">
        <f>IF(Projects[[#This Row],[Link]]="","",Projects[[#This Row],[Link]])</f>
        <v>https://rm.coe.int/internal-system/4880299b55</v>
      </c>
      <c r="K151" s="30" t="str">
        <f>IF(Projects[[#This Row],[Link1]]="","",Projects[[#This Row],[Link1]])</f>
        <v/>
      </c>
      <c r="L151" s="19" t="str">
        <f>_xlfn.XLOOKUP(Projects[[#This Row],[Implemented by]],Table3[Implemented by],Table3[ImplementedFR],"",FALSE)</f>
        <v xml:space="preserve">Publique </v>
      </c>
      <c r="M151" s="19" t="str">
        <f>_xlfn.XLOOKUP(Projects[[#This Row],[Target audience]],Table4[Target audience],Table4[Target audienceFR],"",FALSE)</f>
        <v>Juges/greffiers</v>
      </c>
      <c r="N151" s="19" t="str">
        <f>IF(Projects[[#This Row],[Target audience2]]="","",_xlfn.XLOOKUP(Projects[[#This Row],[Target audience2]],Table4[Target audience],Table4[Target audienceFR],"Check",FALSE))</f>
        <v/>
      </c>
      <c r="O151" s="19" t="str">
        <f>IF(Projects[[#This Row],[Target audience3]]="","",_xlfn.XLOOKUP(Projects[[#This Row],[Target audience3]],Table4[Target audience],Table4[Target audienceFR],"Check",FALSE))</f>
        <v/>
      </c>
      <c r="P151" s="19" t="str">
        <f>IF(Projects[[#This Row],[Target audience4]]="","",_xlfn.XLOOKUP(Projects[[#This Row],[Target audience4]],Table4[Target audience],Table4[Target audienceFR],"Check",FALSE))</f>
        <v/>
      </c>
      <c r="Q151" s="19" t="str">
        <f>IF(Projects[[#This Row],[Target audience5]]="","",_xlfn.XLOOKUP(Projects[[#This Row],[Target audience5]],Table4[Target audience],Table4[Target audienceFR],"Check",FALSE))</f>
        <v/>
      </c>
      <c r="R151" s="19" t="str">
        <f>_xlfn.XLOOKUP(Projects[[#This Row],[Status]],Table8[Status],Table8[StatusFR],"",FALSE)</f>
        <v>Fonctionnel</v>
      </c>
      <c r="S151" s="19" t="str">
        <f>_xlfn.XLOOKUP(Projects[[#This Row],[Coverage]],Table7[Coverage],Table7[CoverageFR],"",FALSE)</f>
        <v xml:space="preserve">National </v>
      </c>
      <c r="T151" s="31" t="str">
        <f>IF(Projects[[#This Row],[To publish]]="","",Projects[[#This Row],[To publish]])</f>
        <v>Batch 7</v>
      </c>
    </row>
    <row r="152" spans="1:20" ht="180" x14ac:dyDescent="0.25">
      <c r="A152" s="19">
        <f>Projects[[#This Row],[NR]]</f>
        <v>196</v>
      </c>
      <c r="B152" s="19" t="str">
        <f>IF(Projects[[#This Row],[Title]]="","",Projects[[#This Row],[Title]])</f>
        <v>Document Summarization - Epigraphic</v>
      </c>
      <c r="C152" s="19" t="str">
        <f>IF(Projects[[#This Row],[AI Relevance]]="","",Projects[[#This Row],[AI Relevance]])</f>
        <v>AI</v>
      </c>
      <c r="D152" s="19" t="str">
        <f>_xlfn.XLOOKUP(Projects[[#This Row],[Area1]],Table1[Area],Table1[FRArea],"Check",FALSE)</f>
        <v>8 - Services d'information/assistance</v>
      </c>
      <c r="E152" s="19" t="str">
        <f>IF(Projects[[#This Row],[Area2]]="","",_xlfn.XLOOKUP(Projects[[#This Row],[Area2]],Table1[Area],Table1[FRArea],"Check",FALSE))</f>
        <v>4 - Aide à la décision</v>
      </c>
      <c r="F152" s="19" t="str">
        <f>IF(Projects[[#This Row],[Year]]="","",Projects[[#This Row],[Year]])</f>
        <v>2023</v>
      </c>
      <c r="G152" s="19" t="str">
        <f>_xlfn.XLOOKUP(Projects[[#This Row],[Country]],Table2[Country],Table2[Pays],"Check",FALSE)</f>
        <v>Espagne</v>
      </c>
      <c r="H152" s="19" t="str">
        <f>IF(Projects[[#This Row],[Description]]="","",Projects[[#This Row],[Description]])</f>
        <v>Epigraphic document summarization consists on the abstractive summarization of the processed document's subject matter. The result of this summarization is used directly in final IT systems for different purposes (e.g., as the metadata of the processed document).
This tool is part of a suite of AI-powered services provided by the Ministry of the Presidency, Justice and Parliamentary Relations of Spain. It automates and facilitates various document processing tasks including epigraphic document summarisation.</v>
      </c>
      <c r="I152" s="29" t="str">
        <f>IF(Projects[[#This Row],[DescriptionFR]]="","",Projects[[#This Row],[DescriptionFR]])</f>
        <v>La synthèse de documents épigraphiques consiste à résumer de manière abstraite le sujet du document traité. Le résultat de cette synthèse est utilisé directement dans les systèmes informatiques finaux à différentes fins (par exemple, comme métadonnées du document traité).
Cet outil fait partie d'une suite de services basés sur l'intelligence artificielle fournis par le ministère de la Présidence, de la Justice et des Relations parlementaires de l'Espagne. Il automatise et facilite diverses tâches de traitement de documents, notamment la synthèse de documents épigraphiques.</v>
      </c>
      <c r="J152" s="30" t="str">
        <f>IF(Projects[[#This Row],[Link]]="","",Projects[[#This Row],[Link]])</f>
        <v>https://rm.coe.int/internal-system/4880299b55</v>
      </c>
      <c r="K152" s="30" t="str">
        <f>IF(Projects[[#This Row],[Link1]]="","",Projects[[#This Row],[Link1]])</f>
        <v/>
      </c>
      <c r="L152" s="19" t="str">
        <f>_xlfn.XLOOKUP(Projects[[#This Row],[Implemented by]],Table3[Implemented by],Table3[ImplementedFR],"",FALSE)</f>
        <v xml:space="preserve">Publique </v>
      </c>
      <c r="M152" s="19" t="str">
        <f>_xlfn.XLOOKUP(Projects[[#This Row],[Target audience]],Table4[Target audience],Table4[Target audienceFR],"",FALSE)</f>
        <v>Juges/greffiers</v>
      </c>
      <c r="N152" s="19" t="str">
        <f>IF(Projects[[#This Row],[Target audience2]]="","",_xlfn.XLOOKUP(Projects[[#This Row],[Target audience2]],Table4[Target audience],Table4[Target audienceFR],"Check",FALSE))</f>
        <v/>
      </c>
      <c r="O152" s="19" t="str">
        <f>IF(Projects[[#This Row],[Target audience3]]="","",_xlfn.XLOOKUP(Projects[[#This Row],[Target audience3]],Table4[Target audience],Table4[Target audienceFR],"Check",FALSE))</f>
        <v/>
      </c>
      <c r="P152" s="19" t="str">
        <f>IF(Projects[[#This Row],[Target audience4]]="","",_xlfn.XLOOKUP(Projects[[#This Row],[Target audience4]],Table4[Target audience],Table4[Target audienceFR],"Check",FALSE))</f>
        <v/>
      </c>
      <c r="Q152" s="19" t="str">
        <f>IF(Projects[[#This Row],[Target audience5]]="","",_xlfn.XLOOKUP(Projects[[#This Row],[Target audience5]],Table4[Target audience],Table4[Target audienceFR],"Check",FALSE))</f>
        <v/>
      </c>
      <c r="R152" s="19" t="str">
        <f>_xlfn.XLOOKUP(Projects[[#This Row],[Status]],Table8[Status],Table8[StatusFR],"",FALSE)</f>
        <v>Fonctionnel</v>
      </c>
      <c r="S152" s="19" t="str">
        <f>_xlfn.XLOOKUP(Projects[[#This Row],[Coverage]],Table7[Coverage],Table7[CoverageFR],"",FALSE)</f>
        <v xml:space="preserve">National </v>
      </c>
      <c r="T152" s="31" t="str">
        <f>IF(Projects[[#This Row],[To publish]]="","",Projects[[#This Row],[To publish]])</f>
        <v>Batch 7</v>
      </c>
    </row>
    <row r="153" spans="1:20" ht="210" x14ac:dyDescent="0.25">
      <c r="A153" s="19">
        <f>Projects[[#This Row],[NR]]</f>
        <v>197</v>
      </c>
      <c r="B153" s="19" t="str">
        <f>IF(Projects[[#This Row],[Title]]="","",Projects[[#This Row],[Title]])</f>
        <v>Document Summarisation - Sentences/Rulings</v>
      </c>
      <c r="C153" s="19" t="str">
        <f>IF(Projects[[#This Row],[AI Relevance]]="","",Projects[[#This Row],[AI Relevance]])</f>
        <v>AI</v>
      </c>
      <c r="D153" s="19" t="str">
        <f>_xlfn.XLOOKUP(Projects[[#This Row],[Area1]],Table1[Area],Table1[FRArea],"Check",FALSE)</f>
        <v>8 - Services d'information/assistance</v>
      </c>
      <c r="E153" s="19" t="str">
        <f>IF(Projects[[#This Row],[Area2]]="","",_xlfn.XLOOKUP(Projects[[#This Row],[Area2]],Table1[Area],Table1[FRArea],"Check",FALSE))</f>
        <v>4 - Aide à la décision</v>
      </c>
      <c r="F153" s="19" t="str">
        <f>IF(Projects[[#This Row],[Year]]="","",Projects[[#This Row],[Year]])</f>
        <v>2023</v>
      </c>
      <c r="G153" s="19" t="str">
        <f>_xlfn.XLOOKUP(Projects[[#This Row],[Country]],Table2[Country],Table2[Pays],"Check",FALSE)</f>
        <v>Espagne</v>
      </c>
      <c r="H153" s="19" t="str">
        <f>IF(Projects[[#This Row],[Description]]="","",Projects[[#This Row],[Description]])</f>
        <v>With this tool, the most important fragments of a given sentence or ruling are extracted and then presented under their corresponding section (for a sentence: factual background, legal basis and judgment; for a ruling: factual background, legal basis and provisions). There is also the possibility of tuning the length of the outcome.
This tool is part of a suite of AI-powered services provided by the Ministry of the Presidency, Justice and Parliamentary Relations of Spain. It automates and facilitates various document processing tasks including document summarization of sentences and rulings.</v>
      </c>
      <c r="I153" s="29" t="str">
        <f>IF(Projects[[#This Row],[DescriptionFR]]="","",Projects[[#This Row],[DescriptionFR]])</f>
        <v>Grâce à cet outil, les fragments les plus importants d'une phrase ou d'une décision sont extraits, puis présentés dans la section correspondante (pour une phrase : contexte factuel, base juridique et jugement ; pour une décision : contexte factuel, base juridique et dispositions). Il est également possible d'ajuster la longueur du résultat.
Cet outil fait partie d'une suite de services basés sur l'intelligence artificielle fournis par le ministère de la présidence, de la justice et des relations parlementaires de l'Espagne. Il automatise et facilite diverses tâches de traitement de documents, notamment la synthèse de sentences et de décisions judiciaires.</v>
      </c>
      <c r="J153" s="30" t="str">
        <f>IF(Projects[[#This Row],[Link]]="","",Projects[[#This Row],[Link]])</f>
        <v>carpeta.justicia.es</v>
      </c>
      <c r="K153" s="30" t="str">
        <f>IF(Projects[[#This Row],[Link1]]="","",Projects[[#This Row],[Link1]])</f>
        <v/>
      </c>
      <c r="L153" s="19" t="str">
        <f>_xlfn.XLOOKUP(Projects[[#This Row],[Implemented by]],Table3[Implemented by],Table3[ImplementedFR],"",FALSE)</f>
        <v xml:space="preserve">Publique </v>
      </c>
      <c r="M153" s="19" t="str">
        <f>_xlfn.XLOOKUP(Projects[[#This Row],[Target audience]],Table4[Target audience],Table4[Target audienceFR],"",FALSE)</f>
        <v>Usagers des tribunaux (Grand public)</v>
      </c>
      <c r="N153" s="19" t="str">
        <f>IF(Projects[[#This Row],[Target audience2]]="","",_xlfn.XLOOKUP(Projects[[#This Row],[Target audience2]],Table4[Target audience],Table4[Target audienceFR],"Check",FALSE))</f>
        <v/>
      </c>
      <c r="O153" s="19" t="str">
        <f>IF(Projects[[#This Row],[Target audience3]]="","",_xlfn.XLOOKUP(Projects[[#This Row],[Target audience3]],Table4[Target audience],Table4[Target audienceFR],"Check",FALSE))</f>
        <v/>
      </c>
      <c r="P153" s="19" t="str">
        <f>IF(Projects[[#This Row],[Target audience4]]="","",_xlfn.XLOOKUP(Projects[[#This Row],[Target audience4]],Table4[Target audience],Table4[Target audienceFR],"Check",FALSE))</f>
        <v/>
      </c>
      <c r="Q153" s="19" t="str">
        <f>IF(Projects[[#This Row],[Target audience5]]="","",_xlfn.XLOOKUP(Projects[[#This Row],[Target audience5]],Table4[Target audience],Table4[Target audienceFR],"Check",FALSE))</f>
        <v/>
      </c>
      <c r="R153" s="19" t="str">
        <f>_xlfn.XLOOKUP(Projects[[#This Row],[Status]],Table8[Status],Table8[StatusFR],"",FALSE)</f>
        <v>Fonctionnel</v>
      </c>
      <c r="S153" s="19" t="str">
        <f>_xlfn.XLOOKUP(Projects[[#This Row],[Coverage]],Table7[Coverage],Table7[CoverageFR],"",FALSE)</f>
        <v xml:space="preserve">National </v>
      </c>
      <c r="T153" s="31" t="str">
        <f>IF(Projects[[#This Row],[To publish]]="","",Projects[[#This Row],[To publish]])</f>
        <v>Batch 7</v>
      </c>
    </row>
    <row r="154" spans="1:20" ht="165" x14ac:dyDescent="0.25">
      <c r="A154" s="19">
        <f>Projects[[#This Row],[NR]]</f>
        <v>198</v>
      </c>
      <c r="B154" s="19" t="str">
        <f>IF(Projects[[#This Row],[Title]]="","",Projects[[#This Row],[Title]])</f>
        <v>Document Summarisation - General Extractive</v>
      </c>
      <c r="C154" s="19" t="str">
        <f>IF(Projects[[#This Row],[AI Relevance]]="","",Projects[[#This Row],[AI Relevance]])</f>
        <v>AI</v>
      </c>
      <c r="D154" s="19" t="str">
        <f>_xlfn.XLOOKUP(Projects[[#This Row],[Area1]],Table1[Area],Table1[FRArea],"Check",FALSE)</f>
        <v>8 - Services d'information/assistance</v>
      </c>
      <c r="E154" s="19" t="str">
        <f>IF(Projects[[#This Row],[Area2]]="","",_xlfn.XLOOKUP(Projects[[#This Row],[Area2]],Table1[Area],Table1[FRArea],"Check",FALSE))</f>
        <v>4 - Aide à la décision</v>
      </c>
      <c r="F154" s="19" t="str">
        <f>IF(Projects[[#This Row],[Year]]="","",Projects[[#This Row],[Year]])</f>
        <v>2023</v>
      </c>
      <c r="G154" s="19" t="str">
        <f>_xlfn.XLOOKUP(Projects[[#This Row],[Country]],Table2[Country],Table2[Pays],"Check",FALSE)</f>
        <v>Espagne</v>
      </c>
      <c r="H154" s="19" t="str">
        <f>IF(Projects[[#This Row],[Description]]="","",Projects[[#This Row],[Description]])</f>
        <v>With this tool, the most important sentences are extracted from the whole document, without taking into account specific sections, with the possibility of tuning the length of the outcome.
This tool is part of a suite of AI-powered services provided by the Ministry of the Presidency, Justice and Parliamentary Relations of Spain. It automates and facilitates various document processing tasks including the typical, extractive summarization of a document.</v>
      </c>
      <c r="I154" s="29" t="str">
        <f>IF(Projects[[#This Row],[DescriptionFR]]="","",Projects[[#This Row],[DescriptionFR]])</f>
        <v>Grâce à cet outil, les phrases les plus importantes sont extraites de l'ensemble du document, sans tenir compte de sections spécifiques, avec la possibilité d'ajuster la longueur du résultat.
Cet outil fait partie d'une suite de services basés sur l'intelligence artificielle fournis par le ministère de la Présidence, de la Justice et des Relations parlementaires de l'Espagne. Il automatise et facilite diverses tâches de traitement de documents, notamment la synthèse extractive classique d'un document.</v>
      </c>
      <c r="J154" s="30" t="str">
        <f>IF(Projects[[#This Row],[Link]]="","",Projects[[#This Row],[Link]])</f>
        <v>carpeta.justicia.es</v>
      </c>
      <c r="K154" s="30" t="str">
        <f>IF(Projects[[#This Row],[Link1]]="","",Projects[[#This Row],[Link1]])</f>
        <v/>
      </c>
      <c r="L154" s="19" t="str">
        <f>_xlfn.XLOOKUP(Projects[[#This Row],[Implemented by]],Table3[Implemented by],Table3[ImplementedFR],"",FALSE)</f>
        <v xml:space="preserve">Publique </v>
      </c>
      <c r="M154" s="19" t="str">
        <f>_xlfn.XLOOKUP(Projects[[#This Row],[Target audience]],Table4[Target audience],Table4[Target audienceFR],"",FALSE)</f>
        <v>Usagers des tribunaux (Grand public)</v>
      </c>
      <c r="N154" s="19" t="str">
        <f>IF(Projects[[#This Row],[Target audience2]]="","",_xlfn.XLOOKUP(Projects[[#This Row],[Target audience2]],Table4[Target audience],Table4[Target audienceFR],"Check",FALSE))</f>
        <v/>
      </c>
      <c r="O154" s="19" t="str">
        <f>IF(Projects[[#This Row],[Target audience3]]="","",_xlfn.XLOOKUP(Projects[[#This Row],[Target audience3]],Table4[Target audience],Table4[Target audienceFR],"Check",FALSE))</f>
        <v/>
      </c>
      <c r="P154" s="19" t="str">
        <f>IF(Projects[[#This Row],[Target audience4]]="","",_xlfn.XLOOKUP(Projects[[#This Row],[Target audience4]],Table4[Target audience],Table4[Target audienceFR],"Check",FALSE))</f>
        <v/>
      </c>
      <c r="Q154" s="19" t="str">
        <f>IF(Projects[[#This Row],[Target audience5]]="","",_xlfn.XLOOKUP(Projects[[#This Row],[Target audience5]],Table4[Target audience],Table4[Target audienceFR],"Check",FALSE))</f>
        <v/>
      </c>
      <c r="R154" s="19" t="str">
        <f>_xlfn.XLOOKUP(Projects[[#This Row],[Status]],Table8[Status],Table8[StatusFR],"",FALSE)</f>
        <v>Fonctionnel</v>
      </c>
      <c r="S154" s="19" t="str">
        <f>_xlfn.XLOOKUP(Projects[[#This Row],[Coverage]],Table7[Coverage],Table7[CoverageFR],"",FALSE)</f>
        <v xml:space="preserve">National </v>
      </c>
      <c r="T154" s="31" t="str">
        <f>IF(Projects[[#This Row],[To publish]]="","",Projects[[#This Row],[To publish]])</f>
        <v>Batch 7</v>
      </c>
    </row>
    <row r="155" spans="1:20" ht="345" x14ac:dyDescent="0.25">
      <c r="A155" s="19">
        <f>Projects[[#This Row],[NR]]</f>
        <v>199</v>
      </c>
      <c r="B155" s="19" t="str">
        <f>IF(Projects[[#This Row],[Title]]="","",Projects[[#This Row],[Title]])</f>
        <v>Document Summarisation – Plain language (custom)</v>
      </c>
      <c r="C155" s="19" t="str">
        <f>IF(Projects[[#This Row],[AI Relevance]]="","",Projects[[#This Row],[AI Relevance]])</f>
        <v>AI</v>
      </c>
      <c r="D155" s="19" t="str">
        <f>_xlfn.XLOOKUP(Projects[[#This Row],[Area1]],Table1[Area],Table1[FRArea],"Check",FALSE)</f>
        <v>8 - Services d'information/assistance</v>
      </c>
      <c r="E155" s="19" t="str">
        <f>IF(Projects[[#This Row],[Area2]]="","",_xlfn.XLOOKUP(Projects[[#This Row],[Area2]],Table1[Area],Table1[FRArea],"Check",FALSE))</f>
        <v>4 - Aide à la décision</v>
      </c>
      <c r="F155" s="19" t="str">
        <f>IF(Projects[[#This Row],[Year]]="","",Projects[[#This Row],[Year]])</f>
        <v>2023</v>
      </c>
      <c r="G155" s="19" t="str">
        <f>_xlfn.XLOOKUP(Projects[[#This Row],[Country]],Table2[Country],Table2[Pays],"Check",FALSE)</f>
        <v>Espagne</v>
      </c>
      <c r="H155" s="19" t="str">
        <f>IF(Projects[[#This Row],[Description]]="","",Projects[[#This Row],[Description]])</f>
        <v>The service consists of the transcription of a legal text into everyday, non-legal language; with short sentences and terms that make documents, such as sentences or provisions, easy to understand for a person with no legal background.
In this tool, the customization aspect comes from the possibility of choosing the predefined role of the petitioner of the summarization, as well as the corresponding predefined focus of the request (e.g., role: “I am a LAWYER who needs to explain the content of a document to its client”; request: “I want to know the relevant facts of the document”). On top of this predefined prompting, for which the tool has been thoroughly trained, the user can also choose to freely define the description of both, role and request.
This tool is part of a suite of AI-powered services provided by the Ministry of the Presidency, Justice and Parliamentary Relations of Spain. It automates and facilitates various document processing tasks including the (custom) summarization of a legal document in plain language.</v>
      </c>
      <c r="I155" s="29" t="str">
        <f>IF(Projects[[#This Row],[DescriptionFR]]="","",Projects[[#This Row],[DescriptionFR]])</f>
        <v>Le service consiste à transcrire un texte juridique en langage courant, non juridique, avec des phrases courtes et des termes qui rendent les documents, tels que les phrases ou les dispositions, faciles à comprendre pour une personne sans connaissances juridiques.
Dans cet outil, la personnalisation réside dans la possibilité de choisir le rôle prédéfini du demandeur du résumé, ainsi que l'objet prédéfini de la demande (par exemple, rôle : « Je suis un AVOCAT qui doit expliquer le contenu d'un document à son client » ; demande : « Je souhaite connaître les faits pertinents du document »). En plus de ces invites prédéfinies, pour lesquelles l'outil a été minutieusement formé, l'utilisateur peut également choisir de définir librement la description du rôle et de la demande.
Cet outil fait partie d'une suite de services basés sur l'intelligence artificielle fournis par le ministère de la Présidence, de la Justice et des Relations parlementaires de l'Espagne. Il automatise et facilite diverses tâches de traitement de documents, notamment la synthèse (personnalisée) d'un document juridique en langage clair.</v>
      </c>
      <c r="J155" s="30" t="str">
        <f>IF(Projects[[#This Row],[Link]]="","",Projects[[#This Row],[Link]])</f>
        <v>https://rm.coe.int/internal-system/4880299b55</v>
      </c>
      <c r="K155" s="30" t="str">
        <f>IF(Projects[[#This Row],[Link1]]="","",Projects[[#This Row],[Link1]])</f>
        <v/>
      </c>
      <c r="L155" s="19" t="str">
        <f>_xlfn.XLOOKUP(Projects[[#This Row],[Implemented by]],Table3[Implemented by],Table3[ImplementedFR],"",FALSE)</f>
        <v xml:space="preserve">Publique </v>
      </c>
      <c r="M155" s="19" t="str">
        <f>_xlfn.XLOOKUP(Projects[[#This Row],[Target audience]],Table4[Target audience],Table4[Target audienceFR],"",FALSE)</f>
        <v>Usagers des tribunaux (Grand public)</v>
      </c>
      <c r="N155" s="19" t="str">
        <f>IF(Projects[[#This Row],[Target audience2]]="","",_xlfn.XLOOKUP(Projects[[#This Row],[Target audience2]],Table4[Target audience],Table4[Target audienceFR],"Check",FALSE))</f>
        <v/>
      </c>
      <c r="O155" s="19" t="str">
        <f>IF(Projects[[#This Row],[Target audience3]]="","",_xlfn.XLOOKUP(Projects[[#This Row],[Target audience3]],Table4[Target audience],Table4[Target audienceFR],"Check",FALSE))</f>
        <v/>
      </c>
      <c r="P155" s="19" t="str">
        <f>IF(Projects[[#This Row],[Target audience4]]="","",_xlfn.XLOOKUP(Projects[[#This Row],[Target audience4]],Table4[Target audience],Table4[Target audienceFR],"Check",FALSE))</f>
        <v/>
      </c>
      <c r="Q155" s="19" t="str">
        <f>IF(Projects[[#This Row],[Target audience5]]="","",_xlfn.XLOOKUP(Projects[[#This Row],[Target audience5]],Table4[Target audience],Table4[Target audienceFR],"Check",FALSE))</f>
        <v/>
      </c>
      <c r="R155" s="19" t="str">
        <f>_xlfn.XLOOKUP(Projects[[#This Row],[Status]],Table8[Status],Table8[StatusFR],"",FALSE)</f>
        <v>Fonctionnel</v>
      </c>
      <c r="S155" s="19" t="str">
        <f>_xlfn.XLOOKUP(Projects[[#This Row],[Coverage]],Table7[Coverage],Table7[CoverageFR],"",FALSE)</f>
        <v xml:space="preserve">National </v>
      </c>
      <c r="T155" s="31" t="str">
        <f>IF(Projects[[#This Row],[To publish]]="","",Projects[[#This Row],[To publish]])</f>
        <v>Batch 7</v>
      </c>
    </row>
    <row r="156" spans="1:20" ht="195" x14ac:dyDescent="0.25">
      <c r="A156" s="19">
        <f>Projects[[#This Row],[NR]]</f>
        <v>200</v>
      </c>
      <c r="B156" s="19" t="str">
        <f>IF(Projects[[#This Row],[Title]]="","",Projects[[#This Row],[Title]])</f>
        <v>Document Summarisation – Plain language (basic)</v>
      </c>
      <c r="C156" s="19" t="str">
        <f>IF(Projects[[#This Row],[AI Relevance]]="","",Projects[[#This Row],[AI Relevance]])</f>
        <v>AI</v>
      </c>
      <c r="D156" s="19" t="str">
        <f>_xlfn.XLOOKUP(Projects[[#This Row],[Area1]],Table1[Area],Table1[FRArea],"Check",FALSE)</f>
        <v>8 - Services d'information/assistance</v>
      </c>
      <c r="E156" s="19" t="str">
        <f>IF(Projects[[#This Row],[Area2]]="","",_xlfn.XLOOKUP(Projects[[#This Row],[Area2]],Table1[Area],Table1[FRArea],"Check",FALSE))</f>
        <v>4 - Aide à la décision</v>
      </c>
      <c r="F156" s="19" t="str">
        <f>IF(Projects[[#This Row],[Year]]="","",Projects[[#This Row],[Year]])</f>
        <v>2023</v>
      </c>
      <c r="G156" s="19" t="str">
        <f>_xlfn.XLOOKUP(Projects[[#This Row],[Country]],Table2[Country],Table2[Pays],"Check",FALSE)</f>
        <v>Espagne</v>
      </c>
      <c r="H156" s="19" t="str">
        <f>IF(Projects[[#This Row],[Description]]="","",Projects[[#This Row],[Description]])</f>
        <v>The service consists of the transcription of a legal text into everyday, non-legal language; with short sentences and terms that make documents, such as sentences or provisions, easy to understand for a person with no legal background.
This tool is part of a suite of AI-powered services provided by the Ministry of the Presidency, Justice and Parliamentary Relations of Spain. It automates and facilitates various document processing tasks including the summarization of a legal document in plain language.</v>
      </c>
      <c r="I156" s="29" t="str">
        <f>IF(Projects[[#This Row],[DescriptionFR]]="","",Projects[[#This Row],[DescriptionFR]])</f>
        <v>Le service consiste à transcrire un texte juridique en langage courant, non juridique, avec des phrases courtes et des termes qui rendent les documents, tels que les phrases ou les dispositions, faciles à comprendre pour une personne sans connaissances juridiques.
Cet outil fait partie d'une suite de services basés sur l'intelligence artificielle fournis par le ministère de la Présidence, de la Justice et des Relations parlementaires de l'Espagne. Il automatise et facilite diverses tâches de traitement de documents, notamment la synthèse d'un document juridique en langage clair.</v>
      </c>
      <c r="J156" s="30" t="str">
        <f>IF(Projects[[#This Row],[Link]]="","",Projects[[#This Row],[Link]])</f>
        <v>carpeta.justicia.es</v>
      </c>
      <c r="K156" s="30" t="str">
        <f>IF(Projects[[#This Row],[Link1]]="","",Projects[[#This Row],[Link1]])</f>
        <v/>
      </c>
      <c r="L156" s="19" t="str">
        <f>_xlfn.XLOOKUP(Projects[[#This Row],[Implemented by]],Table3[Implemented by],Table3[ImplementedFR],"",FALSE)</f>
        <v xml:space="preserve">Publique </v>
      </c>
      <c r="M156" s="19" t="str">
        <f>_xlfn.XLOOKUP(Projects[[#This Row],[Target audience]],Table4[Target audience],Table4[Target audienceFR],"",FALSE)</f>
        <v>Usagers des tribunaux (Grand public)</v>
      </c>
      <c r="N156" s="19" t="str">
        <f>IF(Projects[[#This Row],[Target audience2]]="","",_xlfn.XLOOKUP(Projects[[#This Row],[Target audience2]],Table4[Target audience],Table4[Target audienceFR],"Check",FALSE))</f>
        <v/>
      </c>
      <c r="O156" s="19" t="str">
        <f>IF(Projects[[#This Row],[Target audience3]]="","",_xlfn.XLOOKUP(Projects[[#This Row],[Target audience3]],Table4[Target audience],Table4[Target audienceFR],"Check",FALSE))</f>
        <v/>
      </c>
      <c r="P156" s="19" t="str">
        <f>IF(Projects[[#This Row],[Target audience4]]="","",_xlfn.XLOOKUP(Projects[[#This Row],[Target audience4]],Table4[Target audience],Table4[Target audienceFR],"Check",FALSE))</f>
        <v/>
      </c>
      <c r="Q156" s="19" t="str">
        <f>IF(Projects[[#This Row],[Target audience5]]="","",_xlfn.XLOOKUP(Projects[[#This Row],[Target audience5]],Table4[Target audience],Table4[Target audienceFR],"Check",FALSE))</f>
        <v/>
      </c>
      <c r="R156" s="19" t="str">
        <f>_xlfn.XLOOKUP(Projects[[#This Row],[Status]],Table8[Status],Table8[StatusFR],"",FALSE)</f>
        <v>Fonctionnel</v>
      </c>
      <c r="S156" s="19" t="str">
        <f>_xlfn.XLOOKUP(Projects[[#This Row],[Coverage]],Table7[Coverage],Table7[CoverageFR],"",FALSE)</f>
        <v xml:space="preserve">National </v>
      </c>
      <c r="T156" s="31" t="str">
        <f>IF(Projects[[#This Row],[To publish]]="","",Projects[[#This Row],[To publish]])</f>
        <v>Batch 7</v>
      </c>
    </row>
    <row r="157" spans="1:20" ht="330" x14ac:dyDescent="0.25">
      <c r="A157" s="19">
        <f>Projects[[#This Row],[NR]]</f>
        <v>201</v>
      </c>
      <c r="B157" s="19" t="str">
        <f>IF(Projects[[#This Row],[Title]]="","",Projects[[#This Row],[Title]])</f>
        <v>Document Summarisation – Easy reading</v>
      </c>
      <c r="C157" s="19" t="str">
        <f>IF(Projects[[#This Row],[AI Relevance]]="","",Projects[[#This Row],[AI Relevance]])</f>
        <v>AI</v>
      </c>
      <c r="D157" s="19" t="str">
        <f>_xlfn.XLOOKUP(Projects[[#This Row],[Area1]],Table1[Area],Table1[FRArea],"Check",FALSE)</f>
        <v>8 - Services d'information/assistance</v>
      </c>
      <c r="E157" s="19" t="str">
        <f>IF(Projects[[#This Row],[Area2]]="","",_xlfn.XLOOKUP(Projects[[#This Row],[Area2]],Table1[Area],Table1[FRArea],"Check",FALSE))</f>
        <v>4 - Aide à la décision</v>
      </c>
      <c r="F157" s="19" t="str">
        <f>IF(Projects[[#This Row],[Year]]="","",Projects[[#This Row],[Year]])</f>
        <v>2023</v>
      </c>
      <c r="G157" s="19" t="str">
        <f>_xlfn.XLOOKUP(Projects[[#This Row],[Country]],Table2[Country],Table2[Pays],"Check",FALSE)</f>
        <v>Espagne</v>
      </c>
      <c r="H157" s="19" t="str">
        <f>IF(Projects[[#This Row],[Description]]="","",Projects[[#This Row],[Description]])</f>
        <v>This service adapts a sentence into an easy reading format. Specifically, it adapts sentences mandating the adoption of support measures for the dependency of people with intellectual disabilities (e.g., measures such as guardianship over medical treatment, over decisions that affect the assets of the disabled person, the restriction on the granting of legal powers, etc).
This easy reading format combines pictograms and plain language which phrases have been truncated before or after certain syntagmas (based on the UNE 153101:2018 Spanish norm) in order to maximize the understanding of the message by people with intellectual disabilities. The document generated as outcome also includes a glossary of legal words.
This tool is part of a suite of AI-powered services provided by the Ministry of the Presidency, Justice and Parliamentary Relations of Spain. It automates and facilitates various document processing tasks including easy reading summarization of a legal document.</v>
      </c>
      <c r="I157" s="29" t="str">
        <f>IF(Projects[[#This Row],[DescriptionFR]]="","",Projects[[#This Row],[DescriptionFR]])</f>
        <v>Ce service adapte une phrase dans un format facile à lire. Plus précisément, il adapte les phrases imposant l'adoption de mesures de soutien pour la dépendance des personnes handicapées mentales (par exemple, des mesures telles que la tutelle pour les traitements médicaux, pour les décisions qui affectent les biens de la personne handicapée, la restriction de l'octroi de pouvoirs juridiques, etc.).
Ce format de lecture facile combine des pictogrammes et un langage simple, les phrases ayant été tronquées avant ou après certains syntagmes (sur la base de la norme espagnole UNE 153101:2018) afin de maximiser la compréhension du message par les personnes handicapées mentales. Le document généré comprend également un glossaire des termes juridiques.
Cet outil fait partie d'une suite de services basés sur l'intelligence artificielle fournis par le ministère de la Présidence, de la Justice et des Relations parlementaires de l'Espagne. Il automatise et facilite diverses tâches de traitement de documents, notamment la synthèse facile à lire d'un document juridique.</v>
      </c>
      <c r="J157" s="30" t="str">
        <f>IF(Projects[[#This Row],[Link]]="","",Projects[[#This Row],[Link]])</f>
        <v>https://rm.coe.int/internal-system/4880299b55</v>
      </c>
      <c r="K157" s="30" t="str">
        <f>IF(Projects[[#This Row],[Link1]]="","",Projects[[#This Row],[Link1]])</f>
        <v/>
      </c>
      <c r="L157" s="19" t="str">
        <f>_xlfn.XLOOKUP(Projects[[#This Row],[Implemented by]],Table3[Implemented by],Table3[ImplementedFR],"",FALSE)</f>
        <v xml:space="preserve">Publique </v>
      </c>
      <c r="M157" s="19" t="str">
        <f>_xlfn.XLOOKUP(Projects[[#This Row],[Target audience]],Table4[Target audience],Table4[Target audienceFR],"",FALSE)</f>
        <v>Usagers des tribunaux (Grand public)</v>
      </c>
      <c r="N157" s="19" t="str">
        <f>IF(Projects[[#This Row],[Target audience2]]="","",_xlfn.XLOOKUP(Projects[[#This Row],[Target audience2]],Table4[Target audience],Table4[Target audienceFR],"Check",FALSE))</f>
        <v/>
      </c>
      <c r="O157" s="19" t="str">
        <f>IF(Projects[[#This Row],[Target audience3]]="","",_xlfn.XLOOKUP(Projects[[#This Row],[Target audience3]],Table4[Target audience],Table4[Target audienceFR],"Check",FALSE))</f>
        <v/>
      </c>
      <c r="P157" s="19" t="str">
        <f>IF(Projects[[#This Row],[Target audience4]]="","",_xlfn.XLOOKUP(Projects[[#This Row],[Target audience4]],Table4[Target audience],Table4[Target audienceFR],"Check",FALSE))</f>
        <v/>
      </c>
      <c r="Q157" s="19" t="str">
        <f>IF(Projects[[#This Row],[Target audience5]]="","",_xlfn.XLOOKUP(Projects[[#This Row],[Target audience5]],Table4[Target audience],Table4[Target audienceFR],"Check",FALSE))</f>
        <v/>
      </c>
      <c r="R157" s="19" t="str">
        <f>_xlfn.XLOOKUP(Projects[[#This Row],[Status]],Table8[Status],Table8[StatusFR],"",FALSE)</f>
        <v>Fonctionnel</v>
      </c>
      <c r="S157" s="19" t="str">
        <f>_xlfn.XLOOKUP(Projects[[#This Row],[Coverage]],Table7[Coverage],Table7[CoverageFR],"",FALSE)</f>
        <v xml:space="preserve">National </v>
      </c>
      <c r="T157" s="31" t="str">
        <f>IF(Projects[[#This Row],[To publish]]="","",Projects[[#This Row],[To publish]])</f>
        <v>Batch 7</v>
      </c>
    </row>
    <row r="158" spans="1:20" ht="409.5" x14ac:dyDescent="0.25">
      <c r="A158" s="19">
        <f>Projects[[#This Row],[NR]]</f>
        <v>202</v>
      </c>
      <c r="B158" s="19" t="str">
        <f>IF(Projects[[#This Row],[Title]]="","",Projects[[#This Row],[Title]])</f>
        <v>Document Classification - Document Type by Subject</v>
      </c>
      <c r="C158" s="19" t="str">
        <f>IF(Projects[[#This Row],[AI Relevance]]="","",Projects[[#This Row],[AI Relevance]])</f>
        <v>AI</v>
      </c>
      <c r="D158" s="19" t="str">
        <f>_xlfn.XLOOKUP(Projects[[#This Row],[Area1]],Table1[Area],Table1[FRArea],"Check",FALSE)</f>
        <v>6 - Triage, attribution et automatisation des flux de travail</v>
      </c>
      <c r="E158" s="19" t="str">
        <f>IF(Projects[[#This Row],[Area2]]="","",_xlfn.XLOOKUP(Projects[[#This Row],[Area2]],Table1[Area],Table1[FRArea],"Check",FALSE))</f>
        <v/>
      </c>
      <c r="F158" s="19" t="str">
        <f>IF(Projects[[#This Row],[Year]]="","",Projects[[#This Row],[Year]])</f>
        <v>2023</v>
      </c>
      <c r="G158" s="19" t="str">
        <f>_xlfn.XLOOKUP(Projects[[#This Row],[Country]],Table2[Country],Table2[Pays],"Check",FALSE)</f>
        <v>Espagne</v>
      </c>
      <c r="H158" s="19" t="str">
        <f>IF(Projects[[#This Row],[Description]]="","",Projects[[#This Row],[Description]])</f>
        <v>The service classifies the subject matter of a document part of a civil procedure. To proceed with the classification, the user or automated system must upload the document, which will then be categorized, with a certain probability, as related to one or another subject matter. For example:
If the user (or automated system) uploaded a civil claim for damages, one possible outcome of the system would be:
· Claim for damages – With an 87.11% probability.
· Other commercial matters – With a 4.84% probability.
· Horizontal property law – With a 1.13% probability.
What would have happened if the user (or automated system) had updated a document part of a procedure of a jurisdiction different than civil? In such case, the system would have categorized the document as “BG” with a high probability, meaning that it is regarded as background noise, and therefore not part of a civil procedure.
This tool is part of a suite of AI-powered services provided by the Ministry of the Presidency, Justice and Parliamentary Relations of Spain. It automates and facilitates various document processing tasks including document classification by subject.</v>
      </c>
      <c r="I158" s="29" t="str">
        <f>IF(Projects[[#This Row],[DescriptionFR]]="","",Projects[[#This Row],[DescriptionFR]])</f>
        <v>Le service classe le sujet d'un document faisant partie d'une procédure civile. Pour procéder à la classification, l'utilisateur ou le système automatisé doit télécharger le document, qui sera ensuite classé, avec une certaine probabilité, comme étant lié à un sujet ou à un autre. Par exemple :
Si l'utilisateur (ou le système automatisé) a téléchargé une demande civile en dommages-intérêts, le système pourrait aboutir à l'un des résultats suivants :
· Demande en dommages-intérêts – Avec une probabilité de 87,11 %.
· Autres affaires commerciales – avec une probabilité de 4,84 %.
· Droit horizontal de la propriété – avec une probabilité de 1,13 %.
Que se serait-il passé si l'utilisateur (ou le système automatisé) avait mis à jour un document faisant partie d'une procédure relevant d'une juridiction autre que civile ? Dans ce cas, le système aurait classé le document comme « BG » avec une forte probabilité, ce qui signifie qu'il est considéré comme du bruit de fond et ne fait donc pas partie d'une procédure civile.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sujet.</v>
      </c>
      <c r="J158" s="30" t="str">
        <f>IF(Projects[[#This Row],[Link]]="","",Projects[[#This Row],[Link]])</f>
        <v>https://rm.coe.int/internal-system/4880299b55</v>
      </c>
      <c r="K158" s="30" t="str">
        <f>IF(Projects[[#This Row],[Link1]]="","",Projects[[#This Row],[Link1]])</f>
        <v/>
      </c>
      <c r="L158" s="19" t="str">
        <f>_xlfn.XLOOKUP(Projects[[#This Row],[Implemented by]],Table3[Implemented by],Table3[ImplementedFR],"",FALSE)</f>
        <v xml:space="preserve">Publique </v>
      </c>
      <c r="M158" s="19" t="str">
        <f>_xlfn.XLOOKUP(Projects[[#This Row],[Target audience]],Table4[Target audience],Table4[Target audienceFR],"",FALSE)</f>
        <v>Gestion</v>
      </c>
      <c r="N158" s="19" t="str">
        <f>IF(Projects[[#This Row],[Target audience2]]="","",_xlfn.XLOOKUP(Projects[[#This Row],[Target audience2]],Table4[Target audience],Table4[Target audienceFR],"Check",FALSE))</f>
        <v/>
      </c>
      <c r="O158" s="19" t="str">
        <f>IF(Projects[[#This Row],[Target audience3]]="","",_xlfn.XLOOKUP(Projects[[#This Row],[Target audience3]],Table4[Target audience],Table4[Target audienceFR],"Check",FALSE))</f>
        <v/>
      </c>
      <c r="P158" s="19" t="str">
        <f>IF(Projects[[#This Row],[Target audience4]]="","",_xlfn.XLOOKUP(Projects[[#This Row],[Target audience4]],Table4[Target audience],Table4[Target audienceFR],"Check",FALSE))</f>
        <v/>
      </c>
      <c r="Q158" s="19" t="str">
        <f>IF(Projects[[#This Row],[Target audience5]]="","",_xlfn.XLOOKUP(Projects[[#This Row],[Target audience5]],Table4[Target audience],Table4[Target audienceFR],"Check",FALSE))</f>
        <v/>
      </c>
      <c r="R158" s="19" t="str">
        <f>_xlfn.XLOOKUP(Projects[[#This Row],[Status]],Table8[Status],Table8[StatusFR],"",FALSE)</f>
        <v>Fonctionnel</v>
      </c>
      <c r="S158" s="19" t="str">
        <f>_xlfn.XLOOKUP(Projects[[#This Row],[Coverage]],Table7[Coverage],Table7[CoverageFR],"",FALSE)</f>
        <v xml:space="preserve">National </v>
      </c>
      <c r="T158" s="31" t="str">
        <f>IF(Projects[[#This Row],[To publish]]="","",Projects[[#This Row],[To publish]])</f>
        <v>Batch 7</v>
      </c>
    </row>
    <row r="159" spans="1:20" ht="409.5" x14ac:dyDescent="0.25">
      <c r="A159" s="19">
        <f>Projects[[#This Row],[NR]]</f>
        <v>203</v>
      </c>
      <c r="B159" s="19" t="str">
        <f>IF(Projects[[#This Row],[Title]]="","",Projects[[#This Row],[Title]])</f>
        <v>Document Classification by Registry Class</v>
      </c>
      <c r="C159" s="19" t="str">
        <f>IF(Projects[[#This Row],[AI Relevance]]="","",Projects[[#This Row],[AI Relevance]])</f>
        <v>AI</v>
      </c>
      <c r="D159" s="19" t="str">
        <f>_xlfn.XLOOKUP(Projects[[#This Row],[Area1]],Table1[Area],Table1[FRArea],"Check",FALSE)</f>
        <v>6 - Triage, attribution et automatisation des flux de travail</v>
      </c>
      <c r="E159" s="19" t="str">
        <f>IF(Projects[[#This Row],[Area2]]="","",_xlfn.XLOOKUP(Projects[[#This Row],[Area2]],Table1[Area],Table1[FRArea],"Check",FALSE))</f>
        <v/>
      </c>
      <c r="F159" s="19" t="str">
        <f>IF(Projects[[#This Row],[Year]]="","",Projects[[#This Row],[Year]])</f>
        <v>2023</v>
      </c>
      <c r="G159" s="19" t="str">
        <f>_xlfn.XLOOKUP(Projects[[#This Row],[Country]],Table2[Country],Table2[Pays],"Check",FALSE)</f>
        <v>Espagne</v>
      </c>
      <c r="H159" s="19" t="str">
        <f>IF(Projects[[#This Row],[Description]]="","",Projects[[#This Row],[Description]])</f>
        <v>To proceed with the classification, the user or automated system must select first the jurisdiction where the registry entry was made: civil, commercial, instruction, administrative or social.
Once the jurisdiction is selected, the user (or automated system) must upload the document to be classified, which will then be categorized, with a certain probability, as one or another registry class.
Consider, for example, that the uploaded document was produced for a civil case. A possible outcome of the system would be:
· The specialty of the document is “civil”, and the national registration class is “national enforcement orders” with a 93,85% probability.
· The specialty of the document is “civil”, and the national registration class is “proceedings on the adoption of judicial support measures for persons with disabilities” with a 0,92% probability.
· The specialty of the document is “civil”, and the national registration class is “provisional enforcement” with a 0,53% probability.
Therefore, the uploaded registry entry (document) would be classified as a national enforcement order.
What would have happened if the user (or automated system) had selected a different jurisdiction for this registry entry? In such case, the system would have categorized the
document as “BG” with a high probability, meaning that such document is regarded as background noise for the chosen jurisdiction and thus belongs to a different one.
An incredibly useful functionality to classify documents and aid with their metadata.
This tool is part of a suite of AI-powered services provided by the Ministry of the Presidency, Justice and Parliamentary Relations of Spain. It automates and facilitates various document processing tasks including document classification by registry class.</v>
      </c>
      <c r="I159" s="29" t="str">
        <f>IF(Projects[[#This Row],[DescriptionFR]]="","",Projects[[#This Row],[DescriptionFR]])</f>
        <v>Pour procéder au classement, l'utilisateur ou le système automatisé doit d'abord sélectionner la juridiction où l'inscription au registre a été effectuée : civile, commerciale, d'instruction, administrative ou sociale.
Une fois la juridiction sélectionnée, l'utilisateur (ou le système automatisé) doit télécharger le document à classer, qui sera ensuite catégorisé, avec une certaine probabilité, dans l'une ou l'autre classe de registre.
Supposons, par exemple, que le document téléchargé ait été produit dans le cadre d'une affaire civile. Le système pourrait aboutir aux résultats suivants :
· La spécialité du document est « civile » et la classe d'enregistrement nationale est « ordonnances d'exécution nationales » avec une probabilité de 93,85 %.
· La spécialité du document est « civil » et la classe d'enregistrement nationale est « procédures relatives à l'adoption de mesures judiciaires d'assistance aux personnes handicapées » avec une probabilité de 0,92 %.
· La spécialité du document est « civil » et la classe d'enregistrement nationale est « exécution provisoire » avec une probabilité de 0,53 %.
Par conséquent, l'entrée du registre téléchargée (document) serait classée comme une décision d'exécution nationale.
Que se serait-il passé si l'utilisateur (ou le système automatisé) avait sélectionné une juridiction différente pour cette entrée du registre ? Dans ce cas, le système aurait classé le document comme « BG » avec une forte probabilité, ce qui signifie que ce document est considéré comme un bruit de fond pour la juridiction choisie et appartient donc à une autre juridiction.
Il s'agit d'une fonctionnalité extrêmement utile pour classer les documents et faciliter l'utilisation de leurs métadonnées.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catégorie de registre.</v>
      </c>
      <c r="J159" s="30" t="str">
        <f>IF(Projects[[#This Row],[Link]]="","",Projects[[#This Row],[Link]])</f>
        <v>https://rm.coe.int/internal-system/4880299b55</v>
      </c>
      <c r="K159" s="30" t="str">
        <f>IF(Projects[[#This Row],[Link1]]="","",Projects[[#This Row],[Link1]])</f>
        <v/>
      </c>
      <c r="L159" s="19" t="str">
        <f>_xlfn.XLOOKUP(Projects[[#This Row],[Implemented by]],Table3[Implemented by],Table3[ImplementedFR],"",FALSE)</f>
        <v xml:space="preserve">Publique </v>
      </c>
      <c r="M159" s="19" t="str">
        <f>_xlfn.XLOOKUP(Projects[[#This Row],[Target audience]],Table4[Target audience],Table4[Target audienceFR],"",FALSE)</f>
        <v>Gestion</v>
      </c>
      <c r="N159" s="19" t="str">
        <f>IF(Projects[[#This Row],[Target audience2]]="","",_xlfn.XLOOKUP(Projects[[#This Row],[Target audience2]],Table4[Target audience],Table4[Target audienceFR],"Check",FALSE))</f>
        <v/>
      </c>
      <c r="O159" s="19" t="str">
        <f>IF(Projects[[#This Row],[Target audience3]]="","",_xlfn.XLOOKUP(Projects[[#This Row],[Target audience3]],Table4[Target audience],Table4[Target audienceFR],"Check",FALSE))</f>
        <v/>
      </c>
      <c r="P159" s="19" t="str">
        <f>IF(Projects[[#This Row],[Target audience4]]="","",_xlfn.XLOOKUP(Projects[[#This Row],[Target audience4]],Table4[Target audience],Table4[Target audienceFR],"Check",FALSE))</f>
        <v/>
      </c>
      <c r="Q159" s="19" t="str">
        <f>IF(Projects[[#This Row],[Target audience5]]="","",_xlfn.XLOOKUP(Projects[[#This Row],[Target audience5]],Table4[Target audience],Table4[Target audienceFR],"Check",FALSE))</f>
        <v/>
      </c>
      <c r="R159" s="19" t="str">
        <f>_xlfn.XLOOKUP(Projects[[#This Row],[Status]],Table8[Status],Table8[StatusFR],"",FALSE)</f>
        <v>Fonctionnel</v>
      </c>
      <c r="S159" s="19" t="str">
        <f>_xlfn.XLOOKUP(Projects[[#This Row],[Coverage]],Table7[Coverage],Table7[CoverageFR],"",FALSE)</f>
        <v xml:space="preserve">National </v>
      </c>
      <c r="T159" s="31" t="str">
        <f>IF(Projects[[#This Row],[To publish]]="","",Projects[[#This Row],[To publish]])</f>
        <v>Batch 7</v>
      </c>
    </row>
    <row r="160" spans="1:20" ht="409.5" x14ac:dyDescent="0.25">
      <c r="A160" s="19">
        <f>Projects[[#This Row],[NR]]</f>
        <v>204</v>
      </c>
      <c r="B160" s="19" t="str">
        <f>IF(Projects[[#This Row],[Title]]="","",Projects[[#This Row],[Title]])</f>
        <v>LexNET - NLP-automated upload of information</v>
      </c>
      <c r="C160" s="19" t="str">
        <f>IF(Projects[[#This Row],[AI Relevance]]="","",Projects[[#This Row],[AI Relevance]])</f>
        <v>AI</v>
      </c>
      <c r="D160" s="19" t="str">
        <f>_xlfn.XLOOKUP(Projects[[#This Row],[Area1]],Table1[Area],Table1[FRArea],"Check",FALSE)</f>
        <v>6 - Triage, attribution et automatisation des flux de travail</v>
      </c>
      <c r="E160" s="19" t="str">
        <f>IF(Projects[[#This Row],[Area2]]="","",_xlfn.XLOOKUP(Projects[[#This Row],[Area2]],Table1[Area],Table1[FRArea],"Check",FALSE))</f>
        <v/>
      </c>
      <c r="F160" s="19" t="str">
        <f>IF(Projects[[#This Row],[Year]]="","",Projects[[#This Row],[Year]])</f>
        <v>2023</v>
      </c>
      <c r="G160" s="19" t="str">
        <f>_xlfn.XLOOKUP(Projects[[#This Row],[Country]],Table2[Country],Table2[Pays],"Check",FALSE)</f>
        <v>Espagne</v>
      </c>
      <c r="H160" s="19" t="str">
        <f>IF(Projects[[#This Row],[Description]]="","",Projects[[#This Row],[Description]])</f>
        <v>LexNET is the secure information exchange platform between judicial bodies and professionals involved with the Administration of Justice; with full legal effect, it is provided by the Ministry of the Presidency, Justice and Parliamentary Relations of Spain.
LexNET allows for the digital submission of documents, as well as the transfer of copies when needed, by legal practitioners. It also allows for the delivery of notifications from judicial bodies. 
LexNET has incorporated Natural Language Processing (NLP) to streamline the update of new procedural documents.
In particular, NLP is used to scan the documents (to be forwarded to judicial bodies) and extract the different nominal entities contained therein. These entities are then matched with the fields of the form that must be completed to properly route the forward of any given document – fields that the user would have needed to select manually, one by one. However, when matched, such fields are automatically set to the value of the extracted nominal entities, thus releasing the user from such manual burden. A process that used to take minutes, now reduced to few seconds thanks to AI.</v>
      </c>
      <c r="I160" s="29" t="str">
        <f>IF(Projects[[#This Row],[DescriptionFR]]="","",Projects[[#This Row],[DescriptionFR]])</f>
        <v>LexNET est la plateforme sécurisée d'échange d'informations entre les organes judiciaires et les professionnels impliqués dans l'administration de la justice. Dotée d'une pleine valeur juridique, elle est mise à disposition par le ministère de la Présidence, de la Justice et des Relations parlementaires de l'Espagne.
LexNET permet aux praticiens du droit de soumettre des documents sous forme numérique et de transférer des copies si nécessaire. Elle permet également la transmission de notifications par les organes judiciaires.
LexNET a intégré le traitement du langage naturel (NLP) afin de rationaliser la mise à jour des nouveaux documents procéduraux.
Le NLP est notamment utilisé pour analyser les documents (à transmettre aux instances judiciaires) et extraire les différentes entités nominales qu'ils contiennent. Ces entités sont ensuite mises en correspondance avec les champs du formulaire qui doivent être remplis pour acheminer correctement tout document donné, champs que l'utilisateur aurait dû sélectionner manuellement, un par un. Cependant, une fois mis en correspondance, ces champs sont automatiquement renseignés avec la valeur des entités nominales extraites, ce qui libère l'utilisateur de cette tâche manuelle. Un processus qui prenait auparavant plusieurs minutes est désormais réduit à quelques secondes grâce à l'IA.</v>
      </c>
      <c r="J160" s="30" t="str">
        <f>IF(Projects[[#This Row],[Link]]="","",Projects[[#This Row],[Link]])</f>
        <v>https://lexnet.justicia.es/</v>
      </c>
      <c r="K160" s="30" t="str">
        <f>IF(Projects[[#This Row],[Link1]]="","",Projects[[#This Row],[Link1]])</f>
        <v/>
      </c>
      <c r="L160" s="19" t="str">
        <f>_xlfn.XLOOKUP(Projects[[#This Row],[Implemented by]],Table3[Implemented by],Table3[ImplementedFR],"",FALSE)</f>
        <v xml:space="preserve">Publique </v>
      </c>
      <c r="M160" s="19" t="str">
        <f>_xlfn.XLOOKUP(Projects[[#This Row],[Target audience]],Table4[Target audience],Table4[Target audienceFR],"",FALSE)</f>
        <v>Gestion</v>
      </c>
      <c r="N160" s="19" t="str">
        <f>IF(Projects[[#This Row],[Target audience2]]="","",_xlfn.XLOOKUP(Projects[[#This Row],[Target audience2]],Table4[Target audience],Table4[Target audienceFR],"Check",FALSE))</f>
        <v>Juges/greffiers</v>
      </c>
      <c r="O160" s="19" t="str">
        <f>IF(Projects[[#This Row],[Target audience3]]="","",_xlfn.XLOOKUP(Projects[[#This Row],[Target audience3]],Table4[Target audience],Table4[Target audienceFR],"Check",FALSE))</f>
        <v>Avocats</v>
      </c>
      <c r="P160" s="19" t="str">
        <f>IF(Projects[[#This Row],[Target audience4]]="","",_xlfn.XLOOKUP(Projects[[#This Row],[Target audience4]],Table4[Target audience],Table4[Target audienceFR],"Check",FALSE))</f>
        <v>Procureurs/greffiers</v>
      </c>
      <c r="Q160" s="19" t="str">
        <f>IF(Projects[[#This Row],[Target audience5]]="","",_xlfn.XLOOKUP(Projects[[#This Row],[Target audience5]],Table4[Target audience],Table4[Target audienceFR],"Check",FALSE))</f>
        <v/>
      </c>
      <c r="R160" s="19" t="str">
        <f>_xlfn.XLOOKUP(Projects[[#This Row],[Status]],Table8[Status],Table8[StatusFR],"",FALSE)</f>
        <v>Fonctionnel</v>
      </c>
      <c r="S160" s="19" t="str">
        <f>_xlfn.XLOOKUP(Projects[[#This Row],[Coverage]],Table7[Coverage],Table7[CoverageFR],"",FALSE)</f>
        <v xml:space="preserve">National </v>
      </c>
      <c r="T160" s="31" t="str">
        <f>IF(Projects[[#This Row],[To publish]]="","",Projects[[#This Row],[To publish]])</f>
        <v>Batch 7</v>
      </c>
    </row>
    <row r="161" spans="1:20" ht="360" x14ac:dyDescent="0.25">
      <c r="A161" s="19">
        <f>Projects[[#This Row],[NR]]</f>
        <v>205</v>
      </c>
      <c r="B161" s="19" t="str">
        <f>IF(Projects[[#This Row],[Title]]="","",Projects[[#This Row],[Title]])</f>
        <v>Document Classification by Jurisdiction</v>
      </c>
      <c r="C161" s="19" t="str">
        <f>IF(Projects[[#This Row],[AI Relevance]]="","",Projects[[#This Row],[AI Relevance]])</f>
        <v>AI</v>
      </c>
      <c r="D161" s="19" t="str">
        <f>_xlfn.XLOOKUP(Projects[[#This Row],[Area1]],Table1[Area],Table1[FRArea],"Check",FALSE)</f>
        <v>6 - Triage, attribution et automatisation des flux de travail</v>
      </c>
      <c r="E161" s="19" t="str">
        <f>IF(Projects[[#This Row],[Area2]]="","",_xlfn.XLOOKUP(Projects[[#This Row],[Area2]],Table1[Area],Table1[FRArea],"Check",FALSE))</f>
        <v/>
      </c>
      <c r="F161" s="19" t="str">
        <f>IF(Projects[[#This Row],[Year]]="","",Projects[[#This Row],[Year]])</f>
        <v>2023</v>
      </c>
      <c r="G161" s="19" t="str">
        <f>_xlfn.XLOOKUP(Projects[[#This Row],[Country]],Table2[Country],Table2[Pays],"Check",FALSE)</f>
        <v>Espagne</v>
      </c>
      <c r="H161" s="19" t="str">
        <f>IF(Projects[[#This Row],[Description]]="","",Projects[[#This Row],[Description]])</f>
        <v>The service classifies a document according to its jurisdiction (civil, criminal, social or administrative) with a certain probability, showing the percentage of coincidence.
For example, if the user or automated system uploaded a criminal sentence to the service, the tool outcome would be:
· The specialty of the document is “civil” with a 0,02% probability.
· The specialty of the document is “criminal” with a 99,97% probability.
· The specialty of the document is “social” with a 0,01% probability.
· The specialty of the document is “administrative” with a 0,00% probability.
An incredibly useful functionality to classify documents and aid with their metadata
This tool is part of a suite of AI-powered services provided by the Ministry of the Presidency, Justice and Parliamentary Relations of Spain. It automates and facilitates various document processing tasks including document classification by jurisdiction.</v>
      </c>
      <c r="I161" s="29" t="str">
        <f>IF(Projects[[#This Row],[DescriptionFR]]="","",Projects[[#This Row],[DescriptionFR]])</f>
        <v>Le service classe un document en fonction de sa juridiction (civile, pénale, sociale ou administrative) avec un certain degré de probabilité, en indiquant le pourcentage de coïncidence.
Par exemple, si l'utilisateur ou le système automatisé télécharge une condamnation pénale sur le service, le résultat de l'outil sera le suivant :
· La spécialité du document est « civile » avec une probabilité de 0,02 %.
· La spécialité du document est « pénale » avec une probabilité de 99,97 %.
· La spécialité du document est « sociale » avec une probabilité de 0,01 %.
· La spécialité du document est « administrative » avec une probabilité de 0,00 %.
Une fonctionnalité extrêmement utile pour classer les documents et faciliter la saisie de leurs métadonnées.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juridiction.</v>
      </c>
      <c r="J161" s="30" t="str">
        <f>IF(Projects[[#This Row],[Link]]="","",Projects[[#This Row],[Link]])</f>
        <v>https://rm.coe.int/internal-system/4880299b55</v>
      </c>
      <c r="K161" s="30" t="str">
        <f>IF(Projects[[#This Row],[Link1]]="","",Projects[[#This Row],[Link1]])</f>
        <v/>
      </c>
      <c r="L161" s="19" t="str">
        <f>_xlfn.XLOOKUP(Projects[[#This Row],[Implemented by]],Table3[Implemented by],Table3[ImplementedFR],"",FALSE)</f>
        <v xml:space="preserve">Publique </v>
      </c>
      <c r="M161" s="19" t="str">
        <f>_xlfn.XLOOKUP(Projects[[#This Row],[Target audience]],Table4[Target audience],Table4[Target audienceFR],"",FALSE)</f>
        <v>Gestion</v>
      </c>
      <c r="N161" s="19" t="str">
        <f>IF(Projects[[#This Row],[Target audience2]]="","",_xlfn.XLOOKUP(Projects[[#This Row],[Target audience2]],Table4[Target audience],Table4[Target audienceFR],"Check",FALSE))</f>
        <v>Juges/greffiers</v>
      </c>
      <c r="O161" s="19" t="str">
        <f>IF(Projects[[#This Row],[Target audience3]]="","",_xlfn.XLOOKUP(Projects[[#This Row],[Target audience3]],Table4[Target audience],Table4[Target audienceFR],"Check",FALSE))</f>
        <v>Avocats</v>
      </c>
      <c r="P161" s="19" t="str">
        <f>IF(Projects[[#This Row],[Target audience4]]="","",_xlfn.XLOOKUP(Projects[[#This Row],[Target audience4]],Table4[Target audience],Table4[Target audienceFR],"Check",FALSE))</f>
        <v>Procureurs/greffiers</v>
      </c>
      <c r="Q161" s="19" t="str">
        <f>IF(Projects[[#This Row],[Target audience5]]="","",_xlfn.XLOOKUP(Projects[[#This Row],[Target audience5]],Table4[Target audience],Table4[Target audienceFR],"Check",FALSE))</f>
        <v/>
      </c>
      <c r="R161" s="19" t="str">
        <f>_xlfn.XLOOKUP(Projects[[#This Row],[Status]],Table8[Status],Table8[StatusFR],"",FALSE)</f>
        <v>Fonctionnel</v>
      </c>
      <c r="S161" s="19" t="str">
        <f>_xlfn.XLOOKUP(Projects[[#This Row],[Coverage]],Table7[Coverage],Table7[CoverageFR],"",FALSE)</f>
        <v xml:space="preserve">National </v>
      </c>
      <c r="T161" s="31" t="str">
        <f>IF(Projects[[#This Row],[To publish]]="","",Projects[[#This Row],[To publish]])</f>
        <v>Batch 7</v>
      </c>
    </row>
    <row r="162" spans="1:20" ht="409.5" x14ac:dyDescent="0.25">
      <c r="A162" s="19">
        <f>Projects[[#This Row],[NR]]</f>
        <v>206</v>
      </c>
      <c r="B162" s="19" t="str">
        <f>IF(Projects[[#This Row],[Title]]="","",Projects[[#This Row],[Title]])</f>
        <v>Document Classification - Document Type by Issuer</v>
      </c>
      <c r="C162" s="19" t="str">
        <f>IF(Projects[[#This Row],[AI Relevance]]="","",Projects[[#This Row],[AI Relevance]])</f>
        <v>AI</v>
      </c>
      <c r="D162" s="19" t="str">
        <f>_xlfn.XLOOKUP(Projects[[#This Row],[Area1]],Table1[Area],Table1[FRArea],"Check",FALSE)</f>
        <v>6 - Triage, attribution et automatisation des flux de travail</v>
      </c>
      <c r="E162" s="19" t="str">
        <f>IF(Projects[[#This Row],[Area2]]="","",_xlfn.XLOOKUP(Projects[[#This Row],[Area2]],Table1[Area],Table1[FRArea],"Check",FALSE))</f>
        <v/>
      </c>
      <c r="F162" s="19" t="str">
        <f>IF(Projects[[#This Row],[Year]]="","",Projects[[#This Row],[Year]])</f>
        <v>2023</v>
      </c>
      <c r="G162" s="19" t="str">
        <f>_xlfn.XLOOKUP(Projects[[#This Row],[Country]],Table2[Country],Table2[Pays],"Check",FALSE)</f>
        <v>Espagne</v>
      </c>
      <c r="H162" s="19" t="str">
        <f>IF(Projects[[#This Row],[Description]]="","",Projects[[#This Row],[Description]])</f>
        <v>The service classifies a document belonging to the electronic judicial file. To proceed with the classification, the user or automated system must select among three categories of issuer entities:
o Documents issued by attorneys at law, procuradores and social graduates;
o Documents issued by prosecutors, law enforcement corps, hospitals, public Administrations and penitentiary institutions;
o Documents issued by a court.
Once the category is selected, the user (or automated system) must upload the document to be classified, which will then be categorized, with a certain probability, as produced by each of the issuers considered in that category. For example:
If the user (or automated system) uploaded a criminal sentence to be classified within the category “Documents issued by a court “, one possible outcome of the system would be:
· Sentence – With a 95.76% probability.
· Deposition – With a 1.63% probability.
· Certificate – With a 1.34% probability.
What would have happened if the user (or automated system) had chosen a different category of issuer entities for this document? In such case, the system would have categorized the document as “BG” with a high probability, meaning that it is regarded as
background noise for the chosen category, and therefore has not been produced by any of the issuers considered therein.
An incredibly useful functionality to classify documents and aid with their metadata.
This tool is part of a suite of AI-powered services provided by the Ministry of the Presidency, Justice and Parliamentary Relations of Spain. It automates and facilitates various document processing tasks including document classification by type of issuer.</v>
      </c>
      <c r="I162" s="29" t="str">
        <f>IF(Projects[[#This Row],[DescriptionFR]]="","",Projects[[#This Row],[DescriptionFR]])</f>
        <v>Le service classe un document appartenant au dossier judiciaire électronique. Pour procéder au classement, l'utilisateur ou le système automatisé doit sélectionner l'une des trois catégories d'entités émettrices suivantes :
o Documents émis par des avocats, des procureurs et des diplômés en sciences sociales ;
o Documents émis par des procureurs, des corps chargés de l'application de la loi, des hôpitaux, des administrations publiques et des établissements pénitentiaires ;
o Documents émis par un tribunal.
Une fois la catégorie sélectionnée, l'utilisateur (ou le système automatisé) doit télécharger le document à classer, qui sera ensuite classé, avec une certaine probabilité, comme produit par chacun des émetteurs pris en compte dans cette catégorie. Par exemple :
Si l'utilisateur (ou le système automatisé) a téléchargé un jugement pénal à classer dans la catégorie « Documents émis par un tribunal », le système pourrait aboutir au résultat suivant :
· Jugement – avec une probabilité de 95,76 %.
· Déposition – avec une probabilité de 1,63 %.
· Certificat – avec une probabilité de 1,34 %.
Que se serait-il passé si l'utilisateur (ou le système automatisé) avait choisi une catégorie différente d'entités émettrices pour ce document ? Dans ce cas, le système aurait classé le document comme « BG » avec une probabilité élevée, ce qui signifie qu'il est considéré comme un bruit de fond pour la catégorie choisie et qu'il n'a donc été produit par aucun des émetteurs pris en compte dans cette catégorie.
Une fonctionnalité extrêmement utile pour classer les documents et faciliter la gestion de leurs métadonnées.
Cet outil fait partie d'une suite de services basés sur l'intelligence artificielle fournis par le ministère de la présidence, de la justice et des relations parlementaires de l'Espagne. Il automatise et facilite diverses tâches de traitement de documents, notamment le classement des documents par type d'émetteur.</v>
      </c>
      <c r="J162" s="30" t="str">
        <f>IF(Projects[[#This Row],[Link]]="","",Projects[[#This Row],[Link]])</f>
        <v>https://rm.coe.int/internal-system/4880299b55</v>
      </c>
      <c r="K162" s="30" t="str">
        <f>IF(Projects[[#This Row],[Link1]]="","",Projects[[#This Row],[Link1]])</f>
        <v/>
      </c>
      <c r="L162" s="19" t="str">
        <f>_xlfn.XLOOKUP(Projects[[#This Row],[Implemented by]],Table3[Implemented by],Table3[ImplementedFR],"",FALSE)</f>
        <v xml:space="preserve">Publique </v>
      </c>
      <c r="M162" s="19" t="str">
        <f>_xlfn.XLOOKUP(Projects[[#This Row],[Target audience]],Table4[Target audience],Table4[Target audienceFR],"",FALSE)</f>
        <v>Gestion</v>
      </c>
      <c r="N162" s="19" t="str">
        <f>IF(Projects[[#This Row],[Target audience2]]="","",_xlfn.XLOOKUP(Projects[[#This Row],[Target audience2]],Table4[Target audience],Table4[Target audienceFR],"Check",FALSE))</f>
        <v>Juges/greffiers</v>
      </c>
      <c r="O162" s="19" t="str">
        <f>IF(Projects[[#This Row],[Target audience3]]="","",_xlfn.XLOOKUP(Projects[[#This Row],[Target audience3]],Table4[Target audience],Table4[Target audienceFR],"Check",FALSE))</f>
        <v/>
      </c>
      <c r="P162" s="19" t="str">
        <f>IF(Projects[[#This Row],[Target audience4]]="","",_xlfn.XLOOKUP(Projects[[#This Row],[Target audience4]],Table4[Target audience],Table4[Target audienceFR],"Check",FALSE))</f>
        <v/>
      </c>
      <c r="Q162" s="19" t="str">
        <f>IF(Projects[[#This Row],[Target audience5]]="","",_xlfn.XLOOKUP(Projects[[#This Row],[Target audience5]],Table4[Target audience],Table4[Target audienceFR],"Check",FALSE))</f>
        <v/>
      </c>
      <c r="R162" s="19" t="str">
        <f>_xlfn.XLOOKUP(Projects[[#This Row],[Status]],Table8[Status],Table8[StatusFR],"",FALSE)</f>
        <v>Fonctionnel</v>
      </c>
      <c r="S162" s="19" t="str">
        <f>_xlfn.XLOOKUP(Projects[[#This Row],[Coverage]],Table7[Coverage],Table7[CoverageFR],"",FALSE)</f>
        <v xml:space="preserve">National </v>
      </c>
      <c r="T162" s="31" t="str">
        <f>IF(Projects[[#This Row],[To publish]]="","",Projects[[#This Row],[To publish]])</f>
        <v>Batch 7</v>
      </c>
    </row>
    <row r="163" spans="1:20" ht="409.5" x14ac:dyDescent="0.25">
      <c r="A163" s="19">
        <f>Projects[[#This Row],[NR]]</f>
        <v>207</v>
      </c>
      <c r="B163" s="19" t="str">
        <f>IF(Projects[[#This Row],[Title]]="","",Projects[[#This Row],[Title]])</f>
        <v>Carpeta Justicia - Document Anonymisation - Automatic</v>
      </c>
      <c r="C163" s="19" t="str">
        <f>IF(Projects[[#This Row],[AI Relevance]]="","",Projects[[#This Row],[AI Relevance]])</f>
        <v>AI</v>
      </c>
      <c r="D163" s="19" t="str">
        <f>_xlfn.XLOOKUP(Projects[[#This Row],[Area1]],Table1[Area],Table1[FRArea],"Check",FALSE)</f>
        <v>5 - Anonymisation et pseudonymisation</v>
      </c>
      <c r="E163" s="19" t="str">
        <f>IF(Projects[[#This Row],[Area2]]="","",_xlfn.XLOOKUP(Projects[[#This Row],[Area2]],Table1[Area],Table1[FRArea],"Check",FALSE))</f>
        <v/>
      </c>
      <c r="F163" s="19" t="str">
        <f>IF(Projects[[#This Row],[Year]]="","",Projects[[#This Row],[Year]])</f>
        <v>2023</v>
      </c>
      <c r="G163" s="19" t="str">
        <f>_xlfn.XLOOKUP(Projects[[#This Row],[Country]],Table2[Country],Table2[Pays],"Check",FALSE)</f>
        <v>Espagne</v>
      </c>
      <c r="H163" s="19" t="str">
        <f>IF(Projects[[#This Row],[Description]]="","",Projects[[#This Row],[Description]])</f>
        <v>Part of  Carpeta Justicia are several AI tools, such us automatic document anonymization.
Automatic anonymization consists of replacing all categories of nominal entities detected (e.g., personal names, places, identification codes of natural and legal persons) with hyphens. The tool also allows the user to navigate to the parts of the document where the anonymized entities appear.
Once the anonymization process is completed, the document can be downloaded for use and distribution.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v>
      </c>
      <c r="I163" s="29" t="str">
        <f>IF(Projects[[#This Row],[DescriptionFR]]="","",Projects[[#This Row],[DescriptionFR]])</f>
        <v xml:space="preserve">Carpeta Justicia propose  plusieurs outils d'IA, tels que l'anonymisation automatique des documents.
L'anonymisation automatique consiste à remplacer toutes les catégories d'entités nominales détectées (par exemple, les noms de personnes, les lieux, les codes d'identification des personnes physiques et morales) par des tirets. L'outil permet également à l'utilisateur de naviguer vers les parties du document où apparaissent les entités anonymisées.
Une fois le processus d'anonymisation terminé, le document peut être téléchargé pour être utilisé et distribué.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
</v>
      </c>
      <c r="J163" s="30" t="str">
        <f>IF(Projects[[#This Row],[Link]]="","",Projects[[#This Row],[Link]])</f>
        <v>https://carpeta.justicia.es/</v>
      </c>
      <c r="K163" s="30" t="str">
        <f>IF(Projects[[#This Row],[Link1]]="","",Projects[[#This Row],[Link1]])</f>
        <v/>
      </c>
      <c r="L163" s="19" t="str">
        <f>_xlfn.XLOOKUP(Projects[[#This Row],[Implemented by]],Table3[Implemented by],Table3[ImplementedFR],"",FALSE)</f>
        <v xml:space="preserve">Publique </v>
      </c>
      <c r="M163" s="19" t="str">
        <f>_xlfn.XLOOKUP(Projects[[#This Row],[Target audience]],Table4[Target audience],Table4[Target audienceFR],"",FALSE)</f>
        <v>Avocats</v>
      </c>
      <c r="N163" s="19" t="str">
        <f>IF(Projects[[#This Row],[Target audience2]]="","",_xlfn.XLOOKUP(Projects[[#This Row],[Target audience2]],Table4[Target audience],Table4[Target audienceFR],"Check",FALSE))</f>
        <v>Usagers des tribunaux (Grand public)</v>
      </c>
      <c r="O163" s="19" t="str">
        <f>IF(Projects[[#This Row],[Target audience3]]="","",_xlfn.XLOOKUP(Projects[[#This Row],[Target audience3]],Table4[Target audience],Table4[Target audienceFR],"Check",FALSE))</f>
        <v/>
      </c>
      <c r="P163" s="19" t="str">
        <f>IF(Projects[[#This Row],[Target audience4]]="","",_xlfn.XLOOKUP(Projects[[#This Row],[Target audience4]],Table4[Target audience],Table4[Target audienceFR],"Check",FALSE))</f>
        <v/>
      </c>
      <c r="Q163" s="19" t="str">
        <f>IF(Projects[[#This Row],[Target audience5]]="","",_xlfn.XLOOKUP(Projects[[#This Row],[Target audience5]],Table4[Target audience],Table4[Target audienceFR],"Check",FALSE))</f>
        <v/>
      </c>
      <c r="R163" s="19" t="str">
        <f>_xlfn.XLOOKUP(Projects[[#This Row],[Status]],Table8[Status],Table8[StatusFR],"",FALSE)</f>
        <v>Fonctionnel</v>
      </c>
      <c r="S163" s="19" t="str">
        <f>_xlfn.XLOOKUP(Projects[[#This Row],[Coverage]],Table7[Coverage],Table7[CoverageFR],"",FALSE)</f>
        <v xml:space="preserve">National </v>
      </c>
      <c r="T163" s="31" t="str">
        <f>IF(Projects[[#This Row],[To publish]]="","",Projects[[#This Row],[To publish]])</f>
        <v>Batch 7</v>
      </c>
    </row>
    <row r="164" spans="1:20" ht="375" x14ac:dyDescent="0.25">
      <c r="A164" s="19">
        <f>Projects[[#This Row],[NR]]</f>
        <v>208</v>
      </c>
      <c r="B164" s="19" t="str">
        <f>IF(Projects[[#This Row],[Title]]="","",Projects[[#This Row],[Title]])</f>
        <v>Carpeta Justicia - Document Summarization - Plain language</v>
      </c>
      <c r="C164" s="19" t="str">
        <f>IF(Projects[[#This Row],[AI Relevance]]="","",Projects[[#This Row],[AI Relevance]])</f>
        <v>AI</v>
      </c>
      <c r="D164" s="19" t="str">
        <f>_xlfn.XLOOKUP(Projects[[#This Row],[Area1]],Table1[Area],Table1[FRArea],"Check",FALSE)</f>
        <v>8 - Services d'information/assistance</v>
      </c>
      <c r="E164" s="19" t="str">
        <f>IF(Projects[[#This Row],[Area2]]="","",_xlfn.XLOOKUP(Projects[[#This Row],[Area2]],Table1[Area],Table1[FRArea],"Check",FALSE))</f>
        <v/>
      </c>
      <c r="F164" s="19" t="str">
        <f>IF(Projects[[#This Row],[Year]]="","",Projects[[#This Row],[Year]])</f>
        <v>2023</v>
      </c>
      <c r="G164" s="19" t="str">
        <f>_xlfn.XLOOKUP(Projects[[#This Row],[Country]],Table2[Country],Table2[Pays],"Check",FALSE)</f>
        <v>Espagne</v>
      </c>
      <c r="H164" s="19" t="str">
        <f>IF(Projects[[#This Row],[Description]]="","",Projects[[#This Row],[Description]])</f>
        <v>Part of  Carpeta Justicia are several AI tools, such us the summarization of a legal document in plain language.
The service consists of the transcription of a legal text into everyday, non-legal language; with short sentences and terms that make documents, such as sentences or provisions, easy to understand for a person with no legal background.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v>
      </c>
      <c r="I164" s="29" t="str">
        <f>IF(Projects[[#This Row],[DescriptionFR]]="","",Projects[[#This Row],[DescriptionFR]])</f>
        <v>Carpeta Justicia propose  plusieurs outils d'IA, tels que la synthèse d'un document juridique en langage clair.
Le service consiste à transcrire un texte juridique en langage courant, avec des phrases courtes et des termes qui rendent les documents, tels que les sentences ou les dispositions, faciles à comprendre pour une personne sans connaissances juridiques.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v>
      </c>
      <c r="J164" s="30" t="str">
        <f>IF(Projects[[#This Row],[Link]]="","",Projects[[#This Row],[Link]])</f>
        <v>https://carpeta.justicia.es/</v>
      </c>
      <c r="K164" s="30" t="str">
        <f>IF(Projects[[#This Row],[Link1]]="","",Projects[[#This Row],[Link1]])</f>
        <v/>
      </c>
      <c r="L164" s="19" t="str">
        <f>_xlfn.XLOOKUP(Projects[[#This Row],[Implemented by]],Table3[Implemented by],Table3[ImplementedFR],"",FALSE)</f>
        <v xml:space="preserve">Publique </v>
      </c>
      <c r="M164" s="19" t="str">
        <f>_xlfn.XLOOKUP(Projects[[#This Row],[Target audience]],Table4[Target audience],Table4[Target audienceFR],"",FALSE)</f>
        <v>Avocats</v>
      </c>
      <c r="N164" s="19" t="str">
        <f>IF(Projects[[#This Row],[Target audience2]]="","",_xlfn.XLOOKUP(Projects[[#This Row],[Target audience2]],Table4[Target audience],Table4[Target audienceFR],"Check",FALSE))</f>
        <v>Usagers des tribunaux (Grand public)</v>
      </c>
      <c r="O164" s="19" t="str">
        <f>IF(Projects[[#This Row],[Target audience3]]="","",_xlfn.XLOOKUP(Projects[[#This Row],[Target audience3]],Table4[Target audience],Table4[Target audienceFR],"Check",FALSE))</f>
        <v/>
      </c>
      <c r="P164" s="19" t="str">
        <f>IF(Projects[[#This Row],[Target audience4]]="","",_xlfn.XLOOKUP(Projects[[#This Row],[Target audience4]],Table4[Target audience],Table4[Target audienceFR],"Check",FALSE))</f>
        <v/>
      </c>
      <c r="Q164" s="19" t="str">
        <f>IF(Projects[[#This Row],[Target audience5]]="","",_xlfn.XLOOKUP(Projects[[#This Row],[Target audience5]],Table4[Target audience],Table4[Target audienceFR],"Check",FALSE))</f>
        <v/>
      </c>
      <c r="R164" s="19" t="str">
        <f>_xlfn.XLOOKUP(Projects[[#This Row],[Status]],Table8[Status],Table8[StatusFR],"",FALSE)</f>
        <v>Fonctionnel</v>
      </c>
      <c r="S164" s="19" t="str">
        <f>_xlfn.XLOOKUP(Projects[[#This Row],[Coverage]],Table7[Coverage],Table7[CoverageFR],"",FALSE)</f>
        <v xml:space="preserve">National </v>
      </c>
      <c r="T164" s="31" t="str">
        <f>IF(Projects[[#This Row],[To publish]]="","",Projects[[#This Row],[To publish]])</f>
        <v>Batch 7</v>
      </c>
    </row>
    <row r="165" spans="1:20" ht="375" x14ac:dyDescent="0.25">
      <c r="A165" s="19">
        <f>Projects[[#This Row],[NR]]</f>
        <v>209</v>
      </c>
      <c r="B165" s="19" t="str">
        <f>IF(Projects[[#This Row],[Title]]="","",Projects[[#This Row],[Title]])</f>
        <v>Carpeta Justicia - Document Summarization - General Extractive</v>
      </c>
      <c r="C165" s="19" t="str">
        <f>IF(Projects[[#This Row],[AI Relevance]]="","",Projects[[#This Row],[AI Relevance]])</f>
        <v>AI</v>
      </c>
      <c r="D165" s="19" t="str">
        <f>_xlfn.XLOOKUP(Projects[[#This Row],[Area1]],Table1[Area],Table1[FRArea],"Check",FALSE)</f>
        <v>8 - Services d'information/assistance</v>
      </c>
      <c r="E165" s="19" t="str">
        <f>IF(Projects[[#This Row],[Area2]]="","",_xlfn.XLOOKUP(Projects[[#This Row],[Area2]],Table1[Area],Table1[FRArea],"Check",FALSE))</f>
        <v/>
      </c>
      <c r="F165" s="19" t="str">
        <f>IF(Projects[[#This Row],[Year]]="","",Projects[[#This Row],[Year]])</f>
        <v>2023</v>
      </c>
      <c r="G165" s="19" t="str">
        <f>_xlfn.XLOOKUP(Projects[[#This Row],[Country]],Table2[Country],Table2[Pays],"Check",FALSE)</f>
        <v>Espagne</v>
      </c>
      <c r="H165" s="19" t="str">
        <f>IF(Projects[[#This Row],[Description]]="","",Projects[[#This Row],[Description]])</f>
        <v xml:space="preserve">Part of  Carpeta Justicia are several AI tools, such as including the typical, extractive summarization of a document.
With this tool, the most important sentences are extracted from the whole document, without taking into account specific sections, with the possibility of tuning the length of the outcome.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
</v>
      </c>
      <c r="I165" s="29" t="str">
        <f>IF(Projects[[#This Row],[DescriptionFR]]="","",Projects[[#This Row],[DescriptionFR]])</f>
        <v>Carpeta Justicia propose  plusieurs outils d'IA, tels que la synthèse extractive d'un document.
Cet outil permet d'extraire les phrases les plus importantes de l'ensemble du document, sans tenir compte de sections spécifiques, avec la possibilité d'ajuster la longueur du résultat.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v>
      </c>
      <c r="J165" s="30" t="str">
        <f>IF(Projects[[#This Row],[Link]]="","",Projects[[#This Row],[Link]])</f>
        <v>https://carpeta.justicia.es/</v>
      </c>
      <c r="K165" s="30" t="str">
        <f>IF(Projects[[#This Row],[Link1]]="","",Projects[[#This Row],[Link1]])</f>
        <v/>
      </c>
      <c r="L165" s="19" t="str">
        <f>_xlfn.XLOOKUP(Projects[[#This Row],[Implemented by]],Table3[Implemented by],Table3[ImplementedFR],"",FALSE)</f>
        <v xml:space="preserve">Publique </v>
      </c>
      <c r="M165" s="19" t="str">
        <f>_xlfn.XLOOKUP(Projects[[#This Row],[Target audience]],Table4[Target audience],Table4[Target audienceFR],"",FALSE)</f>
        <v>Avocats</v>
      </c>
      <c r="N165" s="19" t="str">
        <f>IF(Projects[[#This Row],[Target audience2]]="","",_xlfn.XLOOKUP(Projects[[#This Row],[Target audience2]],Table4[Target audience],Table4[Target audienceFR],"Check",FALSE))</f>
        <v>Usagers des tribunaux (Grand public)</v>
      </c>
      <c r="O165" s="19" t="str">
        <f>IF(Projects[[#This Row],[Target audience3]]="","",_xlfn.XLOOKUP(Projects[[#This Row],[Target audience3]],Table4[Target audience],Table4[Target audienceFR],"Check",FALSE))</f>
        <v/>
      </c>
      <c r="P165" s="19" t="str">
        <f>IF(Projects[[#This Row],[Target audience4]]="","",_xlfn.XLOOKUP(Projects[[#This Row],[Target audience4]],Table4[Target audience],Table4[Target audienceFR],"Check",FALSE))</f>
        <v/>
      </c>
      <c r="Q165" s="19" t="str">
        <f>IF(Projects[[#This Row],[Target audience5]]="","",_xlfn.XLOOKUP(Projects[[#This Row],[Target audience5]],Table4[Target audience],Table4[Target audienceFR],"Check",FALSE))</f>
        <v/>
      </c>
      <c r="R165" s="19" t="str">
        <f>_xlfn.XLOOKUP(Projects[[#This Row],[Status]],Table8[Status],Table8[StatusFR],"",FALSE)</f>
        <v>Fonctionnel</v>
      </c>
      <c r="S165" s="19" t="str">
        <f>_xlfn.XLOOKUP(Projects[[#This Row],[Coverage]],Table7[Coverage],Table7[CoverageFR],"",FALSE)</f>
        <v xml:space="preserve">National </v>
      </c>
      <c r="T165" s="31" t="str">
        <f>IF(Projects[[#This Row],[To publish]]="","",Projects[[#This Row],[To publish]])</f>
        <v>Batch 7</v>
      </c>
    </row>
    <row r="166" spans="1:20" ht="405" x14ac:dyDescent="0.25">
      <c r="A166" s="19">
        <f>Projects[[#This Row],[NR]]</f>
        <v>210</v>
      </c>
      <c r="B166" s="19" t="str">
        <f>IF(Projects[[#This Row],[Title]]="","",Projects[[#This Row],[Title]])</f>
        <v>Carpeta Justicia - Document Summarization - Sentences/Rulings</v>
      </c>
      <c r="C166" s="19" t="str">
        <f>IF(Projects[[#This Row],[AI Relevance]]="","",Projects[[#This Row],[AI Relevance]])</f>
        <v>AI</v>
      </c>
      <c r="D166" s="19" t="str">
        <f>_xlfn.XLOOKUP(Projects[[#This Row],[Area1]],Table1[Area],Table1[FRArea],"Check",FALSE)</f>
        <v>8 - Services d'information/assistance</v>
      </c>
      <c r="E166" s="19" t="str">
        <f>IF(Projects[[#This Row],[Area2]]="","",_xlfn.XLOOKUP(Projects[[#This Row],[Area2]],Table1[Area],Table1[FRArea],"Check",FALSE))</f>
        <v/>
      </c>
      <c r="F166" s="19" t="str">
        <f>IF(Projects[[#This Row],[Year]]="","",Projects[[#This Row],[Year]])</f>
        <v>2023</v>
      </c>
      <c r="G166" s="19" t="str">
        <f>_xlfn.XLOOKUP(Projects[[#This Row],[Country]],Table2[Country],Table2[Pays],"Check",FALSE)</f>
        <v>Espagne</v>
      </c>
      <c r="H166" s="19" t="str">
        <f>IF(Projects[[#This Row],[Description]]="","",Projects[[#This Row],[Description]])</f>
        <v>Also offered in Carpeta Justicia are several AI tools, such as document summarization of sentences and rulings.
With this tool, the most important fragments of a given sentence or ruling are extracted and then presented under their corresponding section (for a sentence: factual background, legal basis and judgment; for a ruling: factual background, legal basis and provisions). There is also the possibility of tuning the length of the outcome.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v>
      </c>
      <c r="I166" s="29" t="str">
        <f>IF(Projects[[#This Row],[DescriptionFR]]="","",Projects[[#This Row],[DescriptionFR]])</f>
        <v>Carpeta Justicia propose  plusieurs outils d'IA, tels que la synthèse de documents de jugements et de décisions.
Cet outil permet d'extraire les fragments les plus importants d'un jugement ou d'une décision, puis de les présenter dans la section correspondante (pour un jugement : faits, base juridique et jugement ; pour une décision : faits, base juridique et dispositions). Il est également possible de régler la longueur du résultat.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v>
      </c>
      <c r="J166" s="30" t="str">
        <f>IF(Projects[[#This Row],[Link]]="","",Projects[[#This Row],[Link]])</f>
        <v>https://carpeta.justicia.es/</v>
      </c>
      <c r="K166" s="30" t="str">
        <f>IF(Projects[[#This Row],[Link1]]="","",Projects[[#This Row],[Link1]])</f>
        <v/>
      </c>
      <c r="L166" s="19" t="str">
        <f>_xlfn.XLOOKUP(Projects[[#This Row],[Implemented by]],Table3[Implemented by],Table3[ImplementedFR],"",FALSE)</f>
        <v xml:space="preserve">Publique </v>
      </c>
      <c r="M166" s="19" t="str">
        <f>_xlfn.XLOOKUP(Projects[[#This Row],[Target audience]],Table4[Target audience],Table4[Target audienceFR],"",FALSE)</f>
        <v>Avocats</v>
      </c>
      <c r="N166" s="19" t="str">
        <f>IF(Projects[[#This Row],[Target audience2]]="","",_xlfn.XLOOKUP(Projects[[#This Row],[Target audience2]],Table4[Target audience],Table4[Target audienceFR],"Check",FALSE))</f>
        <v>Usagers des tribunaux (Grand public)</v>
      </c>
      <c r="O166" s="19" t="str">
        <f>IF(Projects[[#This Row],[Target audience3]]="","",_xlfn.XLOOKUP(Projects[[#This Row],[Target audience3]],Table4[Target audience],Table4[Target audienceFR],"Check",FALSE))</f>
        <v/>
      </c>
      <c r="P166" s="19" t="str">
        <f>IF(Projects[[#This Row],[Target audience4]]="","",_xlfn.XLOOKUP(Projects[[#This Row],[Target audience4]],Table4[Target audience],Table4[Target audienceFR],"Check",FALSE))</f>
        <v/>
      </c>
      <c r="Q166" s="19" t="str">
        <f>IF(Projects[[#This Row],[Target audience5]]="","",_xlfn.XLOOKUP(Projects[[#This Row],[Target audience5]],Table4[Target audience],Table4[Target audienceFR],"Check",FALSE))</f>
        <v/>
      </c>
      <c r="R166" s="19" t="str">
        <f>_xlfn.XLOOKUP(Projects[[#This Row],[Status]],Table8[Status],Table8[StatusFR],"",FALSE)</f>
        <v>Fonctionnel</v>
      </c>
      <c r="S166" s="19" t="str">
        <f>_xlfn.XLOOKUP(Projects[[#This Row],[Coverage]],Table7[Coverage],Table7[CoverageFR],"",FALSE)</f>
        <v xml:space="preserve">National </v>
      </c>
      <c r="T166" s="31" t="str">
        <f>IF(Projects[[#This Row],[To publish]]="","",Projects[[#This Row],[To publish]])</f>
        <v>Batch 7</v>
      </c>
    </row>
    <row r="167" spans="1:20" ht="409.5" x14ac:dyDescent="0.25">
      <c r="A167" s="19">
        <f>Projects[[#This Row],[NR]]</f>
        <v>211</v>
      </c>
      <c r="B167" s="19" t="str">
        <f>IF(Projects[[#This Row],[Title]]="","",Projects[[#This Row],[Title]])</f>
        <v>Carpeta Justicia - Document Anonymization - Initials</v>
      </c>
      <c r="C167" s="19" t="str">
        <f>IF(Projects[[#This Row],[AI Relevance]]="","",Projects[[#This Row],[AI Relevance]])</f>
        <v>AI</v>
      </c>
      <c r="D167" s="19" t="str">
        <f>_xlfn.XLOOKUP(Projects[[#This Row],[Area1]],Table1[Area],Table1[FRArea],"Check",FALSE)</f>
        <v>5 - Anonymisation et pseudonymisation</v>
      </c>
      <c r="E167" s="19" t="str">
        <f>IF(Projects[[#This Row],[Area2]]="","",_xlfn.XLOOKUP(Projects[[#This Row],[Area2]],Table1[Area],Table1[FRArea],"Check",FALSE))</f>
        <v/>
      </c>
      <c r="F167" s="19" t="str">
        <f>IF(Projects[[#This Row],[Year]]="","",Projects[[#This Row],[Year]])</f>
        <v>2023</v>
      </c>
      <c r="G167" s="19" t="str">
        <f>_xlfn.XLOOKUP(Projects[[#This Row],[Country]],Table2[Country],Table2[Pays],"Check",FALSE)</f>
        <v>Espagne</v>
      </c>
      <c r="H167" s="19" t="str">
        <f>IF(Projects[[#This Row],[Description]]="","",Projects[[#This Row],[Description]])</f>
        <v xml:space="preserve">Part of  Carpeta Justicia are several AI tools, such as the document anonymization by initials. 
Initials anonymization consists of replacing the names of natural persons by their initials. In the case of identification codes of natural and legal persons, only the first and last digits appear. For the rest of categories of nominal entities that may be identified within the document (e.g., places), words are replaced by hyphens. The tool also allows the user to navigate to the parts of the document where the anonymized entities appear.
Once the anonymization process is completed, the document can be downloaded for use and distribution.
Carpeta Justicia (the Justice Folder) is the one-stop-shop of the Justice Administration of Spain. Customized for each user and its profile (citizen, company or justice professional), Carpeta Justicia offers a full overview of the user’s relation with the Justice Administration, including access to their electronic judicial files, hearings' agenda or powers of attorney.
Available as both web and mobile app, Carpeta Justicia also allows to make a deposit into the court’s bank account and to access the videoconference systems used by the Justice Administration. Furthermore, it provides direct access to obtain the main certificates (civil registry, criminal records, etc) issued by the Ministry of the Presidency, Justice and Parliamentary Relations of Spain.
</v>
      </c>
      <c r="I167" s="29" t="str">
        <f>IF(Projects[[#This Row],[DescriptionFR]]="","",Projects[[#This Row],[DescriptionFR]])</f>
        <v>Carpeta Justicia propose également plusieurs outils d'IA, tels que l'anonymisation des documents par initiales.
L'anonymisation par initiales consiste à remplacer les noms des personnes physiques par leurs initiales. Dans le cas des codes d'identification des personnes physiques et morales, seuls le premier et le dernier chiffre apparaissent. 
Pour les autres catégories d'entités nominales pouvant être identifiées dans le document (par exemple, les lieux), les mots sont remplacés par des tirets. L'outil permet également à l'utilisateur de naviguer vers les parties du document où apparaissent les entités anonymisées.
Une fois le processus d'anonymisation terminé, le document peut être téléchargé pour être utilisé et distribué.
Carpeta Justicia (le dossier judiciaire) est le guichet unique de l'administration judiciaire espagnole. Personnalisé pour chaque utilisateur et son profil (citoyen, entreprise ou professionnel de la justice), Carpeta Justicia offre une vue d'ensemble complète des relations de l'utilisateur avec l'administration judiciaire, y compris l'accès à ses dossiers judiciaires électroniques, à l'agenda des audiences ou aux procurations.
Disponible sous forme d'application web et mobile, Carpeta Justicia permet également d'effectuer un dépôt sur le compte bancaire du tribunal et d'accéder aux systèmes de vidéoconférence utilisés par l'administration judiciaire. En outre, il offre un accès direct aux principaux certificats (état civil, casier judiciaire, etc.) délivrés par le ministère de la Présidence, de la Justice et des Relations parlementaires de l'Espagne.</v>
      </c>
      <c r="J167" s="30" t="str">
        <f>IF(Projects[[#This Row],[Link]]="","",Projects[[#This Row],[Link]])</f>
        <v>https://carpeta.justicia.es/</v>
      </c>
      <c r="K167" s="30" t="str">
        <f>IF(Projects[[#This Row],[Link1]]="","",Projects[[#This Row],[Link1]])</f>
        <v/>
      </c>
      <c r="L167" s="19" t="str">
        <f>_xlfn.XLOOKUP(Projects[[#This Row],[Implemented by]],Table3[Implemented by],Table3[ImplementedFR],"",FALSE)</f>
        <v xml:space="preserve">Publique </v>
      </c>
      <c r="M167" s="19" t="str">
        <f>_xlfn.XLOOKUP(Projects[[#This Row],[Target audience]],Table4[Target audience],Table4[Target audienceFR],"",FALSE)</f>
        <v>Avocats</v>
      </c>
      <c r="N167" s="19" t="str">
        <f>IF(Projects[[#This Row],[Target audience2]]="","",_xlfn.XLOOKUP(Projects[[#This Row],[Target audience2]],Table4[Target audience],Table4[Target audienceFR],"Check",FALSE))</f>
        <v>Usagers des tribunaux (Grand public)</v>
      </c>
      <c r="O167" s="19" t="str">
        <f>IF(Projects[[#This Row],[Target audience3]]="","",_xlfn.XLOOKUP(Projects[[#This Row],[Target audience3]],Table4[Target audience],Table4[Target audienceFR],"Check",FALSE))</f>
        <v/>
      </c>
      <c r="P167" s="19" t="str">
        <f>IF(Projects[[#This Row],[Target audience4]]="","",_xlfn.XLOOKUP(Projects[[#This Row],[Target audience4]],Table4[Target audience],Table4[Target audienceFR],"Check",FALSE))</f>
        <v/>
      </c>
      <c r="Q167" s="19" t="str">
        <f>IF(Projects[[#This Row],[Target audience5]]="","",_xlfn.XLOOKUP(Projects[[#This Row],[Target audience5]],Table4[Target audience],Table4[Target audienceFR],"Check",FALSE))</f>
        <v/>
      </c>
      <c r="R167" s="19" t="str">
        <f>_xlfn.XLOOKUP(Projects[[#This Row],[Status]],Table8[Status],Table8[StatusFR],"",FALSE)</f>
        <v>Fonctionnel</v>
      </c>
      <c r="S167" s="19" t="str">
        <f>_xlfn.XLOOKUP(Projects[[#This Row],[Coverage]],Table7[Coverage],Table7[CoverageFR],"",FALSE)</f>
        <v xml:space="preserve">National </v>
      </c>
      <c r="T167" s="31" t="str">
        <f>IF(Projects[[#This Row],[To publish]]="","",Projects[[#This Row],[To publish]])</f>
        <v>Batch 7</v>
      </c>
    </row>
    <row r="168" spans="1:20" ht="240" x14ac:dyDescent="0.25">
      <c r="A168" s="19">
        <f>Projects[[#This Row],[NR]]</f>
        <v>212</v>
      </c>
      <c r="B168" s="19" t="str">
        <f>IF(Projects[[#This Row],[Title]]="","",Projects[[#This Row],[Title]])</f>
        <v>Database of Legal Positions of the Supreme Court (База правових позицій Верховного Суду)</v>
      </c>
      <c r="C168" s="19" t="str">
        <f>IF(Projects[[#This Row],[AI Relevance]]="","",Projects[[#This Row],[AI Relevance]])</f>
        <v>AI</v>
      </c>
      <c r="D168" s="19" t="str">
        <f>_xlfn.XLOOKUP(Projects[[#This Row],[Area1]],Table1[Area],Table1[FRArea],"Check",FALSE)</f>
        <v>1 - Recherche documentaire</v>
      </c>
      <c r="E168" s="19" t="str">
        <f>IF(Projects[[#This Row],[Area2]]="","",_xlfn.XLOOKUP(Projects[[#This Row],[Area2]],Table1[Area],Table1[FRArea],"Check",FALSE))</f>
        <v/>
      </c>
      <c r="F168" s="19" t="str">
        <f>IF(Projects[[#This Row],[Year]]="","",Projects[[#This Row],[Year]])</f>
        <v>2021</v>
      </c>
      <c r="G168" s="19" t="str">
        <f>_xlfn.XLOOKUP(Projects[[#This Row],[Country]],Table2[Country],Table2[Pays],"Check",FALSE)</f>
        <v>Ukraine</v>
      </c>
      <c r="H168" s="19" t="str">
        <f>IF(Projects[[#This Row],[Description]]="","",Projects[[#This Row],[Description]])</f>
        <v xml:space="preserve">The Database of Legal Positions of the Supreme Court is an online resource developed by the Supreme Court in 2021 with the support of the EU Project «Pravo-Justice». The database was created to promote the unity of judicial practice, enhance legal certainty, and facilitate access to legal positions contained in the Supreme Court’s decisions. 
This tool is designed to support transparency in the application of law, stability of judicial decisions, and the overall improvement of the quality of justice in Ukraine. The database was developed with the needs of legal practitioners in mind, incorporating modern IT solutions and elements of generative artificial intelligence. </v>
      </c>
      <c r="I168" s="29" t="str">
        <f>IF(Projects[[#This Row],[DescriptionFR]]="","",Projects[[#This Row],[DescriptionFR]])</f>
        <v>La base de données des positions juridiques de la Cour suprême est une ressource en ligne développée par la Cour suprême en 2021 avec le soutien du projet européen « Pravo-Justice ». La base de données a été créée afin de promouvoir l'unité de la pratique judiciaire, de renforcer la sécurité juridique et de faciliter l'accès aux positions juridiques contenues dans les décisions de la Cour suprême.
 Cet outil est conçu pour favoriser la transparence dans l'application du droit, la stabilité des décisions judiciaires et l'amélioration globale de la qualité de la justice en Ukraine. La base de données a été développée en tenant compte des besoins des praticiens du droit et en intégrant des solutions informatiques modernes et des éléments d'intelligence artificielle générative.</v>
      </c>
      <c r="J168" s="30" t="str">
        <f>IF(Projects[[#This Row],[Link]]="","",Projects[[#This Row],[Link]])</f>
        <v>https://lpd.court.gov.ua/</v>
      </c>
      <c r="K168" s="30" t="str">
        <f>IF(Projects[[#This Row],[Link1]]="","",Projects[[#This Row],[Link1]])</f>
        <v/>
      </c>
      <c r="L168" s="19" t="str">
        <f>_xlfn.XLOOKUP(Projects[[#This Row],[Implemented by]],Table3[Implemented by],Table3[ImplementedFR],"",FALSE)</f>
        <v xml:space="preserve">Publique </v>
      </c>
      <c r="M168" s="19" t="str">
        <f>_xlfn.XLOOKUP(Projects[[#This Row],[Target audience]],Table4[Target audience],Table4[Target audienceFR],"",FALSE)</f>
        <v>Avocats</v>
      </c>
      <c r="N168" s="19" t="str">
        <f>IF(Projects[[#This Row],[Target audience2]]="","",_xlfn.XLOOKUP(Projects[[#This Row],[Target audience2]],Table4[Target audience],Table4[Target audienceFR],"Check",FALSE))</f>
        <v>Usagers des tribunaux (Grand public)</v>
      </c>
      <c r="O168" s="19" t="str">
        <f>IF(Projects[[#This Row],[Target audience3]]="","",_xlfn.XLOOKUP(Projects[[#This Row],[Target audience3]],Table4[Target audience],Table4[Target audienceFR],"Check",FALSE))</f>
        <v/>
      </c>
      <c r="P168" s="19" t="str">
        <f>IF(Projects[[#This Row],[Target audience4]]="","",_xlfn.XLOOKUP(Projects[[#This Row],[Target audience4]],Table4[Target audience],Table4[Target audienceFR],"Check",FALSE))</f>
        <v/>
      </c>
      <c r="Q168" s="19" t="str">
        <f>IF(Projects[[#This Row],[Target audience5]]="","",_xlfn.XLOOKUP(Projects[[#This Row],[Target audience5]],Table4[Target audience],Table4[Target audienceFR],"Check",FALSE))</f>
        <v/>
      </c>
      <c r="R168" s="19" t="str">
        <f>_xlfn.XLOOKUP(Projects[[#This Row],[Status]],Table8[Status],Table8[StatusFR],"",FALSE)</f>
        <v>Fonctionnel</v>
      </c>
      <c r="S168" s="19" t="str">
        <f>_xlfn.XLOOKUP(Projects[[#This Row],[Coverage]],Table7[Coverage],Table7[CoverageFR],"",FALSE)</f>
        <v xml:space="preserve">National </v>
      </c>
      <c r="T168" s="31" t="str">
        <f>IF(Projects[[#This Row],[To publish]]="","",Projects[[#This Row],[To publish]])</f>
        <v>Batch 7</v>
      </c>
    </row>
    <row r="169" spans="1:20" ht="165" x14ac:dyDescent="0.25">
      <c r="A169" s="19">
        <f>Projects[[#This Row],[NR]]</f>
        <v>213</v>
      </c>
      <c r="B169" s="19" t="str">
        <f>IF(Projects[[#This Row],[Title]]="","",Projects[[#This Row],[Title]])</f>
        <v>Chat-TF</v>
      </c>
      <c r="C169" s="19" t="str">
        <f>IF(Projects[[#This Row],[AI Relevance]]="","",Projects[[#This Row],[AI Relevance]])</f>
        <v>AI</v>
      </c>
      <c r="D169" s="19" t="str">
        <f>_xlfn.XLOOKUP(Projects[[#This Row],[Area1]],Table1[Area],Table1[FRArea],"Check",FALSE)</f>
        <v>7 - Enregistrement, transcription et traduction</v>
      </c>
      <c r="E169" s="19" t="str">
        <f>IF(Projects[[#This Row],[Area2]]="","",_xlfn.XLOOKUP(Projects[[#This Row],[Area2]],Table1[Area],Table1[FRArea],"Check",FALSE))</f>
        <v>4 - Aide à la décision</v>
      </c>
      <c r="F169" s="19">
        <f>IF(Projects[[#This Row],[Year]]="","",Projects[[#This Row],[Year]])</f>
        <v>2025</v>
      </c>
      <c r="G169" s="19" t="str">
        <f>_xlfn.XLOOKUP(Projects[[#This Row],[Country]],Table2[Country],Table2[Pays],"Check",FALSE)</f>
        <v>Suisse</v>
      </c>
      <c r="H169" s="19" t="str">
        <f>IF(Projects[[#This Row],[Description]]="","",Projects[[#This Row],[Description]])</f>
        <v xml:space="preserve">Before submitting a query to an online artificial intelligence site such as Chat-GPT, the Chat-TF system anonymises the query using artificial intelligence and then submits it to the chosen artificial intelligence engine (e.g. to generate a summary). Once the result (summary in our example) has been obtained from the external artificial intelligence system, the anonymised names are reintroduced into the text by the internal artificial intelligence system (Chat-TF) and it is this result that is returned to the user. </v>
      </c>
      <c r="I169" s="29" t="str">
        <f>IF(Projects[[#This Row],[DescriptionFR]]="","",Projects[[#This Row],[DescriptionFR]])</f>
        <v xml:space="preserve">Avant de déposer une requête sur un site d'intelligence artificielle en ligne comme Chat-GPT, le système Chat-TF anonymise à l'aide d'intelligence artificielle la requête puis la dépose dans le moteur d'intelligence artificielle choisi (par exemple pour générer un résumé). Une fois le résultat (résumé dans notre exemple) obtenu du système externe d'intelligence artificielle les noms anonymisés sont réintroduits dans le texte par le système interne d'intelligence artificielle (Chat-TF) et c'est ce résultat qui est restitué  à l'utilisateur. </v>
      </c>
      <c r="J169" s="30" t="str">
        <f>IF(Projects[[#This Row],[Link]]="","",Projects[[#This Row],[Link]])</f>
        <v>https://www.bj.admin.ch/dam/bj/de/data/staat/rechtsinformatik/magglingen/2025/01-brunner.pdf.download.pdf/01-brunner-d.pdf</v>
      </c>
      <c r="K169" s="30" t="str">
        <f>IF(Projects[[#This Row],[Link1]]="","",Projects[[#This Row],[Link1]])</f>
        <v/>
      </c>
      <c r="L169" s="19" t="str">
        <f>_xlfn.XLOOKUP(Projects[[#This Row],[Implemented by]],Table3[Implemented by],Table3[ImplementedFR],"",FALSE)</f>
        <v xml:space="preserve">Publique </v>
      </c>
      <c r="M169" s="19" t="str">
        <f>_xlfn.XLOOKUP(Projects[[#This Row],[Target audience]],Table4[Target audience],Table4[Target audienceFR],"",FALSE)</f>
        <v>Juges/greffiers</v>
      </c>
      <c r="N169" s="19" t="str">
        <f>IF(Projects[[#This Row],[Target audience2]]="","",_xlfn.XLOOKUP(Projects[[#This Row],[Target audience2]],Table4[Target audience],Table4[Target audienceFR],"Check",FALSE))</f>
        <v>Gestion</v>
      </c>
      <c r="O169" s="19" t="str">
        <f>IF(Projects[[#This Row],[Target audience3]]="","",_xlfn.XLOOKUP(Projects[[#This Row],[Target audience3]],Table4[Target audience],Table4[Target audienceFR],"Check",FALSE))</f>
        <v/>
      </c>
      <c r="P169" s="19" t="str">
        <f>IF(Projects[[#This Row],[Target audience4]]="","",_xlfn.XLOOKUP(Projects[[#This Row],[Target audience4]],Table4[Target audience],Table4[Target audienceFR],"Check",FALSE))</f>
        <v/>
      </c>
      <c r="Q169" s="19" t="str">
        <f>IF(Projects[[#This Row],[Target audience5]]="","",_xlfn.XLOOKUP(Projects[[#This Row],[Target audience5]],Table4[Target audience],Table4[Target audienceFR],"Check",FALSE))</f>
        <v/>
      </c>
      <c r="R169" s="19" t="str">
        <f>_xlfn.XLOOKUP(Projects[[#This Row],[Status]],Table8[Status],Table8[StatusFR],"",FALSE)</f>
        <v>Fonctionnel</v>
      </c>
      <c r="S169" s="19" t="str">
        <f>_xlfn.XLOOKUP(Projects[[#This Row],[Coverage]],Table7[Coverage],Table7[CoverageFR],"",FALSE)</f>
        <v xml:space="preserve">National </v>
      </c>
      <c r="T169" s="31" t="str">
        <f>IF(Projects[[#This Row],[To publish]]="","",Projects[[#This Row],[To publish]])</f>
        <v>Batch 7</v>
      </c>
    </row>
    <row r="170" spans="1:20" ht="330" x14ac:dyDescent="0.25">
      <c r="A170" s="19">
        <f>Projects[[#This Row],[NR]]</f>
        <v>214</v>
      </c>
      <c r="B170" s="19" t="str">
        <f>IF(Projects[[#This Row],[Title]]="","",Projects[[#This Row],[Title]])</f>
        <v>Summary Generator and Legal Event Detector</v>
      </c>
      <c r="C170" s="19" t="str">
        <f>IF(Projects[[#This Row],[AI Relevance]]="","",Projects[[#This Row],[AI Relevance]])</f>
        <v>AI</v>
      </c>
      <c r="D170" s="19" t="str">
        <f>_xlfn.XLOOKUP(Projects[[#This Row],[Area1]],Table1[Area],Table1[FRArea],"Check",FALSE)</f>
        <v>4 - Aide à la décision</v>
      </c>
      <c r="E170" s="19" t="str">
        <f>IF(Projects[[#This Row],[Area2]]="","",_xlfn.XLOOKUP(Projects[[#This Row],[Area2]],Table1[Area],Table1[FRArea],"Check",FALSE))</f>
        <v/>
      </c>
      <c r="F170" s="19">
        <f>IF(Projects[[#This Row],[Year]]="","",Projects[[#This Row],[Year]])</f>
        <v>2025</v>
      </c>
      <c r="G170" s="19" t="str">
        <f>_xlfn.XLOOKUP(Projects[[#This Row],[Country]],Table2[Country],Table2[Pays],"Check",FALSE)</f>
        <v>Espagne</v>
      </c>
      <c r="H170" s="19" t="str">
        <f>IF(Projects[[#This Row],[Description]]="","",Projects[[#This Row],[Description]])</f>
        <v>The CENDOJ, Spain’s judicial documentation centre, has introduced an AI-powered summarisation system to assist judges and magistrates. The tool uses natural language processing to identify and summarise essential information in judgments while preserving context. Unlike commercial AI systems, CENDOJ’s tools operate in a secure, closed environment with anonymised data and no reliance on foreign models.
Among the innovations is a Summary Generator and Legal Event Detector, which produces accurate summaries focused on the ratio decidendi and creates visual maps of key elements in a judgment—facts, reasoning, and operative parts. Over 130,000 graphical relationships have already been integrated into the system, improving navigation through jurisprudence.
The goal is to to equip judges with secure, transparent, and highly specialised tools that enhance their work without replacing judicial discretion.</v>
      </c>
      <c r="I170" s="29" t="str">
        <f>IF(Projects[[#This Row],[DescriptionFR]]="","",Projects[[#This Row],[DescriptionFR]])</f>
        <v>Le CENDOJ, centre de documentation du pouvoir judiciaire espagnol, a mis en place un système de synthèse automatique fondé sur l’IA pour assister les juges et magistrats. L’outil utilise le traitement du langage naturel pour identifier et résumer les informations essentielles des décisions tout en respectant leur contexte. Contrairement aux IA commerciales, les outils du CENDOJ fonctionnent dans un environnement fermé et sécurisé, avec des données anonymisées et sans dépendance à des modèles étrangers.
Parmi les innovations figure un générateur de résumés et un détecteur d’événements juridiques, capables de produire des synthèses centrées sur la ratio decidendi et de créer des cartes visuelles des éléments clés de la décision — faits, fondements juridiques et dispositif. Plus de 130 000 relations graphiques ont déjà été intégrées, facilitant la navigation dans la jurisprudence.
L’objectif est de fournir aux juges des outils spécialisés, sûrs et transparents qui renforcent leur travail sans remplacer leur appréciation judiciaire.</v>
      </c>
      <c r="J170" s="30" t="str">
        <f>IF(Projects[[#This Row],[Link]]="","",Projects[[#This Row],[Link]])</f>
        <v>https://rm.coe.int/internal-system/4880299b55</v>
      </c>
      <c r="K170" s="30" t="str">
        <f>IF(Projects[[#This Row],[Link1]]="","",Projects[[#This Row],[Link1]])</f>
        <v/>
      </c>
      <c r="L170" s="19" t="str">
        <f>_xlfn.XLOOKUP(Projects[[#This Row],[Implemented by]],Table3[Implemented by],Table3[ImplementedFR],"",FALSE)</f>
        <v xml:space="preserve">Publique </v>
      </c>
      <c r="M170" s="19" t="str">
        <f>_xlfn.XLOOKUP(Projects[[#This Row],[Target audience]],Table4[Target audience],Table4[Target audienceFR],"",FALSE)</f>
        <v>Juges/greffiers</v>
      </c>
      <c r="N170" s="19" t="str">
        <f>IF(Projects[[#This Row],[Target audience2]]="","",_xlfn.XLOOKUP(Projects[[#This Row],[Target audience2]],Table4[Target audience],Table4[Target audienceFR],"Check",FALSE))</f>
        <v>Procureurs/greffiers</v>
      </c>
      <c r="O170" s="19" t="str">
        <f>IF(Projects[[#This Row],[Target audience3]]="","",_xlfn.XLOOKUP(Projects[[#This Row],[Target audience3]],Table4[Target audience],Table4[Target audienceFR],"Check",FALSE))</f>
        <v>Usagers des tribunaux (Grand public)</v>
      </c>
      <c r="P170" s="19" t="str">
        <f>IF(Projects[[#This Row],[Target audience4]]="","",_xlfn.XLOOKUP(Projects[[#This Row],[Target audience4]],Table4[Target audience],Table4[Target audienceFR],"Check",FALSE))</f>
        <v/>
      </c>
      <c r="Q170" s="19" t="str">
        <f>IF(Projects[[#This Row],[Target audience5]]="","",_xlfn.XLOOKUP(Projects[[#This Row],[Target audience5]],Table4[Target audience],Table4[Target audienceFR],"Check",FALSE))</f>
        <v/>
      </c>
      <c r="R170" s="19" t="str">
        <f>_xlfn.XLOOKUP(Projects[[#This Row],[Status]],Table8[Status],Table8[StatusFR],"",FALSE)</f>
        <v>Version pilote/bêta</v>
      </c>
      <c r="S170" s="19" t="str">
        <f>_xlfn.XLOOKUP(Projects[[#This Row],[Coverage]],Table7[Coverage],Table7[CoverageFR],"",FALSE)</f>
        <v xml:space="preserve">National </v>
      </c>
      <c r="T170" s="31" t="str">
        <f>IF(Projects[[#This Row],[To publish]]="","",Projects[[#This Row],[To publish]])</f>
        <v>Batch 8</v>
      </c>
    </row>
    <row r="171" spans="1:20" ht="135" x14ac:dyDescent="0.25">
      <c r="A171" s="19">
        <f>Projects[[#This Row],[NR]]</f>
        <v>215</v>
      </c>
      <c r="B171" s="19" t="str">
        <f>IF(Projects[[#This Row],[Title]]="","",Projects[[#This Row],[Title]])</f>
        <v>Classifications and Citations</v>
      </c>
      <c r="C171" s="19" t="str">
        <f>IF(Projects[[#This Row],[AI Relevance]]="","",Projects[[#This Row],[AI Relevance]])</f>
        <v>AI</v>
      </c>
      <c r="D171" s="19" t="str">
        <f>_xlfn.XLOOKUP(Projects[[#This Row],[Area1]],Table1[Area],Table1[FRArea],"Check",FALSE)</f>
        <v>8 - Services d'information/assistance</v>
      </c>
      <c r="E171" s="19" t="str">
        <f>IF(Projects[[#This Row],[Area2]]="","",_xlfn.XLOOKUP(Projects[[#This Row],[Area2]],Table1[Area],Table1[FRArea],"Check",FALSE))</f>
        <v/>
      </c>
      <c r="F171" s="19">
        <f>IF(Projects[[#This Row],[Year]]="","",Projects[[#This Row],[Year]])</f>
        <v>2025</v>
      </c>
      <c r="G171" s="19" t="str">
        <f>_xlfn.XLOOKUP(Projects[[#This Row],[Country]],Table2[Country],Table2[Pays],"Check",FALSE)</f>
        <v>Espagne</v>
      </c>
      <c r="H171" s="19" t="str">
        <f>IF(Projects[[#This Row],[Description]]="","",Projects[[#This Row],[Description]])</f>
        <v xml:space="preserve">This tool automatically identifies the case law and legislation cited in a document, links them to the Thesaurus, highlights their relevance, and provides one-click access to the BOE or the corresponding CENDOJ decision.
What was originally designed to streamline judicial work can now also be used to detect fabricated or incorrect citations.
</v>
      </c>
      <c r="I171" s="29" t="str">
        <f>IF(Projects[[#This Row],[DescriptionFR]]="","",Projects[[#This Row],[DescriptionFR]])</f>
        <v xml:space="preserve">Cet outil détecte automatiquement la jurisprudence et la législation citées dans un document, les relie au Thésaurus, indique leur pertinence et offre un accès direct, en un clic, au BOE ou à la décision correspondante du CENDOJ.
Ce qui, à l’origine, avait été conçu pour faciliter le travail judiciaire peut désormais aussi servir à repérer des citations inventées ou incorrectes.
</v>
      </c>
      <c r="J171" s="30" t="str">
        <f>IF(Projects[[#This Row],[Link]]="","",Projects[[#This Row],[Link]])</f>
        <v>https://rm.coe.int/internal-system/4880299b55</v>
      </c>
      <c r="K171" s="30" t="str">
        <f>IF(Projects[[#This Row],[Link1]]="","",Projects[[#This Row],[Link1]])</f>
        <v/>
      </c>
      <c r="L171" s="19" t="str">
        <f>_xlfn.XLOOKUP(Projects[[#This Row],[Implemented by]],Table3[Implemented by],Table3[ImplementedFR],"",FALSE)</f>
        <v xml:space="preserve">Publique </v>
      </c>
      <c r="M171" s="19" t="str">
        <f>_xlfn.XLOOKUP(Projects[[#This Row],[Target audience]],Table4[Target audience],Table4[Target audienceFR],"",FALSE)</f>
        <v>Juges/greffiers</v>
      </c>
      <c r="N171" s="19" t="str">
        <f>IF(Projects[[#This Row],[Target audience2]]="","",_xlfn.XLOOKUP(Projects[[#This Row],[Target audience2]],Table4[Target audience],Table4[Target audienceFR],"Check",FALSE))</f>
        <v>Usagers des tribunaux (Grand public)</v>
      </c>
      <c r="O171" s="19" t="str">
        <f>IF(Projects[[#This Row],[Target audience3]]="","",_xlfn.XLOOKUP(Projects[[#This Row],[Target audience3]],Table4[Target audience],Table4[Target audienceFR],"Check",FALSE))</f>
        <v>Avocats</v>
      </c>
      <c r="P171" s="19" t="str">
        <f>IF(Projects[[#This Row],[Target audience4]]="","",_xlfn.XLOOKUP(Projects[[#This Row],[Target audience4]],Table4[Target audience],Table4[Target audienceFR],"Check",FALSE))</f>
        <v/>
      </c>
      <c r="Q171" s="19" t="str">
        <f>IF(Projects[[#This Row],[Target audience5]]="","",_xlfn.XLOOKUP(Projects[[#This Row],[Target audience5]],Table4[Target audience],Table4[Target audienceFR],"Check",FALSE))</f>
        <v/>
      </c>
      <c r="R171" s="19" t="str">
        <f>_xlfn.XLOOKUP(Projects[[#This Row],[Status]],Table8[Status],Table8[StatusFR],"",FALSE)</f>
        <v>Version pilote/bêta</v>
      </c>
      <c r="S171" s="19" t="str">
        <f>_xlfn.XLOOKUP(Projects[[#This Row],[Coverage]],Table7[Coverage],Table7[CoverageFR],"",FALSE)</f>
        <v xml:space="preserve">National </v>
      </c>
      <c r="T171" s="31" t="str">
        <f>IF(Projects[[#This Row],[To publish]]="","",Projects[[#This Row],[To publish]])</f>
        <v>Batch 8</v>
      </c>
    </row>
    <row r="172" spans="1:20" ht="390" x14ac:dyDescent="0.25">
      <c r="A172" s="19">
        <f>Projects[[#This Row],[NR]]</f>
        <v>216</v>
      </c>
      <c r="B172" s="19" t="str">
        <f>IF(Projects[[#This Row],[Title]]="","",Projects[[#This Row],[Title]])</f>
        <v>AI model for analysis and standardization of case law and prediction of outcomes in court cases</v>
      </c>
      <c r="C172" s="19" t="str">
        <f>IF(Projects[[#This Row],[AI Relevance]]="","",Projects[[#This Row],[AI Relevance]])</f>
        <v>AI</v>
      </c>
      <c r="D172" s="19" t="str">
        <f>_xlfn.XLOOKUP(Projects[[#This Row],[Area1]],Table1[Area],Table1[FRArea],"Check",FALSE)</f>
        <v>5 - Anonymisation et pseudonymisation</v>
      </c>
      <c r="E172" s="19" t="str">
        <f>IF(Projects[[#This Row],[Area2]]="","",_xlfn.XLOOKUP(Projects[[#This Row],[Area2]],Table1[Area],Table1[FRArea],"Check",FALSE))</f>
        <v>3 - Prévision des résultats des litiges</v>
      </c>
      <c r="F172" s="19">
        <f>IF(Projects[[#This Row],[Year]]="","",Projects[[#This Row],[Year]])</f>
        <v>2025</v>
      </c>
      <c r="G172" s="19" t="str">
        <f>_xlfn.XLOOKUP(Projects[[#This Row],[Country]],Table2[Country],Table2[Pays],"Check",FALSE)</f>
        <v>Bulgarie</v>
      </c>
      <c r="H172" s="19" t="str">
        <f>IF(Projects[[#This Row],[Description]]="","",Projects[[#This Row],[Description]])</f>
        <v>The project involves the technical development and training of an AI pilot model within the SJC’s regulatory laboratory, in collaboration with INSAIT. The model is trained on a wide range of anonymised court decisions, selected by judges across various legal fields, to detect and analyse recurring patterns. It is expected to process this data and demonstrate AI capabilities for automating case analysis and supporting judicial work by generating draft judicial acts based on mandatory case law and case law selected by appellate and cassation judges.
The pilot will also include tools to detect inconsistencies and divergent practices, helping to improve predictability and consistency in the administration of justice.
The project further includes testing and deploying the pilot model across the entire justice system and maintaining it during the programming period. The model will also be used to promote out-of-court settlements and mediation, helping to reduce the courts’ workload. The app uses AI to interpret user requests and generate the required documents, instructions, or actions. Users input their issue, and the system produces the appropriate template or communication; in some cases, the AI negotiates directly with companies on the user’s behalf.</v>
      </c>
      <c r="I172" s="29" t="str">
        <f>IF(Projects[[#This Row],[DescriptionFR]]="","",Projects[[#This Row],[DescriptionFR]])</f>
        <v>Le projet prévoit le développement technique et l’entraînement d’un modèle pilote d’IA au sein du laboratoire réglementaire du CSM, en collaboration avec INSAIT. Le modèle est formé à partir d’un large ensemble de décisions judiciaires anonymisées, sélectionnées par des juges dans différents domaines du droit, afin de détecter et d’analyser des schémas récurrents. Il doit être en mesure de traiter ces données et de démontrer les capacités de l’IA pour l’automatisation de l’analyse des affaires et le soutien au travail juridictionnel, notamment par la génération de projets d’actes judiciaires fondés sur la jurisprudence obligatoire et celle retenue par les juges d’appel et de cassation.
Le modèle pilote comprendra également des outils permettant de détecter les contradictions et les divergences de pratique, afin d’améliorer la prévisibilité et l’uniformité de l’administration de la justice.
Le projet prévoit en outre le test et le déploiement du modèle pilote dans l’ensemble du système judiciaire, ainsi que sa maintenance durant la période de programmation. Le modèle sera également utilisé pour encourager les règlements extrajudiciaires et la médiation, contribuant ainsi à alléger la charge de travail des tribunaux.</v>
      </c>
      <c r="J172" s="30" t="str">
        <f>IF(Projects[[#This Row],[Link]]="","",Projects[[#This Row],[Link]])</f>
        <v>https://rm.coe.int/internal-system/4880299b55</v>
      </c>
      <c r="K172" s="30" t="str">
        <f>IF(Projects[[#This Row],[Link1]]="","",Projects[[#This Row],[Link1]])</f>
        <v/>
      </c>
      <c r="L172" s="19" t="str">
        <f>_xlfn.XLOOKUP(Projects[[#This Row],[Implemented by]],Table3[Implemented by],Table3[ImplementedFR],"",FALSE)</f>
        <v xml:space="preserve">Publique </v>
      </c>
      <c r="M172" s="19" t="str">
        <f>_xlfn.XLOOKUP(Projects[[#This Row],[Target audience]],Table4[Target audience],Table4[Target audienceFR],"",FALSE)</f>
        <v>Usagers des tribunaux (Grand public)</v>
      </c>
      <c r="N172" s="19" t="str">
        <f>IF(Projects[[#This Row],[Target audience2]]="","",_xlfn.XLOOKUP(Projects[[#This Row],[Target audience2]],Table4[Target audience],Table4[Target audienceFR],"Check",FALSE))</f>
        <v>Avocats</v>
      </c>
      <c r="O172" s="19" t="str">
        <f>IF(Projects[[#This Row],[Target audience3]]="","",_xlfn.XLOOKUP(Projects[[#This Row],[Target audience3]],Table4[Target audience],Table4[Target audienceFR],"Check",FALSE))</f>
        <v>Juges/greffiers</v>
      </c>
      <c r="P172" s="19" t="str">
        <f>IF(Projects[[#This Row],[Target audience4]]="","",_xlfn.XLOOKUP(Projects[[#This Row],[Target audience4]],Table4[Target audience],Table4[Target audienceFR],"Check",FALSE))</f>
        <v/>
      </c>
      <c r="Q172" s="19" t="str">
        <f>IF(Projects[[#This Row],[Target audience5]]="","",_xlfn.XLOOKUP(Projects[[#This Row],[Target audience5]],Table4[Target audience],Table4[Target audienceFR],"Check",FALSE))</f>
        <v/>
      </c>
      <c r="R172" s="19" t="str">
        <f>_xlfn.XLOOKUP(Projects[[#This Row],[Status]],Table8[Status],Table8[StatusFR],"",FALSE)</f>
        <v>Concept/prévu</v>
      </c>
      <c r="S172" s="19" t="str">
        <f>_xlfn.XLOOKUP(Projects[[#This Row],[Coverage]],Table7[Coverage],Table7[CoverageFR],"",FALSE)</f>
        <v xml:space="preserve">National </v>
      </c>
      <c r="T172" s="31" t="str">
        <f>IF(Projects[[#This Row],[To publish]]="","",Projects[[#This Row],[To publish]])</f>
        <v>Batch 8</v>
      </c>
    </row>
    <row r="173" spans="1:20" ht="165" x14ac:dyDescent="0.25">
      <c r="A173" s="19">
        <f>Projects[[#This Row],[NR]]</f>
        <v>217</v>
      </c>
      <c r="B173" s="19" t="str">
        <f>IF(Projects[[#This Row],[Title]]="","",Projects[[#This Row],[Title]])</f>
        <v>Chatbot for citizens</v>
      </c>
      <c r="C173" s="19" t="str">
        <f>IF(Projects[[#This Row],[AI Relevance]]="","",Projects[[#This Row],[AI Relevance]])</f>
        <v>AI</v>
      </c>
      <c r="D173" s="19" t="str">
        <f>_xlfn.XLOOKUP(Projects[[#This Row],[Area1]],Table1[Area],Table1[FRArea],"Check",FALSE)</f>
        <v>8 - Services d'information/assistance</v>
      </c>
      <c r="E173" s="19" t="str">
        <f>IF(Projects[[#This Row],[Area2]]="","",_xlfn.XLOOKUP(Projects[[#This Row],[Area2]],Table1[Area],Table1[FRArea],"Check",FALSE))</f>
        <v/>
      </c>
      <c r="F173" s="19">
        <f>IF(Projects[[#This Row],[Year]]="","",Projects[[#This Row],[Year]])</f>
        <v>2025</v>
      </c>
      <c r="G173" s="19" t="str">
        <f>_xlfn.XLOOKUP(Projects[[#This Row],[Country]],Table2[Country],Table2[Pays],"Check",FALSE)</f>
        <v>Bulgarie</v>
      </c>
      <c r="H173" s="19" t="str">
        <f>IF(Projects[[#This Row],[Description]]="","",Projects[[#This Row],[Description]])</f>
        <v>The project includes the creation of an intuitive chatbot using natural language processing (NLP) to provide immediate answers to basic legal questions identified within the regulatory sandbox, as well as information on court procedures in clear, accessible language. The chatbot will be integrated with legal databases to ensure accurate, reliable and up-to-date information. It will also be accessible through multiple channels, including websites, mobile applications and social networks.</v>
      </c>
      <c r="I173" s="29" t="str">
        <f>IF(Projects[[#This Row],[DescriptionFR]]="","",Projects[[#This Row],[DescriptionFR]])</f>
        <v>Le projet prévoit la création d’un chatbot intuitif utilisant le traitement du langage naturel (NLP) afin de fournir des réponses immédiates aux questions juridiques de base identifiées dans le cadre du bac à sable réglementaire, ainsi que des informations sur les procédures judiciaires dans un langage clair et accessible. Le chatbot sera intégré aux bases de données juridiques afin de garantir une information précise, fiable et à jour. Il sera accessible via différents canaux : site web, applications mobiles et réseaux sociaux.</v>
      </c>
      <c r="J173" s="30" t="str">
        <f>IF(Projects[[#This Row],[Link]]="","",Projects[[#This Row],[Link]])</f>
        <v>https://rm.coe.int/internal-system/4880299b55</v>
      </c>
      <c r="K173" s="30" t="str">
        <f>IF(Projects[[#This Row],[Link1]]="","",Projects[[#This Row],[Link1]])</f>
        <v/>
      </c>
      <c r="L173" s="19" t="str">
        <f>_xlfn.XLOOKUP(Projects[[#This Row],[Implemented by]],Table3[Implemented by],Table3[ImplementedFR],"",FALSE)</f>
        <v xml:space="preserve">Publique </v>
      </c>
      <c r="M173" s="19" t="str">
        <f>_xlfn.XLOOKUP(Projects[[#This Row],[Target audience]],Table4[Target audience],Table4[Target audienceFR],"",FALSE)</f>
        <v>Usagers des tribunaux (Grand public)</v>
      </c>
      <c r="N173" s="19" t="str">
        <f>IF(Projects[[#This Row],[Target audience2]]="","",_xlfn.XLOOKUP(Projects[[#This Row],[Target audience2]],Table4[Target audience],Table4[Target audienceFR],"Check",FALSE))</f>
        <v>Juges/greffiers</v>
      </c>
      <c r="O173" s="19" t="str">
        <f>IF(Projects[[#This Row],[Target audience3]]="","",_xlfn.XLOOKUP(Projects[[#This Row],[Target audience3]],Table4[Target audience],Table4[Target audienceFR],"Check",FALSE))</f>
        <v>Avocats</v>
      </c>
      <c r="P173" s="19" t="str">
        <f>IF(Projects[[#This Row],[Target audience4]]="","",_xlfn.XLOOKUP(Projects[[#This Row],[Target audience4]],Table4[Target audience],Table4[Target audienceFR],"Check",FALSE))</f>
        <v/>
      </c>
      <c r="Q173" s="19" t="str">
        <f>IF(Projects[[#This Row],[Target audience5]]="","",_xlfn.XLOOKUP(Projects[[#This Row],[Target audience5]],Table4[Target audience],Table4[Target audienceFR],"Check",FALSE))</f>
        <v/>
      </c>
      <c r="R173" s="19" t="str">
        <f>_xlfn.XLOOKUP(Projects[[#This Row],[Status]],Table8[Status],Table8[StatusFR],"",FALSE)</f>
        <v>Concept/prévu</v>
      </c>
      <c r="S173" s="19" t="str">
        <f>_xlfn.XLOOKUP(Projects[[#This Row],[Coverage]],Table7[Coverage],Table7[CoverageFR],"",FALSE)</f>
        <v xml:space="preserve">National </v>
      </c>
      <c r="T173" s="31" t="str">
        <f>IF(Projects[[#This Row],[To publish]]="","",Projects[[#This Row],[To publish]])</f>
        <v>Batch 8</v>
      </c>
    </row>
    <row r="174" spans="1:20" ht="90" x14ac:dyDescent="0.25">
      <c r="A174" s="19">
        <f>Projects[[#This Row],[NR]]</f>
        <v>218</v>
      </c>
      <c r="B174" s="19" t="str">
        <f>IF(Projects[[#This Row],[Title]]="","",Projects[[#This Row],[Title]])</f>
        <v xml:space="preserve">Monitoring and evaluating AI decisions </v>
      </c>
      <c r="C174" s="19" t="str">
        <f>IF(Projects[[#This Row],[AI Relevance]]="","",Projects[[#This Row],[AI Relevance]])</f>
        <v>AI</v>
      </c>
      <c r="D174" s="19" t="str">
        <f>_xlfn.XLOOKUP(Projects[[#This Row],[Area1]],Table1[Area],Table1[FRArea],"Check",FALSE)</f>
        <v>4 - Aide à la décision</v>
      </c>
      <c r="E174" s="19" t="str">
        <f>IF(Projects[[#This Row],[Area2]]="","",_xlfn.XLOOKUP(Projects[[#This Row],[Area2]],Table1[Area],Table1[FRArea],"Check",FALSE))</f>
        <v/>
      </c>
      <c r="F174" s="19">
        <f>IF(Projects[[#This Row],[Year]]="","",Projects[[#This Row],[Year]])</f>
        <v>2025</v>
      </c>
      <c r="G174" s="19" t="str">
        <f>_xlfn.XLOOKUP(Projects[[#This Row],[Country]],Table2[Country],Table2[Pays],"Check",FALSE)</f>
        <v>Bulgarie</v>
      </c>
      <c r="H174" s="19" t="str">
        <f>IF(Projects[[#This Row],[Description]]="","",Projects[[#This Row],[Description]])</f>
        <v>The project includes establishing mechanisms to ensure transparency and accountability in decisions supported by AI. It also provides for the regular evaluation and review of AI tools to guarantee their ethical use, accuracy, and continued usefulness.</v>
      </c>
      <c r="I174" s="29" t="str">
        <f>IF(Projects[[#This Row],[DescriptionFR]]="","",Projects[[#This Row],[DescriptionFR]])</f>
        <v>Le projet prévoit la mise en place de mécanismes garantissant la transparence et la responsabilité des décisions prises avec l’aide de l’IA. Il comprend également l’évaluation et la révision régulières des outils d’IA afin d’en assurer l’éthique, la précision et l’utilité continue.</v>
      </c>
      <c r="J174" s="30" t="str">
        <f>IF(Projects[[#This Row],[Link]]="","",Projects[[#This Row],[Link]])</f>
        <v>https://rm.coe.int/internal-system/4880299b55</v>
      </c>
      <c r="K174" s="30" t="str">
        <f>IF(Projects[[#This Row],[Link1]]="","",Projects[[#This Row],[Link1]])</f>
        <v/>
      </c>
      <c r="L174" s="19" t="str">
        <f>_xlfn.XLOOKUP(Projects[[#This Row],[Implemented by]],Table3[Implemented by],Table3[ImplementedFR],"",FALSE)</f>
        <v xml:space="preserve">Publique </v>
      </c>
      <c r="M174" s="19" t="str">
        <f>_xlfn.XLOOKUP(Projects[[#This Row],[Target audience]],Table4[Target audience],Table4[Target audienceFR],"",FALSE)</f>
        <v>Usagers des tribunaux (Grand public)</v>
      </c>
      <c r="N174" s="19" t="str">
        <f>IF(Projects[[#This Row],[Target audience2]]="","",_xlfn.XLOOKUP(Projects[[#This Row],[Target audience2]],Table4[Target audience],Table4[Target audienceFR],"Check",FALSE))</f>
        <v>Juges/greffiers</v>
      </c>
      <c r="O174" s="19" t="str">
        <f>IF(Projects[[#This Row],[Target audience3]]="","",_xlfn.XLOOKUP(Projects[[#This Row],[Target audience3]],Table4[Target audience],Table4[Target audienceFR],"Check",FALSE))</f>
        <v>Avocats</v>
      </c>
      <c r="P174" s="19" t="str">
        <f>IF(Projects[[#This Row],[Target audience4]]="","",_xlfn.XLOOKUP(Projects[[#This Row],[Target audience4]],Table4[Target audience],Table4[Target audienceFR],"Check",FALSE))</f>
        <v>Procureurs/greffiers</v>
      </c>
      <c r="Q174" s="19" t="str">
        <f>IF(Projects[[#This Row],[Target audience5]]="","",_xlfn.XLOOKUP(Projects[[#This Row],[Target audience5]],Table4[Target audience],Table4[Target audienceFR],"Check",FALSE))</f>
        <v/>
      </c>
      <c r="R174" s="19" t="str">
        <f>_xlfn.XLOOKUP(Projects[[#This Row],[Status]],Table8[Status],Table8[StatusFR],"",FALSE)</f>
        <v>Concept/prévu</v>
      </c>
      <c r="S174" s="19" t="str">
        <f>_xlfn.XLOOKUP(Projects[[#This Row],[Coverage]],Table7[Coverage],Table7[CoverageFR],"",FALSE)</f>
        <v xml:space="preserve">National </v>
      </c>
      <c r="T174" s="31" t="str">
        <f>IF(Projects[[#This Row],[To publish]]="","",Projects[[#This Row],[To publish]])</f>
        <v>Batch 8</v>
      </c>
    </row>
    <row r="175" spans="1:20" ht="210" x14ac:dyDescent="0.25">
      <c r="A175" s="19">
        <f>Projects[[#This Row],[NR]]</f>
        <v>219</v>
      </c>
      <c r="B175" s="19" t="str">
        <f>IF(Projects[[#This Row],[Title]]="","",Projects[[#This Row],[Title]])</f>
        <v xml:space="preserve">AI-BgCPT / Regulatory sandbox monitoring the judicial use of AI </v>
      </c>
      <c r="C175" s="19" t="str">
        <f>IF(Projects[[#This Row],[AI Relevance]]="","",Projects[[#This Row],[AI Relevance]])</f>
        <v>AI</v>
      </c>
      <c r="D175" s="19" t="str">
        <f>_xlfn.XLOOKUP(Projects[[#This Row],[Area1]],Table1[Area],Table1[FRArea],"Check",FALSE)</f>
        <v>4 - Aide à la décision</v>
      </c>
      <c r="E175" s="19" t="str">
        <f>IF(Projects[[#This Row],[Area2]]="","",_xlfn.XLOOKUP(Projects[[#This Row],[Area2]],Table1[Area],Table1[FRArea],"Check",FALSE))</f>
        <v/>
      </c>
      <c r="F175" s="19">
        <f>IF(Projects[[#This Row],[Year]]="","",Projects[[#This Row],[Year]])</f>
        <v>2025</v>
      </c>
      <c r="G175" s="19" t="str">
        <f>_xlfn.XLOOKUP(Projects[[#This Row],[Country]],Table2[Country],Table2[Pays],"Check",FALSE)</f>
        <v>Bulgarie</v>
      </c>
      <c r="H175" s="19" t="str">
        <f>IF(Projects[[#This Row],[Description]]="","",Projects[[#This Row],[Description]])</f>
        <v>The Supreme Judicial Council plans to establish such a regulatory sandbox to guide, structure and monitor the introduction of AI within the justice system. This initiative will be supported by INSAIT (Institute for Computer Science, Artificial Intelligence and Technology) at Sofia University “St. Kliment Ohridski,” the creator of the EU-unique model AI-BgGPT. The sandbox will serve as the central framework for safely experimenting with AI tools in judicial processes while ensuring transparency, legal compliance and adaptability.</v>
      </c>
      <c r="I175" s="29" t="str">
        <f>IF(Projects[[#This Row],[DescriptionFR]]="","",Projects[[#This Row],[DescriptionFR]])</f>
        <v>Le Conseil supérieur de la magistrature prévoit de mettre en place un tel bac à sable réglementaire afin de définir, structurer et superviser l’introduction de l’intelligence artificielle dans le système judiciaire. Cette initiative sera soutenue par INSAIT (Institut des sciences informatiques, de l’intelligence artificielle et des technologies) de l’Université de Sofia « Saint-Clément d’Ohrid », créateur du modèle AI-BgGPT, unique au sein de l’Union européenne. Le bac à sable constituera le cadre central permettant d’expérimenter en toute sécurité les outils d’IA dans les processus judiciaires, tout en garantissant la transparence, la conformité juridique et la capacité d’adaptation.</v>
      </c>
      <c r="J175" s="30" t="str">
        <f>IF(Projects[[#This Row],[Link]]="","",Projects[[#This Row],[Link]])</f>
        <v>https://rm.coe.int/internal-system/4880299b55</v>
      </c>
      <c r="K175" s="30" t="str">
        <f>IF(Projects[[#This Row],[Link1]]="","",Projects[[#This Row],[Link1]])</f>
        <v/>
      </c>
      <c r="L175" s="19" t="str">
        <f>_xlfn.XLOOKUP(Projects[[#This Row],[Implemented by]],Table3[Implemented by],Table3[ImplementedFR],"",FALSE)</f>
        <v xml:space="preserve">Publique </v>
      </c>
      <c r="M175" s="19" t="str">
        <f>_xlfn.XLOOKUP(Projects[[#This Row],[Target audience]],Table4[Target audience],Table4[Target audienceFR],"",FALSE)</f>
        <v>Usagers des tribunaux (Grand public)</v>
      </c>
      <c r="N175" s="19" t="str">
        <f>IF(Projects[[#This Row],[Target audience2]]="","",_xlfn.XLOOKUP(Projects[[#This Row],[Target audience2]],Table4[Target audience],Table4[Target audienceFR],"Check",FALSE))</f>
        <v>Juges/greffiers</v>
      </c>
      <c r="O175" s="19" t="str">
        <f>IF(Projects[[#This Row],[Target audience3]]="","",_xlfn.XLOOKUP(Projects[[#This Row],[Target audience3]],Table4[Target audience],Table4[Target audienceFR],"Check",FALSE))</f>
        <v>Avocats</v>
      </c>
      <c r="P175" s="19" t="str">
        <f>IF(Projects[[#This Row],[Target audience4]]="","",_xlfn.XLOOKUP(Projects[[#This Row],[Target audience4]],Table4[Target audience],Table4[Target audienceFR],"Check",FALSE))</f>
        <v>Procureurs/greffiers</v>
      </c>
      <c r="Q175" s="19" t="str">
        <f>IF(Projects[[#This Row],[Target audience5]]="","",_xlfn.XLOOKUP(Projects[[#This Row],[Target audience5]],Table4[Target audience],Table4[Target audienceFR],"Check",FALSE))</f>
        <v/>
      </c>
      <c r="R175" s="19" t="str">
        <f>_xlfn.XLOOKUP(Projects[[#This Row],[Status]],Table8[Status],Table8[StatusFR],"",FALSE)</f>
        <v>Concept/prévu</v>
      </c>
      <c r="S175" s="19" t="str">
        <f>_xlfn.XLOOKUP(Projects[[#This Row],[Coverage]],Table7[Coverage],Table7[CoverageFR],"",FALSE)</f>
        <v xml:space="preserve">National </v>
      </c>
      <c r="T175" s="31" t="str">
        <f>IF(Projects[[#This Row],[To publish]]="","",Projects[[#This Row],[To publish]])</f>
        <v>Batch 8</v>
      </c>
    </row>
    <row r="176" spans="1:20" ht="255" x14ac:dyDescent="0.25">
      <c r="A176" s="19">
        <f>Projects[[#This Row],[NR]]</f>
        <v>220</v>
      </c>
      <c r="B176" s="19" t="str">
        <f>IF(Projects[[#This Row],[Title]]="","",Projects[[#This Row],[Title]])</f>
        <v>Amica</v>
      </c>
      <c r="C176" s="19" t="str">
        <f>IF(Projects[[#This Row],[AI Relevance]]="","",Projects[[#This Row],[AI Relevance]])</f>
        <v>AI</v>
      </c>
      <c r="D176" s="19" t="str">
        <f>_xlfn.XLOOKUP(Projects[[#This Row],[Area1]],Table1[Area],Table1[FRArea],"Check",FALSE)</f>
        <v>2 - Résolution automatisée des litiges</v>
      </c>
      <c r="E176" s="19" t="str">
        <f>IF(Projects[[#This Row],[Area2]]="","",_xlfn.XLOOKUP(Projects[[#This Row],[Area2]],Table1[Area],Table1[FRArea],"Check",FALSE))</f>
        <v/>
      </c>
      <c r="F176" s="19">
        <f>IF(Projects[[#This Row],[Year]]="","",Projects[[#This Row],[Year]])</f>
        <v>2020</v>
      </c>
      <c r="G176" s="19" t="str">
        <f>_xlfn.XLOOKUP(Projects[[#This Row],[Country]],Table2[Country],Table2[Pays],"Check",FALSE)</f>
        <v>Australie</v>
      </c>
      <c r="H176" s="19" t="str">
        <f>IF(Projects[[#This Row],[Description]]="","",Projects[[#This Row],[Description]])</f>
        <v>Amica is an Australian government-supported online platform designed to help separating couples reach agreements on parenting and property matters without going to court. Using AI, it provides personalised suggestions based on factors such as the duration of the relationship, financial contributions, and future needs. The platform guides users through structured negotiations, enabling them to create legally enforceable agreements confidentially and cost-effectively. Amica is particularly well-suited for couples experiencing relatively amicable separations who want a structured yet flexible approach to resolving family law issues.</v>
      </c>
      <c r="I176" s="29" t="str">
        <f>IF(Projects[[#This Row],[DescriptionFR]]="","",Projects[[#This Row],[DescriptionFR]])</f>
        <v>Amica est une plateforme en ligne soutenue par le gouvernement australien, conçue pour aider les couples en séparation à parvenir à des accords concernant la garde des enfants et le partage des biens sans avoir à se rendre au tribunal. Grâce à l’intelligence artificielle, elle fournit des recommandations personnalisées fondées sur des facteurs tels que la durée de la relation, les contributions financières et les besoins futurs. La plateforme guide les utilisateurs à travers des négociations structurées, leur permettant de créer des accords juridiquement contraignants de manière confidentielle et économique. Amica convient particulièrement aux couples dont la séparation est relativement consensuelle et qui recherchent une approche à la fois structurée et flexible pour résoudre les questions relevant du droit de la famille.</v>
      </c>
      <c r="J176" s="30" t="str">
        <f>IF(Projects[[#This Row],[Link]]="","",Projects[[#This Row],[Link]])</f>
        <v xml:space="preserve">https://amica.gov.au/ </v>
      </c>
      <c r="K176" s="30" t="str">
        <f>IF(Projects[[#This Row],[Link1]]="","",Projects[[#This Row],[Link1]])</f>
        <v>https://radar.ircai.org/en/tools/amica/</v>
      </c>
      <c r="L176" s="19" t="str">
        <f>_xlfn.XLOOKUP(Projects[[#This Row],[Implemented by]],Table3[Implemented by],Table3[ImplementedFR],"",FALSE)</f>
        <v xml:space="preserve">Publique </v>
      </c>
      <c r="M176" s="19" t="str">
        <f>_xlfn.XLOOKUP(Projects[[#This Row],[Target audience]],Table4[Target audience],Table4[Target audienceFR],"",FALSE)</f>
        <v>Usagers des tribunaux (Grand public)</v>
      </c>
      <c r="N176" s="19" t="str">
        <f>IF(Projects[[#This Row],[Target audience2]]="","",_xlfn.XLOOKUP(Projects[[#This Row],[Target audience2]],Table4[Target audience],Table4[Target audienceFR],"Check",FALSE))</f>
        <v>Juges/greffiers</v>
      </c>
      <c r="O176" s="19" t="str">
        <f>IF(Projects[[#This Row],[Target audience3]]="","",_xlfn.XLOOKUP(Projects[[#This Row],[Target audience3]],Table4[Target audience],Table4[Target audienceFR],"Check",FALSE))</f>
        <v/>
      </c>
      <c r="P176" s="19" t="str">
        <f>IF(Projects[[#This Row],[Target audience4]]="","",_xlfn.XLOOKUP(Projects[[#This Row],[Target audience4]],Table4[Target audience],Table4[Target audienceFR],"Check",FALSE))</f>
        <v/>
      </c>
      <c r="Q176" s="19" t="str">
        <f>IF(Projects[[#This Row],[Target audience5]]="","",_xlfn.XLOOKUP(Projects[[#This Row],[Target audience5]],Table4[Target audience],Table4[Target audienceFR],"Check",FALSE))</f>
        <v/>
      </c>
      <c r="R176" s="19" t="str">
        <f>_xlfn.XLOOKUP(Projects[[#This Row],[Status]],Table8[Status],Table8[StatusFR],"",FALSE)</f>
        <v>Fonctionnel</v>
      </c>
      <c r="S176" s="19" t="str">
        <f>_xlfn.XLOOKUP(Projects[[#This Row],[Coverage]],Table7[Coverage],Table7[CoverageFR],"",FALSE)</f>
        <v xml:space="preserve">National </v>
      </c>
      <c r="T176" s="31" t="str">
        <f>IF(Projects[[#This Row],[To publish]]="","",Projects[[#This Row],[To publish]])</f>
        <v>Batch 8</v>
      </c>
    </row>
    <row r="177" spans="1:20" ht="409.5" x14ac:dyDescent="0.25">
      <c r="A177" s="19">
        <f>Projects[[#This Row],[NR]]</f>
        <v>221</v>
      </c>
      <c r="B177" s="19" t="str">
        <f>IF(Projects[[#This Row],[Title]]="","",Projects[[#This Row],[Title]])</f>
        <v>Chatbot for citizens</v>
      </c>
      <c r="C177" s="19" t="str">
        <f>IF(Projects[[#This Row],[AI Relevance]]="","",Projects[[#This Row],[AI Relevance]])</f>
        <v>AI</v>
      </c>
      <c r="D177" s="19" t="str">
        <f>_xlfn.XLOOKUP(Projects[[#This Row],[Area1]],Table1[Area],Table1[FRArea],"Check",FALSE)</f>
        <v>8 - Services d'information/assistance</v>
      </c>
      <c r="E177" s="19" t="str">
        <f>IF(Projects[[#This Row],[Area2]]="","",_xlfn.XLOOKUP(Projects[[#This Row],[Area2]],Table1[Area],Table1[FRArea],"Check",FALSE))</f>
        <v/>
      </c>
      <c r="F177" s="19">
        <f>IF(Projects[[#This Row],[Year]]="","",Projects[[#This Row],[Year]])</f>
        <v>2025</v>
      </c>
      <c r="G177" s="19" t="str">
        <f>_xlfn.XLOOKUP(Projects[[#This Row],[Country]],Table2[Country],Table2[Pays],"Check",FALSE)</f>
        <v>Check</v>
      </c>
      <c r="H177" s="19" t="str">
        <f>IF(Projects[[#This Row],[Description]]="","",Projects[[#This Row],[Description]])</f>
        <v>The Justice Portal of Cabo Verde is an official digital platform created to modernize, integrate, and facilitate access to justice information and services for citizens, businesses, and legal professionals. Launched in 2024,  the portal aims to digitize procedures, reduce bureaucracy, and enhance the efficiency and transparency of judicial services.
The platform offers a wide range of online services, including AI interactive chat , requests for certificates (birth, marriage, death, criminal record), registrations (land, vehicle, commercial), renewal of the National Identification Card (CNI), appointment scheduling, and remote access to legal cases for lawyers. Services are organized by thematic areas — such as Civil Registry, Notary, Civil Identification, Justice, Prison Management, among others — and are classified as informational, interactive, or transactional, depending on their complexity and whether authentication is required.
Secure access to the portal is provided through the Autentika do Estado platform, ensuring user data protection in accordance with Cape Verdean legislation. The Justice Portal is integrated with other public administration systems, ensuring interoperability and contributing to a more accessible, digital, and citizen-centered justice system.</v>
      </c>
      <c r="I177" s="29" t="str">
        <f>IF(Projects[[#This Row],[DescriptionFR]]="","",Projects[[#This Row],[DescriptionFR]])</f>
        <v>Le Portail de la justice du Cap-Vert est une plateforme numérique officielle créée pour moderniser, intégrer et faciliter l'accès aux informations et aux services judiciaires pour les citoyens, les entreprises et les professionnels du droit. Lancé en 2024, le portail vise à numériser les procédures, à réduire la bureaucratie et à améliorer l'efficacité et la transparence des services judiciaires.
La plateforme offre un large éventail de services en ligne, notamment un chat interactif basé sur l'intelligence artificielle, des demandes de certificats (naissance, mariage, décès, casier judiciaire), des enregistrements (terrain, véhicule, commerce), le renouvellement de la carte d'identité nationale (CNI), la prise de rendez-vous et l'accès à distance aux dossiers judiciaires pour les avocats. Les services sont organisés par thèmes (état civil, notariat, identification civile, justice, gestion pénitentiaire, entre autres) et classés comme informatifs, interactifs ou transactionnels, en fonction de leur complexité et de la nécessité ou non d'une authentification.
L'accès sécurisé au portail est assuré par la plateforme Autentika do Estado, qui garantit la protection des données des utilisateurs conformément à la législation capverdienne. Le portail de la justice est intégré à d'autres systèmes de l'administration publique, ce qui garantit l'interopérabilité et contribue à rendre le système judiciaire plus accessible, plus numérique et plus centré sur les citoyens.
Traduit avec DeepL.com (version gratuite)</v>
      </c>
      <c r="J177" s="30" t="str">
        <f>IF(Projects[[#This Row],[Link]]="","",Projects[[#This Row],[Link]])</f>
        <v xml:space="preserve">https://justica.gov.cv/chat/ </v>
      </c>
      <c r="K177" s="30" t="str">
        <f>IF(Projects[[#This Row],[Link1]]="","",Projects[[#This Row],[Link1]])</f>
        <v>https://justica.gov.cv/</v>
      </c>
      <c r="L177" s="19" t="str">
        <f>_xlfn.XLOOKUP(Projects[[#This Row],[Implemented by]],Table3[Implemented by],Table3[ImplementedFR],"",FALSE)</f>
        <v/>
      </c>
      <c r="M177" s="19" t="str">
        <f>_xlfn.XLOOKUP(Projects[[#This Row],[Target audience]],Table4[Target audience],Table4[Target audienceFR],"",FALSE)</f>
        <v>Usagers des tribunaux (Grand public)</v>
      </c>
      <c r="N177" s="19" t="str">
        <f>IF(Projects[[#This Row],[Target audience2]]="","",_xlfn.XLOOKUP(Projects[[#This Row],[Target audience2]],Table4[Target audience],Table4[Target audienceFR],"Check",FALSE))</f>
        <v/>
      </c>
      <c r="O177" s="19" t="str">
        <f>IF(Projects[[#This Row],[Target audience3]]="","",_xlfn.XLOOKUP(Projects[[#This Row],[Target audience3]],Table4[Target audience],Table4[Target audienceFR],"Check",FALSE))</f>
        <v/>
      </c>
      <c r="P177" s="19" t="str">
        <f>IF(Projects[[#This Row],[Target audience4]]="","",_xlfn.XLOOKUP(Projects[[#This Row],[Target audience4]],Table4[Target audience],Table4[Target audienceFR],"Check",FALSE))</f>
        <v/>
      </c>
      <c r="Q177" s="19" t="str">
        <f>IF(Projects[[#This Row],[Target audience5]]="","",_xlfn.XLOOKUP(Projects[[#This Row],[Target audience5]],Table4[Target audience],Table4[Target audienceFR],"Check",FALSE))</f>
        <v/>
      </c>
      <c r="R177" s="19" t="str">
        <f>_xlfn.XLOOKUP(Projects[[#This Row],[Status]],Table8[Status],Table8[StatusFR],"",FALSE)</f>
        <v>Fonctionnel</v>
      </c>
      <c r="S177" s="19" t="str">
        <f>_xlfn.XLOOKUP(Projects[[#This Row],[Coverage]],Table7[Coverage],Table7[CoverageFR],"",FALSE)</f>
        <v xml:space="preserve">National </v>
      </c>
      <c r="T177" s="31" t="str">
        <f>IF(Projects[[#This Row],[To publish]]="","",Projects[[#This Row],[To publish]])</f>
        <v>Batch 8</v>
      </c>
    </row>
    <row r="178" spans="1:20" ht="120" x14ac:dyDescent="0.25">
      <c r="A178" s="19">
        <f>Projects[[#This Row],[NR]]</f>
        <v>222</v>
      </c>
      <c r="B178" s="19" t="str">
        <f>IF(Projects[[#This Row],[Title]]="","",Projects[[#This Row],[Title]])</f>
        <v>IFZO / Matching offender to forensic care location</v>
      </c>
      <c r="C178" s="19" t="str">
        <f>IF(Projects[[#This Row],[AI Relevance]]="","",Projects[[#This Row],[AI Relevance]])</f>
        <v>AI</v>
      </c>
      <c r="D178" s="19" t="str">
        <f>_xlfn.XLOOKUP(Projects[[#This Row],[Area1]],Table1[Area],Table1[FRArea],"Check",FALSE)</f>
        <v>4 - Aide à la décision</v>
      </c>
      <c r="E178" s="19" t="str">
        <f>IF(Projects[[#This Row],[Area2]]="","",_xlfn.XLOOKUP(Projects[[#This Row],[Area2]],Table1[Area],Table1[FRArea],"Check",FALSE))</f>
        <v/>
      </c>
      <c r="F178" s="19">
        <f>IF(Projects[[#This Row],[Year]]="","",Projects[[#This Row],[Year]])</f>
        <v>2010</v>
      </c>
      <c r="G178" s="19" t="str">
        <f>_xlfn.XLOOKUP(Projects[[#This Row],[Country]],Table2[Country],Table2[Pays],"Check",FALSE)</f>
        <v>Pays-Bas</v>
      </c>
      <c r="H178" s="19" t="str">
        <f>IF(Projects[[#This Row],[Description]]="","",Projects[[#This Row],[Description]])</f>
        <v>The judge imposes forensic care on people who committed a crime from a psychiatric disorder, mental illness or intellectual disability. The judge gives a punishment or measure. DJI carries out that punishment or measure and places litigants with a forensic care provider. This algorithm suggests suitable care providers.</v>
      </c>
      <c r="I178" s="29" t="str">
        <f>IF(Projects[[#This Row],[DescriptionFR]]="","",Projects[[#This Row],[DescriptionFR]])</f>
        <v>Le juge impose des soins médico-légaux aux personnes ayant commis une infraction en raison d’un trouble psychiatrique, d’une maladie mentale ou d’une déficience intellectuelle. Il prononce alors une peine ou une mesure. Le DJI exécute cette peine ou cette mesure et place les justiciables auprès d’un prestataire de soins médico-légaux. Cet algorithme propose des prestataires de soins adaptés.</v>
      </c>
      <c r="J178" s="30" t="str">
        <f>IF(Projects[[#This Row],[Link]]="","",Projects[[#This Row],[Link]])</f>
        <v>https://algoritmes.overheid.nl/en/algoritme/oorg10114/85258929/matching-offender-to-forensic-care-location-ifzo-algorithm</v>
      </c>
      <c r="K178" s="30" t="str">
        <f>IF(Projects[[#This Row],[Link1]]="","",Projects[[#This Row],[Link1]])</f>
        <v/>
      </c>
      <c r="L178" s="19" t="str">
        <f>_xlfn.XLOOKUP(Projects[[#This Row],[Implemented by]],Table3[Implemented by],Table3[ImplementedFR],"",FALSE)</f>
        <v xml:space="preserve">Publique </v>
      </c>
      <c r="M178" s="19" t="str">
        <f>_xlfn.XLOOKUP(Projects[[#This Row],[Target audience]],Table4[Target audience],Table4[Target audienceFR],"",FALSE)</f>
        <v>Usagers des tribunaux (Grand public)</v>
      </c>
      <c r="N178" s="19" t="str">
        <f>IF(Projects[[#This Row],[Target audience2]]="","",_xlfn.XLOOKUP(Projects[[#This Row],[Target audience2]],Table4[Target audience],Table4[Target audienceFR],"Check",FALSE))</f>
        <v>Juges/greffiers</v>
      </c>
      <c r="O178" s="19" t="str">
        <f>IF(Projects[[#This Row],[Target audience3]]="","",_xlfn.XLOOKUP(Projects[[#This Row],[Target audience3]],Table4[Target audience],Table4[Target audienceFR],"Check",FALSE))</f>
        <v/>
      </c>
      <c r="P178" s="19" t="str">
        <f>IF(Projects[[#This Row],[Target audience4]]="","",_xlfn.XLOOKUP(Projects[[#This Row],[Target audience4]],Table4[Target audience],Table4[Target audienceFR],"Check",FALSE))</f>
        <v/>
      </c>
      <c r="Q178" s="19" t="str">
        <f>IF(Projects[[#This Row],[Target audience5]]="","",_xlfn.XLOOKUP(Projects[[#This Row],[Target audience5]],Table4[Target audience],Table4[Target audienceFR],"Check",FALSE))</f>
        <v/>
      </c>
      <c r="R178" s="19" t="str">
        <f>_xlfn.XLOOKUP(Projects[[#This Row],[Status]],Table8[Status],Table8[StatusFR],"",FALSE)</f>
        <v>Fonctionnel</v>
      </c>
      <c r="S178" s="19" t="str">
        <f>_xlfn.XLOOKUP(Projects[[#This Row],[Coverage]],Table7[Coverage],Table7[CoverageFR],"",FALSE)</f>
        <v xml:space="preserve">National </v>
      </c>
      <c r="T178" s="31" t="str">
        <f>IF(Projects[[#This Row],[To publish]]="","",Projects[[#This Row],[To publish]])</f>
        <v>Batch 8</v>
      </c>
    </row>
    <row r="179" spans="1:20" ht="75" x14ac:dyDescent="0.25">
      <c r="A179" s="19">
        <f>Projects[[#This Row],[NR]]</f>
        <v>223</v>
      </c>
      <c r="B179" s="19" t="str">
        <f>IF(Projects[[#This Row],[Title]]="","",Projects[[#This Row],[Title]])</f>
        <v>Calculating detention periods</v>
      </c>
      <c r="C179" s="19" t="str">
        <f>IF(Projects[[#This Row],[AI Relevance]]="","",Projects[[#This Row],[AI Relevance]])</f>
        <v>non-AI</v>
      </c>
      <c r="D179" s="19" t="str">
        <f>_xlfn.XLOOKUP(Projects[[#This Row],[Area1]],Table1[Area],Table1[FRArea],"Check",FALSE)</f>
        <v>8 - Services d'information/assistance</v>
      </c>
      <c r="E179" s="19" t="str">
        <f>IF(Projects[[#This Row],[Area2]]="","",_xlfn.XLOOKUP(Projects[[#This Row],[Area2]],Table1[Area],Table1[FRArea],"Check",FALSE))</f>
        <v/>
      </c>
      <c r="F179" s="19">
        <f>IF(Projects[[#This Row],[Year]]="","",Projects[[#This Row],[Year]])</f>
        <v>2021</v>
      </c>
      <c r="G179" s="19" t="str">
        <f>_xlfn.XLOOKUP(Projects[[#This Row],[Country]],Table2[Country],Table2[Pays],"Check",FALSE)</f>
        <v>Pays-Bas</v>
      </c>
      <c r="H179" s="19" t="str">
        <f>IF(Projects[[#This Row],[Description]]="","",Projects[[#This Row],[Description]])</f>
        <v>This algorithm calculates the end date of one or more sentences or measures imposed on a person. This ensures that this person serves their sentence in full and is released on time.</v>
      </c>
      <c r="I179" s="29" t="str">
        <f>IF(Projects[[#This Row],[DescriptionFR]]="","",Projects[[#This Row],[DescriptionFR]])</f>
        <v>Cet algorithme calcule la date de fin d’une ou de plusieurs peines ou mesures imposées à une personne. Il garantit ainsi que cette personne exécute l’intégralité de sa peine et soit libérée au moment prévu.</v>
      </c>
      <c r="J179" s="30" t="str">
        <f>IF(Projects[[#This Row],[Link]]="","",Projects[[#This Row],[Link]])</f>
        <v>https://algoritmes.overheid.nl/en/algoritme/oorg10114/93743583/calculating-detention-periods</v>
      </c>
      <c r="K179" s="30" t="str">
        <f>IF(Projects[[#This Row],[Link1]]="","",Projects[[#This Row],[Link1]])</f>
        <v/>
      </c>
      <c r="L179" s="19" t="str">
        <f>_xlfn.XLOOKUP(Projects[[#This Row],[Implemented by]],Table3[Implemented by],Table3[ImplementedFR],"",FALSE)</f>
        <v xml:space="preserve">Publique </v>
      </c>
      <c r="M179" s="19" t="str">
        <f>_xlfn.XLOOKUP(Projects[[#This Row],[Target audience]],Table4[Target audience],Table4[Target audienceFR],"",FALSE)</f>
        <v>Juges/greffiers</v>
      </c>
      <c r="N179" s="19" t="str">
        <f>IF(Projects[[#This Row],[Target audience2]]="","",_xlfn.XLOOKUP(Projects[[#This Row],[Target audience2]],Table4[Target audience],Table4[Target audienceFR],"Check",FALSE))</f>
        <v>Usagers des tribunaux (Grand public)</v>
      </c>
      <c r="O179" s="19" t="str">
        <f>IF(Projects[[#This Row],[Target audience3]]="","",_xlfn.XLOOKUP(Projects[[#This Row],[Target audience3]],Table4[Target audience],Table4[Target audienceFR],"Check",FALSE))</f>
        <v/>
      </c>
      <c r="P179" s="19" t="str">
        <f>IF(Projects[[#This Row],[Target audience4]]="","",_xlfn.XLOOKUP(Projects[[#This Row],[Target audience4]],Table4[Target audience],Table4[Target audienceFR],"Check",FALSE))</f>
        <v/>
      </c>
      <c r="Q179" s="19" t="str">
        <f>IF(Projects[[#This Row],[Target audience5]]="","",_xlfn.XLOOKUP(Projects[[#This Row],[Target audience5]],Table4[Target audience],Table4[Target audienceFR],"Check",FALSE))</f>
        <v/>
      </c>
      <c r="R179" s="19" t="str">
        <f>_xlfn.XLOOKUP(Projects[[#This Row],[Status]],Table8[Status],Table8[StatusFR],"",FALSE)</f>
        <v>Fonctionnel</v>
      </c>
      <c r="S179" s="19" t="str">
        <f>_xlfn.XLOOKUP(Projects[[#This Row],[Coverage]],Table7[Coverage],Table7[CoverageFR],"",FALSE)</f>
        <v xml:space="preserve">National </v>
      </c>
      <c r="T179" s="31" t="str">
        <f>IF(Projects[[#This Row],[To publish]]="","",Projects[[#This Row],[To publish]])</f>
        <v>Batch 8</v>
      </c>
    </row>
    <row r="180" spans="1:20" ht="105" x14ac:dyDescent="0.25">
      <c r="A180" s="19">
        <f>Projects[[#This Row],[NR]]</f>
        <v>224</v>
      </c>
      <c r="B180" s="19" t="str">
        <f>IF(Projects[[#This Row],[Title]]="","",Projects[[#This Row],[Title]])</f>
        <v xml:space="preserve">RITAX / Risk Assessment Instrument Juvenile Criminal Justice </v>
      </c>
      <c r="C180" s="19" t="str">
        <f>IF(Projects[[#This Row],[AI Relevance]]="","",Projects[[#This Row],[AI Relevance]])</f>
        <v>non-AI</v>
      </c>
      <c r="D180" s="19" t="str">
        <f>_xlfn.XLOOKUP(Projects[[#This Row],[Area1]],Table1[Area],Table1[FRArea],"Check",FALSE)</f>
        <v>4 - Aide à la décision</v>
      </c>
      <c r="E180" s="19" t="str">
        <f>IF(Projects[[#This Row],[Area2]]="","",_xlfn.XLOOKUP(Projects[[#This Row],[Area2]],Table1[Area],Table1[FRArea],"Check",FALSE))</f>
        <v/>
      </c>
      <c r="F180" s="19">
        <f>IF(Projects[[#This Row],[Year]]="","",Projects[[#This Row],[Year]])</f>
        <v>2013</v>
      </c>
      <c r="G180" s="19" t="str">
        <f>_xlfn.XLOOKUP(Projects[[#This Row],[Country]],Table2[Country],Table2[Pays],"Check",FALSE)</f>
        <v>Pays-Bas</v>
      </c>
      <c r="H180" s="19" t="str">
        <f>IF(Projects[[#This Row],[Description]]="","",Projects[[#This Row],[Description]])</f>
        <v>The Ritax is part of the LIJ and is used for young people suspected of committing a crime. Ritax is a scientifically based risk assessment instrument. It allows a substantiated recommendation to be made for an intervention to prevent recidivism and encourage positive development of the young person.</v>
      </c>
      <c r="I180" s="29" t="str">
        <f>IF(Projects[[#This Row],[DescriptionFR]]="","",Projects[[#This Row],[DescriptionFR]])</f>
        <v>Le Ritax fait partie du LIJ et est utilisé pour les jeunes soupçonnés d’avoir commis une infraction. Ritax est un instrument d’évaluation des risques fondé scientifiquement. Il permet de formuler une recommandation étayée concernant une intervention visant à prévenir la récidive et à favoriser le développement positif du jeune.</v>
      </c>
      <c r="J180" s="30" t="str">
        <f>IF(Projects[[#This Row],[Link]]="","",Projects[[#This Row],[Link]])</f>
        <v>https://algoritmes.overheid.nl/en/algoritme/mnre1058/535137/537490/15996611/risk-assessment-instrument-juvenile-criminal-justice-ritax</v>
      </c>
      <c r="K180" s="30" t="str">
        <f>IF(Projects[[#This Row],[Link1]]="","",Projects[[#This Row],[Link1]])</f>
        <v/>
      </c>
      <c r="L180" s="19" t="str">
        <f>_xlfn.XLOOKUP(Projects[[#This Row],[Implemented by]],Table3[Implemented by],Table3[ImplementedFR],"",FALSE)</f>
        <v xml:space="preserve">Publique </v>
      </c>
      <c r="M180" s="19" t="str">
        <f>_xlfn.XLOOKUP(Projects[[#This Row],[Target audience]],Table4[Target audience],Table4[Target audienceFR],"",FALSE)</f>
        <v>Usagers des tribunaux (Grand public)</v>
      </c>
      <c r="N180" s="19" t="str">
        <f>IF(Projects[[#This Row],[Target audience2]]="","",_xlfn.XLOOKUP(Projects[[#This Row],[Target audience2]],Table4[Target audience],Table4[Target audienceFR],"Check",FALSE))</f>
        <v>Juges/greffiers</v>
      </c>
      <c r="O180" s="19" t="str">
        <f>IF(Projects[[#This Row],[Target audience3]]="","",_xlfn.XLOOKUP(Projects[[#This Row],[Target audience3]],Table4[Target audience],Table4[Target audienceFR],"Check",FALSE))</f>
        <v/>
      </c>
      <c r="P180" s="19" t="str">
        <f>IF(Projects[[#This Row],[Target audience4]]="","",_xlfn.XLOOKUP(Projects[[#This Row],[Target audience4]],Table4[Target audience],Table4[Target audienceFR],"Check",FALSE))</f>
        <v/>
      </c>
      <c r="Q180" s="19" t="str">
        <f>IF(Projects[[#This Row],[Target audience5]]="","",_xlfn.XLOOKUP(Projects[[#This Row],[Target audience5]],Table4[Target audience],Table4[Target audienceFR],"Check",FALSE))</f>
        <v/>
      </c>
      <c r="R180" s="19" t="str">
        <f>_xlfn.XLOOKUP(Projects[[#This Row],[Status]],Table8[Status],Table8[StatusFR],"",FALSE)</f>
        <v>Fonctionnel</v>
      </c>
      <c r="S180" s="19" t="str">
        <f>_xlfn.XLOOKUP(Projects[[#This Row],[Coverage]],Table7[Coverage],Table7[CoverageFR],"",FALSE)</f>
        <v xml:space="preserve">National </v>
      </c>
      <c r="T180" s="31" t="str">
        <f>IF(Projects[[#This Row],[To publish]]="","",Projects[[#This Row],[To publish]])</f>
        <v>Batch 8</v>
      </c>
    </row>
    <row r="181" spans="1:20" ht="375" x14ac:dyDescent="0.25">
      <c r="A181" s="19">
        <f>Projects[[#This Row],[NR]]</f>
        <v>225</v>
      </c>
      <c r="B181" s="19" t="str">
        <f>IF(Projects[[#This Row],[Title]]="","",Projects[[#This Row],[Title]])</f>
        <v>Register criminal database</v>
      </c>
      <c r="C181" s="19" t="str">
        <f>IF(Projects[[#This Row],[AI Relevance]]="","",Projects[[#This Row],[AI Relevance]])</f>
        <v>non-AI</v>
      </c>
      <c r="D181" s="19" t="str">
        <f>_xlfn.XLOOKUP(Projects[[#This Row],[Area1]],Table1[Area],Table1[FRArea],"Check",FALSE)</f>
        <v>4 - Aide à la décision</v>
      </c>
      <c r="E181" s="19" t="str">
        <f>IF(Projects[[#This Row],[Area2]]="","",_xlfn.XLOOKUP(Projects[[#This Row],[Area2]],Table1[Area],Table1[FRArea],"Check",FALSE))</f>
        <v/>
      </c>
      <c r="F181" s="19">
        <f>IF(Projects[[#This Row],[Year]]="","",Projects[[#This Row],[Year]])</f>
        <v>2025</v>
      </c>
      <c r="G181" s="19" t="str">
        <f>_xlfn.XLOOKUP(Projects[[#This Row],[Country]],Table2[Country],Table2[Pays],"Check",FALSE)</f>
        <v>Pays-Bas</v>
      </c>
      <c r="H181" s="19" t="str">
        <f>IF(Projects[[#This Row],[Description]]="","",Projects[[#This Row],[Description]])</f>
        <v>The criminal justice database assists in determining leading identity in criminal cases. The personal details of a suspect or convicted person are stored in this system under a unique number supported by an algorithm. The algorithm follows the rules given to it by experts from the Judicial Information Service (Justid) in the field of identity determination. This is also known as a rule-based algorithm. Using these rules, the algorithm first checks whether there is sufficient similarity with an existing registration to which the new set of personal details can be automatically linked. If this is not the case, the algorithm uses the rules to check whether there are registrations of persons that have a lot of similarities with the supplied set of personal details. In the latter situation, this suggestion from the algorithm is submitted to a Matching Authority employee. The Matching Authority employee then examines whether the supplied set of personalia and the result found by the algorithm are the same person</v>
      </c>
      <c r="I181" s="29" t="str">
        <f>IF(Projects[[#This Row],[DescriptionFR]]="","",Projects[[#This Row],[DescriptionFR]])</f>
        <v>La base de données de justice pénale aide à déterminer l’identité principale dans les affaires pénales. Les données personnelles d’un suspect ou d’un condamné y sont enregistrées sous un numéro unique généré grâce à un algorithme. L'algorithme suit les règles qui lui sont fournies par les experts du Service d'information judiciaire (Justid) dans le domaine de la détermination de l'identité. On parle également d'algorithme basé sur des règles. À l'aide de ces règles, l'algorithme vérifie d'abord s'il existe une similitude suffisante avec un enregistrement existant auquel le nouvel ensemble de données personnelles peut être automatiquement lié. Si ce n'est pas le cas, l'algorithme utilise les règles pour vérifier s'il existe des enregistrements de personnes présentant de nombreuses similitudes avec l'ensemble de données personnelles fourni. Dans ce dernier cas, la suggestion de l'algorithme est soumise à un employé de l'autorité de correspondance. L'employé de l'autorité de correspondance examine alors si l'ensemble de données personnelles fourni et le résultat trouvé par l'algorithme correspondent à la même personne.
Traduit avec DeepL.com (version gratuite)</v>
      </c>
      <c r="J181" s="30" t="str">
        <f>IF(Projects[[#This Row],[Link]]="","",Projects[[#This Row],[Link]])</f>
        <v>https://algoritmes.overheid.nl/en/algoritme/oorg10249/71975649/register-criminal-database</v>
      </c>
      <c r="K181" s="30" t="str">
        <f>IF(Projects[[#This Row],[Link1]]="","",Projects[[#This Row],[Link1]])</f>
        <v/>
      </c>
      <c r="L181" s="19" t="str">
        <f>_xlfn.XLOOKUP(Projects[[#This Row],[Implemented by]],Table3[Implemented by],Table3[ImplementedFR],"",FALSE)</f>
        <v xml:space="preserve">Publique </v>
      </c>
      <c r="M181" s="19" t="str">
        <f>_xlfn.XLOOKUP(Projects[[#This Row],[Target audience]],Table4[Target audience],Table4[Target audienceFR],"",FALSE)</f>
        <v>Gestion</v>
      </c>
      <c r="N181" s="19" t="str">
        <f>IF(Projects[[#This Row],[Target audience2]]="","",_xlfn.XLOOKUP(Projects[[#This Row],[Target audience2]],Table4[Target audience],Table4[Target audienceFR],"Check",FALSE))</f>
        <v>Juges/greffiers</v>
      </c>
      <c r="O181" s="19" t="str">
        <f>IF(Projects[[#This Row],[Target audience3]]="","",_xlfn.XLOOKUP(Projects[[#This Row],[Target audience3]],Table4[Target audience],Table4[Target audienceFR],"Check",FALSE))</f>
        <v>Procureurs/greffiers</v>
      </c>
      <c r="P181" s="19" t="str">
        <f>IF(Projects[[#This Row],[Target audience4]]="","",_xlfn.XLOOKUP(Projects[[#This Row],[Target audience4]],Table4[Target audience],Table4[Target audienceFR],"Check",FALSE))</f>
        <v>Usagers des tribunaux (Grand public)</v>
      </c>
      <c r="Q181" s="19" t="str">
        <f>IF(Projects[[#This Row],[Target audience5]]="","",_xlfn.XLOOKUP(Projects[[#This Row],[Target audience5]],Table4[Target audience],Table4[Target audienceFR],"Check",FALSE))</f>
        <v/>
      </c>
      <c r="R181" s="19" t="str">
        <f>_xlfn.XLOOKUP(Projects[[#This Row],[Status]],Table8[Status],Table8[StatusFR],"",FALSE)</f>
        <v>Fonctionnel</v>
      </c>
      <c r="S181" s="19" t="str">
        <f>_xlfn.XLOOKUP(Projects[[#This Row],[Coverage]],Table7[Coverage],Table7[CoverageFR],"",FALSE)</f>
        <v xml:space="preserve">National </v>
      </c>
      <c r="T181" s="31" t="str">
        <f>IF(Projects[[#This Row],[To publish]]="","",Projects[[#This Row],[To publish]])</f>
        <v>Batch 8</v>
      </c>
    </row>
    <row r="182" spans="1:20" ht="375" x14ac:dyDescent="0.25">
      <c r="A182" s="19">
        <f>Projects[[#This Row],[NR]]</f>
        <v>226</v>
      </c>
      <c r="B182" s="19" t="str">
        <f>IF(Projects[[#This Row],[Title]]="","",Projects[[#This Row],[Title]])</f>
        <v>Generative AI knowledge retrieval assistant</v>
      </c>
      <c r="C182" s="19" t="str">
        <f>IF(Projects[[#This Row],[AI Relevance]]="","",Projects[[#This Row],[AI Relevance]])</f>
        <v>AI</v>
      </c>
      <c r="D182" s="19" t="str">
        <f>_xlfn.XLOOKUP(Projects[[#This Row],[Area1]],Table1[Area],Table1[FRArea],"Check",FALSE)</f>
        <v>8 - Services d'information/assistance</v>
      </c>
      <c r="E182" s="19" t="str">
        <f>IF(Projects[[#This Row],[Area2]]="","",_xlfn.XLOOKUP(Projects[[#This Row],[Area2]],Table1[Area],Table1[FRArea],"Check",FALSE))</f>
        <v/>
      </c>
      <c r="F182" s="19" t="str">
        <f>IF(Projects[[#This Row],[Year]]="","",Projects[[#This Row],[Year]])</f>
        <v>2025</v>
      </c>
      <c r="G182" s="19" t="str">
        <f>_xlfn.XLOOKUP(Projects[[#This Row],[Country]],Table2[Country],Table2[Pays],"Check",FALSE)</f>
        <v>Royaume Uni</v>
      </c>
      <c r="H182" s="19" t="str">
        <f>IF(Projects[[#This Row],[Description]]="","",Projects[[#This Row],[Description]])</f>
        <v>In a busy court environment, finding the right information quickly and easily is critical to ensuring efficient and compliant operations. However, frontline staff have access to hundreds of operational procedures and guidance documents – meaning it can take tens of minutes to find relevant content, with staff often eventually resorting to colleagues for advice, impacting productivity of the whole team. 
To solve this, we developed and piloted a generative AI knowledge retrieval assistant. Staff can ask questions using natural language and the tool interrogates over 300 unstructured documents before returning a simple summary, accompanied by a citation to the source document. Evaluation showed court staff could access the information they need so they can digest key information more quickly, ultimately increasing the pace of case administration in the justice system. Following a successful pilot, we are now exploring ways to scale the solution.</v>
      </c>
      <c r="I182" s="29" t="str">
        <f>IF(Projects[[#This Row],[DescriptionFR]]="","",Projects[[#This Row],[DescriptionFR]])</f>
        <v>Dans un environnement judiciaire très actif, il est essentiel de trouver rapidement et facilement les informations pertinentes pour garantir l'efficacité et la conformité des opérations. Cependant, le personnel de première ligne a accès à des centaines de procédures opérationnelles et de documents d'orientation, ce qui signifie qu'il peut prendre plusieurs dizaines de minutes pour trouver le contenu pertinent. Le personnel finit souvent par demander conseil à ses collègues, ce qui affecte la productivité de toute l'équipe. 
Pour résoudre ce problème, nous avons développé et testé un assistant de recherche de connaissances basé sur l'IA générative. Le personnel peut poser des questions en langage naturel et l'outil interroge plus de 300 documents non structurés avant de renvoyer un résumé simple, accompagné d'une référence au document source. L'évaluation a montré que le personnel judiciaire pouvait accéder aux informations dont il avait besoin, ce qui lui permettait d'assimiler plus rapidement les informations clés et, au final, d'accélérer le traitement des affaires dans le système judiciaire. Après un essai pilote concluant, nous explorons actuellement les moyens de déployer cette solution à plus grande échelle.</v>
      </c>
      <c r="J182" s="30" t="str">
        <f>IF(Projects[[#This Row],[Link]]="","",Projects[[#This Row],[Link]])</f>
        <v>https://www.gov.uk/government/publications/ai-action-plan-for-justice/ai-action-plan-for-justice</v>
      </c>
      <c r="K182" s="30" t="str">
        <f>IF(Projects[[#This Row],[Link1]]="","",Projects[[#This Row],[Link1]])</f>
        <v/>
      </c>
      <c r="L182" s="19" t="str">
        <f>_xlfn.XLOOKUP(Projects[[#This Row],[Implemented by]],Table3[Implemented by],Table3[ImplementedFR],"",FALSE)</f>
        <v xml:space="preserve">Publique </v>
      </c>
      <c r="M182" s="19" t="str">
        <f>_xlfn.XLOOKUP(Projects[[#This Row],[Target audience]],Table4[Target audience],Table4[Target audienceFR],"",FALSE)</f>
        <v>Gestion</v>
      </c>
      <c r="N182" s="19" t="str">
        <f>IF(Projects[[#This Row],[Target audience2]]="","",_xlfn.XLOOKUP(Projects[[#This Row],[Target audience2]],Table4[Target audience],Table4[Target audienceFR],"Check",FALSE))</f>
        <v>Juges/greffiers</v>
      </c>
      <c r="O182" s="19" t="str">
        <f>IF(Projects[[#This Row],[Target audience3]]="","",_xlfn.XLOOKUP(Projects[[#This Row],[Target audience3]],Table4[Target audience],Table4[Target audienceFR],"Check",FALSE))</f>
        <v/>
      </c>
      <c r="P182" s="19" t="str">
        <f>IF(Projects[[#This Row],[Target audience4]]="","",_xlfn.XLOOKUP(Projects[[#This Row],[Target audience4]],Table4[Target audience],Table4[Target audienceFR],"Check",FALSE))</f>
        <v/>
      </c>
      <c r="Q182" s="19" t="str">
        <f>IF(Projects[[#This Row],[Target audience5]]="","",_xlfn.XLOOKUP(Projects[[#This Row],[Target audience5]],Table4[Target audience],Table4[Target audienceFR],"Check",FALSE))</f>
        <v/>
      </c>
      <c r="R182" s="19" t="str">
        <f>_xlfn.XLOOKUP(Projects[[#This Row],[Status]],Table8[Status],Table8[StatusFR],"",FALSE)</f>
        <v>Version pilote/bêta</v>
      </c>
      <c r="S182" s="19" t="str">
        <f>_xlfn.XLOOKUP(Projects[[#This Row],[Coverage]],Table7[Coverage],Table7[CoverageFR],"",FALSE)</f>
        <v xml:space="preserve">National </v>
      </c>
      <c r="T182" s="31" t="str">
        <f>IF(Projects[[#This Row],[To publish]]="","",Projects[[#This Row],[To publish]])</f>
        <v>Batch 8</v>
      </c>
    </row>
    <row r="183" spans="1:20" ht="255" x14ac:dyDescent="0.25">
      <c r="A183" s="19">
        <f>Projects[[#This Row],[NR]]</f>
        <v>227</v>
      </c>
      <c r="B183" s="19" t="str">
        <f>IF(Projects[[#This Row],[Title]]="","",Projects[[#This Row],[Title]])</f>
        <v>Novel transcription  to support the administration of justice across the courts and tribunals</v>
      </c>
      <c r="C183" s="19" t="str">
        <f>IF(Projects[[#This Row],[AI Relevance]]="","",Projects[[#This Row],[AI Relevance]])</f>
        <v>AI</v>
      </c>
      <c r="D183" s="19" t="str">
        <f>_xlfn.XLOOKUP(Projects[[#This Row],[Area1]],Table1[Area],Table1[FRArea],"Check",FALSE)</f>
        <v>7 - Enregistrement, transcription et traduction</v>
      </c>
      <c r="E183" s="19" t="str">
        <f>IF(Projects[[#This Row],[Area2]]="","",_xlfn.XLOOKUP(Projects[[#This Row],[Area2]],Table1[Area],Table1[FRArea],"Check",FALSE))</f>
        <v/>
      </c>
      <c r="F183" s="19" t="str">
        <f>IF(Projects[[#This Row],[Year]]="","",Projects[[#This Row],[Year]])</f>
        <v>2025</v>
      </c>
      <c r="G183" s="19" t="str">
        <f>_xlfn.XLOOKUP(Projects[[#This Row],[Country]],Table2[Country],Table2[Pays],"Check",FALSE)</f>
        <v>Royaume Uni</v>
      </c>
      <c r="H183" s="19" t="str">
        <f>IF(Projects[[#This Row],[Description]]="","",Projects[[#This Row],[Description]])</f>
        <v>HMCTS has conducted a 12-week pilot to assess how AI transcription of hearings and oral judgements could assist judges in preparing and writing decisions in the Immigration and Asylum Chamber. The technology could speed up manual transcription, enable transcripts where none currently exist, and improve public access to court proceedings. Early findings have been encouraging, and HMCTS is continuing to explore options to expand this pilot subject to funding. With a scaled transcription capability in place, there is significant opportunity for HMCTS to explore additional applications of AI, including summarisation, to support the effective and efficient administration of justice.</v>
      </c>
      <c r="I183" s="29" t="str">
        <f>IF(Projects[[#This Row],[DescriptionFR]]="","",Projects[[#This Row],[DescriptionFR]])</f>
        <v>Le HMCTS a mené un projet pilote de 12 semaines afin d'évaluer dans quelle mesure la transcription par IA des audiences et des jugements oraux pourrait aider les juges à préparer et à rédiger leurs décisions au sein de la chambre de l'immigration et de l'asile. Cette technologie pourrait accélérer la transcription manuelle, permettre la création de transcriptions là où il n'en existe actuellement aucune et améliorer l'accès du public aux procédures judiciaires. Les premiers résultats sont encourageants et le HMCTS continue d'étudier les possibilités d'étendre ce projet pilote, sous réserve du financement nécessaire. Grâce à la mise en place d'une capacité de transcription à grande échelle, le HMCTS dispose d'une opportunité significative d'explorer d'autres applications de l'IA, notamment la synthèse, afin de soutenir une administration efficace et efficiente de la justice.</v>
      </c>
      <c r="J183" s="30" t="str">
        <f>IF(Projects[[#This Row],[Link]]="","",Projects[[#This Row],[Link]])</f>
        <v>https://www.gov.uk/government/publications/ai-action-plan-for-justice/ai-action-plan-for-justice</v>
      </c>
      <c r="K183" s="30" t="str">
        <f>IF(Projects[[#This Row],[Link1]]="","",Projects[[#This Row],[Link1]])</f>
        <v/>
      </c>
      <c r="L183" s="19" t="str">
        <f>_xlfn.XLOOKUP(Projects[[#This Row],[Implemented by]],Table3[Implemented by],Table3[ImplementedFR],"",FALSE)</f>
        <v xml:space="preserve">Publique </v>
      </c>
      <c r="M183" s="19" t="str">
        <f>_xlfn.XLOOKUP(Projects[[#This Row],[Target audience]],Table4[Target audience],Table4[Target audienceFR],"",FALSE)</f>
        <v>Juges/greffiers</v>
      </c>
      <c r="N183" s="19" t="str">
        <f>IF(Projects[[#This Row],[Target audience2]]="","",_xlfn.XLOOKUP(Projects[[#This Row],[Target audience2]],Table4[Target audience],Table4[Target audienceFR],"Check",FALSE))</f>
        <v/>
      </c>
      <c r="O183" s="19" t="str">
        <f>IF(Projects[[#This Row],[Target audience3]]="","",_xlfn.XLOOKUP(Projects[[#This Row],[Target audience3]],Table4[Target audience],Table4[Target audienceFR],"Check",FALSE))</f>
        <v/>
      </c>
      <c r="P183" s="19" t="str">
        <f>IF(Projects[[#This Row],[Target audience4]]="","",_xlfn.XLOOKUP(Projects[[#This Row],[Target audience4]],Table4[Target audience],Table4[Target audienceFR],"Check",FALSE))</f>
        <v/>
      </c>
      <c r="Q183" s="19" t="str">
        <f>IF(Projects[[#This Row],[Target audience5]]="","",_xlfn.XLOOKUP(Projects[[#This Row],[Target audience5]],Table4[Target audience],Table4[Target audienceFR],"Check",FALSE))</f>
        <v/>
      </c>
      <c r="R183" s="19" t="str">
        <f>_xlfn.XLOOKUP(Projects[[#This Row],[Status]],Table8[Status],Table8[StatusFR],"",FALSE)</f>
        <v>Version pilote/bêta</v>
      </c>
      <c r="S183" s="19" t="str">
        <f>_xlfn.XLOOKUP(Projects[[#This Row],[Coverage]],Table7[Coverage],Table7[CoverageFR],"",FALSE)</f>
        <v xml:space="preserve">National </v>
      </c>
      <c r="T183" s="31" t="str">
        <f>IF(Projects[[#This Row],[To publish]]="","",Projects[[#This Row],[To publish]])</f>
        <v>Batch 8</v>
      </c>
    </row>
    <row r="184" spans="1:20" ht="240" x14ac:dyDescent="0.25">
      <c r="A184" s="19">
        <f>Projects[[#This Row],[NR]]</f>
        <v>228</v>
      </c>
      <c r="B184" s="19" t="str">
        <f>IF(Projects[[#This Row],[Title]]="","",Projects[[#This Row],[Title]])</f>
        <v>Intelligent document processing to speed up processing of paper forms</v>
      </c>
      <c r="C184" s="19" t="str">
        <f>IF(Projects[[#This Row],[AI Relevance]]="","",Projects[[#This Row],[AI Relevance]])</f>
        <v>AI</v>
      </c>
      <c r="D184" s="19" t="str">
        <f>_xlfn.XLOOKUP(Projects[[#This Row],[Area1]],Table1[Area],Table1[FRArea],"Check",FALSE)</f>
        <v>6 - Triage, attribution et automatisation des flux de travail</v>
      </c>
      <c r="E184" s="19" t="str">
        <f>IF(Projects[[#This Row],[Area2]]="","",_xlfn.XLOOKUP(Projects[[#This Row],[Area2]],Table1[Area],Table1[FRArea],"Check",FALSE))</f>
        <v/>
      </c>
      <c r="F184" s="19" t="str">
        <f>IF(Projects[[#This Row],[Year]]="","",Projects[[#This Row],[Year]])</f>
        <v>2025</v>
      </c>
      <c r="G184" s="19" t="str">
        <f>_xlfn.XLOOKUP(Projects[[#This Row],[Country]],Table2[Country],Table2[Pays],"Check",FALSE)</f>
        <v>Royaume Uni</v>
      </c>
      <c r="H184" s="19" t="str">
        <f>IF(Projects[[#This Row],[Description]]="","",Projects[[#This Row],[Description]])</f>
        <v>HM Courts and Tribunals Service processes over eight million paper forms each year, with staff spending significant time manually uploading and reviewing them. This slows down case processing and takes time away from higher-value work. We piloted machine learning and computer vision technology to extract and analyse information from paper-based forms. The technology enabled faster and more accurate processing, reduced the number of exceptions, and cut configuration costs. Subject to funding, we plan to scale this capability across our bulk scanning service.</v>
      </c>
      <c r="I184" s="29" t="str">
        <f>IF(Projects[[#This Row],[DescriptionFR]]="","",Projects[[#This Row],[DescriptionFR]])</f>
        <v>Le HM Courts and Tribunals Service traite plus de huit millions de formulaires papier chaque année, ce qui nécessite un temps considérable de la part du personnel pour les télécharger et les examiner manuellement. Cela ralentit le traitement des dossiers et empêche le personnel de se consacrer à des tâches à plus forte valeur ajoutée. Nous avons testé l'apprentissage automatique et la technologie de vision par ordinateur pour extraire et analyser les informations contenues dans les formulaires papier. Cette technologie a permis un traitement plus rapide et plus précis, une réduction du nombre d'exceptions et une diminution des coûts de configuration. Sous réserve d'un financement, nous prévoyons d'étendre cette capacité à l'ensemble de notre service de numérisation en masse.</v>
      </c>
      <c r="J184" s="30" t="str">
        <f>IF(Projects[[#This Row],[Link]]="","",Projects[[#This Row],[Link]])</f>
        <v>https://www.gov.uk/government/publications/ai-action-plan-for-justice/ai-action-plan-for-justice</v>
      </c>
      <c r="K184" s="30" t="str">
        <f>IF(Projects[[#This Row],[Link1]]="","",Projects[[#This Row],[Link1]])</f>
        <v/>
      </c>
      <c r="L184" s="19" t="str">
        <f>_xlfn.XLOOKUP(Projects[[#This Row],[Implemented by]],Table3[Implemented by],Table3[ImplementedFR],"",FALSE)</f>
        <v xml:space="preserve">Publique </v>
      </c>
      <c r="M184" s="19" t="str">
        <f>_xlfn.XLOOKUP(Projects[[#This Row],[Target audience]],Table4[Target audience],Table4[Target audienceFR],"",FALSE)</f>
        <v>Juges/greffiers</v>
      </c>
      <c r="N184" s="19" t="str">
        <f>IF(Projects[[#This Row],[Target audience2]]="","",_xlfn.XLOOKUP(Projects[[#This Row],[Target audience2]],Table4[Target audience],Table4[Target audienceFR],"Check",FALSE))</f>
        <v/>
      </c>
      <c r="O184" s="19" t="str">
        <f>IF(Projects[[#This Row],[Target audience3]]="","",_xlfn.XLOOKUP(Projects[[#This Row],[Target audience3]],Table4[Target audience],Table4[Target audienceFR],"Check",FALSE))</f>
        <v/>
      </c>
      <c r="P184" s="19" t="str">
        <f>IF(Projects[[#This Row],[Target audience4]]="","",_xlfn.XLOOKUP(Projects[[#This Row],[Target audience4]],Table4[Target audience],Table4[Target audienceFR],"Check",FALSE))</f>
        <v/>
      </c>
      <c r="Q184" s="19" t="str">
        <f>IF(Projects[[#This Row],[Target audience5]]="","",_xlfn.XLOOKUP(Projects[[#This Row],[Target audience5]],Table4[Target audience],Table4[Target audienceFR],"Check",FALSE))</f>
        <v/>
      </c>
      <c r="R184" s="19" t="str">
        <f>_xlfn.XLOOKUP(Projects[[#This Row],[Status]],Table8[Status],Table8[StatusFR],"",FALSE)</f>
        <v>Version pilote/bêta</v>
      </c>
      <c r="S184" s="19" t="str">
        <f>_xlfn.XLOOKUP(Projects[[#This Row],[Coverage]],Table7[Coverage],Table7[CoverageFR],"",FALSE)</f>
        <v xml:space="preserve">National </v>
      </c>
      <c r="T184" s="31" t="str">
        <f>IF(Projects[[#This Row],[To publish]]="","",Projects[[#This Row],[To publish]])</f>
        <v>Batch 8</v>
      </c>
    </row>
    <row r="185" spans="1:20" ht="165" x14ac:dyDescent="0.25">
      <c r="A185" s="19">
        <f>Projects[[#This Row],[NR]]</f>
        <v>229</v>
      </c>
      <c r="B185" s="19" t="str">
        <f>IF(Projects[[#This Row],[Title]]="","",Projects[[#This Row],[Title]])</f>
        <v>Pseudonymisation tool for court decisions</v>
      </c>
      <c r="C185" s="19" t="str">
        <f>IF(Projects[[#This Row],[AI Relevance]]="","",Projects[[#This Row],[AI Relevance]])</f>
        <v>AI</v>
      </c>
      <c r="D185" s="19" t="str">
        <f>_xlfn.XLOOKUP(Projects[[#This Row],[Area1]],Table1[Area],Table1[FRArea],"Check",FALSE)</f>
        <v>5 - Anonymisation et pseudonymisation</v>
      </c>
      <c r="E185" s="19" t="str">
        <f>IF(Projects[[#This Row],[Area2]]="","",_xlfn.XLOOKUP(Projects[[#This Row],[Area2]],Table1[Area],Table1[FRArea],"Check",FALSE))</f>
        <v/>
      </c>
      <c r="F185" s="19">
        <f>IF(Projects[[#This Row],[Year]]="","",Projects[[#This Row],[Year]])</f>
        <v>2025</v>
      </c>
      <c r="G185" s="19" t="str">
        <f>_xlfn.XLOOKUP(Projects[[#This Row],[Country]],Table2[Country],Table2[Pays],"Check",FALSE)</f>
        <v>Pays-Bas</v>
      </c>
      <c r="H185" s="19" t="str">
        <f>IF(Projects[[#This Row],[Description]]="","",Projects[[#This Row],[Description]])</f>
        <v>The judiciary has the ambition to publish substantially more court rulings, in a responsible manner. It is expected that AI can help achieve this ambition. A rough test version of a pseudonymisation tool has been developed. If the test results show that this rough test version has sufficient potential to be of value in the publishing process, the tool will be further developed and put into use by publishers within the Judiciary.</v>
      </c>
      <c r="I185" s="29" t="str">
        <f>IF(Projects[[#This Row],[DescriptionFR]]="","",Projects[[#This Row],[DescriptionFR]])</f>
        <v>La justice ambitionne de publier un nombre substantiellement plus élevé de décisions judiciaires, de manière responsable. On s’attend à ce que l’IA puisse contribuer à atteindre cet objectif. Une première version d’essai d’un outil de pseudonymisation a été développée. Si les résultats des tests montrent que cette version préliminaire présente un potentiel suffisant pour être utile dans le processus de publication, l’outil sera davantage développé et mis à disposition des éditeurs au sein de la Justice.</v>
      </c>
      <c r="J185" s="30" t="str">
        <f>IF(Projects[[#This Row],[Link]]="","",Projects[[#This Row],[Link]])</f>
        <v xml:space="preserve">Internal system, no direct public link available. </v>
      </c>
      <c r="K185" s="30" t="str">
        <f>IF(Projects[[#This Row],[Link1]]="","",Projects[[#This Row],[Link1]])</f>
        <v/>
      </c>
      <c r="L185" s="19" t="str">
        <f>_xlfn.XLOOKUP(Projects[[#This Row],[Implemented by]],Table3[Implemented by],Table3[ImplementedFR],"",FALSE)</f>
        <v xml:space="preserve">Publique </v>
      </c>
      <c r="M185" s="19" t="str">
        <f>_xlfn.XLOOKUP(Projects[[#This Row],[Target audience]],Table4[Target audience],Table4[Target audienceFR],"",FALSE)</f>
        <v>Juges/greffiers</v>
      </c>
      <c r="N185" s="19" t="str">
        <f>IF(Projects[[#This Row],[Target audience2]]="","",_xlfn.XLOOKUP(Projects[[#This Row],[Target audience2]],Table4[Target audience],Table4[Target audienceFR],"Check",FALSE))</f>
        <v>Gestion</v>
      </c>
      <c r="O185" s="19" t="str">
        <f>IF(Projects[[#This Row],[Target audience3]]="","",_xlfn.XLOOKUP(Projects[[#This Row],[Target audience3]],Table4[Target audience],Table4[Target audienceFR],"Check",FALSE))</f>
        <v/>
      </c>
      <c r="P185" s="19" t="str">
        <f>IF(Projects[[#This Row],[Target audience4]]="","",_xlfn.XLOOKUP(Projects[[#This Row],[Target audience4]],Table4[Target audience],Table4[Target audienceFR],"Check",FALSE))</f>
        <v/>
      </c>
      <c r="Q185" s="19" t="str">
        <f>IF(Projects[[#This Row],[Target audience5]]="","",_xlfn.XLOOKUP(Projects[[#This Row],[Target audience5]],Table4[Target audience],Table4[Target audienceFR],"Check",FALSE))</f>
        <v/>
      </c>
      <c r="R185" s="19" t="str">
        <f>_xlfn.XLOOKUP(Projects[[#This Row],[Status]],Table8[Status],Table8[StatusFR],"",FALSE)</f>
        <v>Version pilote/bêta</v>
      </c>
      <c r="S185" s="19" t="str">
        <f>_xlfn.XLOOKUP(Projects[[#This Row],[Coverage]],Table7[Coverage],Table7[CoverageFR],"",FALSE)</f>
        <v xml:space="preserve">National </v>
      </c>
      <c r="T185" s="31" t="str">
        <f>IF(Projects[[#This Row],[To publish]]="","",Projects[[#This Row],[To publish]])</f>
        <v>Batch 8</v>
      </c>
    </row>
    <row r="186" spans="1:20" ht="105" x14ac:dyDescent="0.25">
      <c r="A186" s="19">
        <f>Projects[[#This Row],[NR]]</f>
        <v>230</v>
      </c>
      <c r="B186" s="19" t="str">
        <f>IF(Projects[[#This Row],[Title]]="","",Projects[[#This Row],[Title]])</f>
        <v>Justis</v>
      </c>
      <c r="C186" s="19" t="str">
        <f>IF(Projects[[#This Row],[AI Relevance]]="","",Projects[[#This Row],[AI Relevance]])</f>
        <v>non-AI</v>
      </c>
      <c r="D186" s="19" t="str">
        <f>_xlfn.XLOOKUP(Projects[[#This Row],[Area1]],Table1[Area],Table1[FRArea],"Check",FALSE)</f>
        <v>4 - Aide à la décision</v>
      </c>
      <c r="E186" s="19" t="str">
        <f>IF(Projects[[#This Row],[Area2]]="","",_xlfn.XLOOKUP(Projects[[#This Row],[Area2]],Table1[Area],Table1[FRArea],"Check",FALSE))</f>
        <v>6 - Triage, attribution et automatisation des flux de travail</v>
      </c>
      <c r="F186" s="19">
        <f>IF(Projects[[#This Row],[Year]]="","",Projects[[#This Row],[Year]])</f>
        <v>2012</v>
      </c>
      <c r="G186" s="19" t="str">
        <f>_xlfn.XLOOKUP(Projects[[#This Row],[Country]],Table2[Country],Table2[Pays],"Check",FALSE)</f>
        <v>Pays-Bas</v>
      </c>
      <c r="H186" s="19" t="str">
        <f>IF(Projects[[#This Row],[Description]]="","",Projects[[#This Row],[Description]])</f>
        <v>The Justis algorithm screens legal entities for potential misuse under the Control of Legal Entities Act, automatically identifying high-risk cases for human review while discarding the rest, thereby enabling efficient, legally compliant supervision with minimal impact on citizens and organisations.</v>
      </c>
      <c r="I186" s="29" t="str">
        <f>IF(Projects[[#This Row],[DescriptionFR]]="","",Projects[[#This Row],[DescriptionFR]])</f>
        <v>L’algorithme Justis analyse les personnes morales pour détecter un risque potentiel d’abus dans le cadre de la Loi sur le contrôle des personnes morales, en ne transmettant que les dossiers à risque élevé à un agent pour examen, ce qui permet un contrôle efficace et conforme à la loi tout en limitant l’impact sur les citoyens et les organisations.</v>
      </c>
      <c r="J186" s="30" t="str">
        <f>IF(Projects[[#This Row],[Link]]="","",Projects[[#This Row],[Link]])</f>
        <v>https://algoritmes.overheid.nl/en/algoritme/geautomatiseerde-voorselectie-bij-controle-op-rechtspersonen-justis/88952925#verantwoordGebruik</v>
      </c>
      <c r="K186" s="30" t="str">
        <f>IF(Projects[[#This Row],[Link1]]="","",Projects[[#This Row],[Link1]])</f>
        <v/>
      </c>
      <c r="L186" s="19" t="str">
        <f>_xlfn.XLOOKUP(Projects[[#This Row],[Implemented by]],Table3[Implemented by],Table3[ImplementedFR],"",FALSE)</f>
        <v xml:space="preserve">Publique </v>
      </c>
      <c r="M186" s="19" t="str">
        <f>_xlfn.XLOOKUP(Projects[[#This Row],[Target audience]],Table4[Target audience],Table4[Target audienceFR],"",FALSE)</f>
        <v>Juges/greffiers</v>
      </c>
      <c r="N186" s="19" t="str">
        <f>IF(Projects[[#This Row],[Target audience2]]="","",_xlfn.XLOOKUP(Projects[[#This Row],[Target audience2]],Table4[Target audience],Table4[Target audienceFR],"Check",FALSE))</f>
        <v>Gestion</v>
      </c>
      <c r="O186" s="19" t="str">
        <f>IF(Projects[[#This Row],[Target audience3]]="","",_xlfn.XLOOKUP(Projects[[#This Row],[Target audience3]],Table4[Target audience],Table4[Target audienceFR],"Check",FALSE))</f>
        <v/>
      </c>
      <c r="P186" s="19" t="str">
        <f>IF(Projects[[#This Row],[Target audience4]]="","",_xlfn.XLOOKUP(Projects[[#This Row],[Target audience4]],Table4[Target audience],Table4[Target audienceFR],"Check",FALSE))</f>
        <v/>
      </c>
      <c r="Q186" s="19" t="str">
        <f>IF(Projects[[#This Row],[Target audience5]]="","",_xlfn.XLOOKUP(Projects[[#This Row],[Target audience5]],Table4[Target audience],Table4[Target audienceFR],"Check",FALSE))</f>
        <v/>
      </c>
      <c r="R186" s="19" t="str">
        <f>_xlfn.XLOOKUP(Projects[[#This Row],[Status]],Table8[Status],Table8[StatusFR],"",FALSE)</f>
        <v>Fonctionnel</v>
      </c>
      <c r="S186" s="19" t="str">
        <f>_xlfn.XLOOKUP(Projects[[#This Row],[Coverage]],Table7[Coverage],Table7[CoverageFR],"",FALSE)</f>
        <v xml:space="preserve">National </v>
      </c>
      <c r="T186" s="31" t="str">
        <f>IF(Projects[[#This Row],[To publish]]="","",Projects[[#This Row],[To publish]])</f>
        <v>Batch 8</v>
      </c>
    </row>
  </sheetData>
  <conditionalFormatting sqref="D2:E186">
    <cfRule type="cellIs" dxfId="0" priority="1" operator="equal">
      <formula>"Check"</formula>
    </cfRule>
  </conditionalFormatting>
  <pageMargins left="0.7" right="0.7" top="0.75" bottom="0.75" header="0.3" footer="0.3"/>
  <pageSetup paperSize="9" orientation="portrait" verticalDpi="599"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E70D-2BDE-4E8D-8E28-706114538CF4}">
  <dimension ref="A1:B144"/>
  <sheetViews>
    <sheetView workbookViewId="0"/>
  </sheetViews>
  <sheetFormatPr defaultColWidth="8.85546875" defaultRowHeight="15" x14ac:dyDescent="0.25"/>
  <cols>
    <col min="1" max="1" width="13.140625" bestFit="1" customWidth="1"/>
    <col min="2" max="2" width="5.7109375" bestFit="1" customWidth="1"/>
  </cols>
  <sheetData>
    <row r="1" spans="1:2" x14ac:dyDescent="0.25">
      <c r="A1" s="143" t="s">
        <v>56</v>
      </c>
      <c r="B1" t="s">
        <v>57</v>
      </c>
    </row>
    <row r="3" spans="1:2" x14ac:dyDescent="0.25">
      <c r="A3" s="143" t="s">
        <v>1200</v>
      </c>
    </row>
    <row r="4" spans="1:2" x14ac:dyDescent="0.25">
      <c r="A4" s="144" t="s">
        <v>344</v>
      </c>
    </row>
    <row r="5" spans="1:2" x14ac:dyDescent="0.25">
      <c r="A5" s="144" t="s">
        <v>843</v>
      </c>
    </row>
    <row r="6" spans="1:2" x14ac:dyDescent="0.25">
      <c r="A6" s="144" t="s">
        <v>844</v>
      </c>
    </row>
    <row r="7" spans="1:2" x14ac:dyDescent="0.25">
      <c r="A7" s="144" t="s">
        <v>845</v>
      </c>
    </row>
    <row r="8" spans="1:2" x14ac:dyDescent="0.25">
      <c r="A8" s="144" t="s">
        <v>846</v>
      </c>
    </row>
    <row r="9" spans="1:2" x14ac:dyDescent="0.25">
      <c r="A9" s="144" t="s">
        <v>847</v>
      </c>
    </row>
    <row r="10" spans="1:2" x14ac:dyDescent="0.25">
      <c r="A10" s="144" t="s">
        <v>114</v>
      </c>
    </row>
    <row r="11" spans="1:2" x14ac:dyDescent="0.25">
      <c r="A11" s="144" t="s">
        <v>848</v>
      </c>
    </row>
    <row r="12" spans="1:2" x14ac:dyDescent="0.25">
      <c r="A12" s="144" t="s">
        <v>849</v>
      </c>
    </row>
    <row r="13" spans="1:2" x14ac:dyDescent="0.25">
      <c r="A13" s="144" t="s">
        <v>850</v>
      </c>
    </row>
    <row r="14" spans="1:2" x14ac:dyDescent="0.25">
      <c r="A14" s="144" t="s">
        <v>851</v>
      </c>
    </row>
    <row r="15" spans="1:2" x14ac:dyDescent="0.25">
      <c r="A15" s="144" t="s">
        <v>852</v>
      </c>
    </row>
    <row r="16" spans="1:2" x14ac:dyDescent="0.25">
      <c r="A16" s="144" t="s">
        <v>853</v>
      </c>
    </row>
    <row r="17" spans="1:1" x14ac:dyDescent="0.25">
      <c r="A17" s="144" t="s">
        <v>854</v>
      </c>
    </row>
    <row r="18" spans="1:1" x14ac:dyDescent="0.25">
      <c r="A18" s="144" t="s">
        <v>855</v>
      </c>
    </row>
    <row r="19" spans="1:1" x14ac:dyDescent="0.25">
      <c r="A19" s="144" t="s">
        <v>856</v>
      </c>
    </row>
    <row r="20" spans="1:1" x14ac:dyDescent="0.25">
      <c r="A20" s="144" t="s">
        <v>115</v>
      </c>
    </row>
    <row r="21" spans="1:1" x14ac:dyDescent="0.25">
      <c r="A21" s="144" t="s">
        <v>857</v>
      </c>
    </row>
    <row r="22" spans="1:1" x14ac:dyDescent="0.25">
      <c r="A22" s="144" t="s">
        <v>858</v>
      </c>
    </row>
    <row r="23" spans="1:1" x14ac:dyDescent="0.25">
      <c r="A23" s="144" t="s">
        <v>859</v>
      </c>
    </row>
    <row r="24" spans="1:1" x14ac:dyDescent="0.25">
      <c r="A24" s="144" t="s">
        <v>860</v>
      </c>
    </row>
    <row r="25" spans="1:1" x14ac:dyDescent="0.25">
      <c r="A25" s="144" t="s">
        <v>862</v>
      </c>
    </row>
    <row r="26" spans="1:1" x14ac:dyDescent="0.25">
      <c r="A26" s="144" t="s">
        <v>863</v>
      </c>
    </row>
    <row r="27" spans="1:1" x14ac:dyDescent="0.25">
      <c r="A27" s="144" t="s">
        <v>865</v>
      </c>
    </row>
    <row r="28" spans="1:1" x14ac:dyDescent="0.25">
      <c r="A28" s="144" t="s">
        <v>866</v>
      </c>
    </row>
    <row r="29" spans="1:1" x14ac:dyDescent="0.25">
      <c r="A29" s="144" t="s">
        <v>867</v>
      </c>
    </row>
    <row r="30" spans="1:1" x14ac:dyDescent="0.25">
      <c r="A30" s="144" t="s">
        <v>868</v>
      </c>
    </row>
    <row r="31" spans="1:1" x14ac:dyDescent="0.25">
      <c r="A31" s="144" t="s">
        <v>313</v>
      </c>
    </row>
    <row r="32" spans="1:1" x14ac:dyDescent="0.25">
      <c r="A32" s="144" t="s">
        <v>869</v>
      </c>
    </row>
    <row r="33" spans="1:1" x14ac:dyDescent="0.25">
      <c r="A33" s="144" t="s">
        <v>871</v>
      </c>
    </row>
    <row r="34" spans="1:1" x14ac:dyDescent="0.25">
      <c r="A34" s="144" t="s">
        <v>872</v>
      </c>
    </row>
    <row r="35" spans="1:1" x14ac:dyDescent="0.25">
      <c r="A35" s="144" t="s">
        <v>873</v>
      </c>
    </row>
    <row r="36" spans="1:1" x14ac:dyDescent="0.25">
      <c r="A36" s="144" t="s">
        <v>874</v>
      </c>
    </row>
    <row r="37" spans="1:1" x14ac:dyDescent="0.25">
      <c r="A37" s="144" t="s">
        <v>875</v>
      </c>
    </row>
    <row r="38" spans="1:1" x14ac:dyDescent="0.25">
      <c r="A38" s="144" t="s">
        <v>876</v>
      </c>
    </row>
    <row r="39" spans="1:1" x14ac:dyDescent="0.25">
      <c r="A39" s="144" t="s">
        <v>877</v>
      </c>
    </row>
    <row r="40" spans="1:1" x14ac:dyDescent="0.25">
      <c r="A40" s="144" t="s">
        <v>878</v>
      </c>
    </row>
    <row r="41" spans="1:1" x14ac:dyDescent="0.25">
      <c r="A41" s="144" t="s">
        <v>879</v>
      </c>
    </row>
    <row r="42" spans="1:1" x14ac:dyDescent="0.25">
      <c r="A42" s="144" t="s">
        <v>314</v>
      </c>
    </row>
    <row r="43" spans="1:1" x14ac:dyDescent="0.25">
      <c r="A43" s="144" t="s">
        <v>880</v>
      </c>
    </row>
    <row r="44" spans="1:1" x14ac:dyDescent="0.25">
      <c r="A44" s="144" t="s">
        <v>881</v>
      </c>
    </row>
    <row r="45" spans="1:1" x14ac:dyDescent="0.25">
      <c r="A45" s="144" t="s">
        <v>882</v>
      </c>
    </row>
    <row r="46" spans="1:1" x14ac:dyDescent="0.25">
      <c r="A46" s="144" t="s">
        <v>883</v>
      </c>
    </row>
    <row r="47" spans="1:1" x14ac:dyDescent="0.25">
      <c r="A47" s="144" t="s">
        <v>884</v>
      </c>
    </row>
    <row r="48" spans="1:1" x14ac:dyDescent="0.25">
      <c r="A48" s="144" t="s">
        <v>885</v>
      </c>
    </row>
    <row r="49" spans="1:1" x14ac:dyDescent="0.25">
      <c r="A49" s="144" t="s">
        <v>886</v>
      </c>
    </row>
    <row r="50" spans="1:1" x14ac:dyDescent="0.25">
      <c r="A50" s="144" t="s">
        <v>887</v>
      </c>
    </row>
    <row r="51" spans="1:1" x14ac:dyDescent="0.25">
      <c r="A51" s="144" t="s">
        <v>888</v>
      </c>
    </row>
    <row r="52" spans="1:1" x14ac:dyDescent="0.25">
      <c r="A52" s="144" t="s">
        <v>889</v>
      </c>
    </row>
    <row r="53" spans="1:1" x14ac:dyDescent="0.25">
      <c r="A53" s="144" t="s">
        <v>315</v>
      </c>
    </row>
    <row r="54" spans="1:1" x14ac:dyDescent="0.25">
      <c r="A54" s="144" t="s">
        <v>890</v>
      </c>
    </row>
    <row r="55" spans="1:1" x14ac:dyDescent="0.25">
      <c r="A55" s="144" t="s">
        <v>891</v>
      </c>
    </row>
    <row r="56" spans="1:1" x14ac:dyDescent="0.25">
      <c r="A56" s="144" t="s">
        <v>892</v>
      </c>
    </row>
    <row r="57" spans="1:1" x14ac:dyDescent="0.25">
      <c r="A57" s="144" t="s">
        <v>893</v>
      </c>
    </row>
    <row r="58" spans="1:1" x14ac:dyDescent="0.25">
      <c r="A58" s="144" t="s">
        <v>894</v>
      </c>
    </row>
    <row r="59" spans="1:1" x14ac:dyDescent="0.25">
      <c r="A59" s="144" t="s">
        <v>895</v>
      </c>
    </row>
    <row r="60" spans="1:1" x14ac:dyDescent="0.25">
      <c r="A60" s="144" t="s">
        <v>896</v>
      </c>
    </row>
    <row r="61" spans="1:1" x14ac:dyDescent="0.25">
      <c r="A61" s="144" t="s">
        <v>897</v>
      </c>
    </row>
    <row r="62" spans="1:1" x14ac:dyDescent="0.25">
      <c r="A62" s="144" t="s">
        <v>898</v>
      </c>
    </row>
    <row r="63" spans="1:1" x14ac:dyDescent="0.25">
      <c r="A63" s="144" t="s">
        <v>899</v>
      </c>
    </row>
    <row r="64" spans="1:1" x14ac:dyDescent="0.25">
      <c r="A64" s="144" t="s">
        <v>312</v>
      </c>
    </row>
    <row r="65" spans="1:1" x14ac:dyDescent="0.25">
      <c r="A65" s="144" t="s">
        <v>900</v>
      </c>
    </row>
    <row r="66" spans="1:1" x14ac:dyDescent="0.25">
      <c r="A66" s="144" t="s">
        <v>901</v>
      </c>
    </row>
    <row r="67" spans="1:1" x14ac:dyDescent="0.25">
      <c r="A67" s="144" t="s">
        <v>902</v>
      </c>
    </row>
    <row r="68" spans="1:1" x14ac:dyDescent="0.25">
      <c r="A68" s="144" t="s">
        <v>1183</v>
      </c>
    </row>
    <row r="69" spans="1:1" x14ac:dyDescent="0.25">
      <c r="A69" s="144" t="s">
        <v>1184</v>
      </c>
    </row>
    <row r="70" spans="1:1" x14ac:dyDescent="0.25">
      <c r="A70" s="144" t="s">
        <v>1185</v>
      </c>
    </row>
    <row r="71" spans="1:1" x14ac:dyDescent="0.25">
      <c r="A71" s="144" t="s">
        <v>1186</v>
      </c>
    </row>
    <row r="72" spans="1:1" x14ac:dyDescent="0.25">
      <c r="A72" s="144" t="s">
        <v>1187</v>
      </c>
    </row>
    <row r="73" spans="1:1" x14ac:dyDescent="0.25">
      <c r="A73" s="144" t="s">
        <v>316</v>
      </c>
    </row>
    <row r="74" spans="1:1" x14ac:dyDescent="0.25">
      <c r="A74" s="144" t="s">
        <v>1188</v>
      </c>
    </row>
    <row r="75" spans="1:1" x14ac:dyDescent="0.25">
      <c r="A75" s="144" t="s">
        <v>1189</v>
      </c>
    </row>
    <row r="76" spans="1:1" x14ac:dyDescent="0.25">
      <c r="A76" s="144" t="s">
        <v>1190</v>
      </c>
    </row>
    <row r="77" spans="1:1" x14ac:dyDescent="0.25">
      <c r="A77" s="144" t="s">
        <v>1191</v>
      </c>
    </row>
    <row r="78" spans="1:1" x14ac:dyDescent="0.25">
      <c r="A78" s="144" t="s">
        <v>1192</v>
      </c>
    </row>
    <row r="79" spans="1:1" x14ac:dyDescent="0.25">
      <c r="A79" s="144" t="s">
        <v>1193</v>
      </c>
    </row>
    <row r="80" spans="1:1" x14ac:dyDescent="0.25">
      <c r="A80" s="144" t="s">
        <v>1194</v>
      </c>
    </row>
    <row r="81" spans="1:1" x14ac:dyDescent="0.25">
      <c r="A81" s="144" t="s">
        <v>1195</v>
      </c>
    </row>
    <row r="82" spans="1:1" x14ac:dyDescent="0.25">
      <c r="A82" s="144" t="s">
        <v>1196</v>
      </c>
    </row>
    <row r="83" spans="1:1" x14ac:dyDescent="0.25">
      <c r="A83" s="144" t="s">
        <v>311</v>
      </c>
    </row>
    <row r="84" spans="1:1" x14ac:dyDescent="0.25">
      <c r="A84" s="144" t="s">
        <v>259</v>
      </c>
    </row>
    <row r="85" spans="1:1" x14ac:dyDescent="0.25">
      <c r="A85" s="144" t="s">
        <v>260</v>
      </c>
    </row>
    <row r="86" spans="1:1" x14ac:dyDescent="0.25">
      <c r="A86" s="144" t="s">
        <v>261</v>
      </c>
    </row>
    <row r="87" spans="1:1" x14ac:dyDescent="0.25">
      <c r="A87" s="144" t="s">
        <v>317</v>
      </c>
    </row>
    <row r="88" spans="1:1" x14ac:dyDescent="0.25">
      <c r="A88" s="144" t="s">
        <v>262</v>
      </c>
    </row>
    <row r="89" spans="1:1" x14ac:dyDescent="0.25">
      <c r="A89" s="144" t="s">
        <v>319</v>
      </c>
    </row>
    <row r="90" spans="1:1" x14ac:dyDescent="0.25">
      <c r="A90" s="144" t="s">
        <v>263</v>
      </c>
    </row>
    <row r="91" spans="1:1" x14ac:dyDescent="0.25">
      <c r="A91" s="144" t="s">
        <v>264</v>
      </c>
    </row>
    <row r="92" spans="1:1" x14ac:dyDescent="0.25">
      <c r="A92" s="144" t="s">
        <v>345</v>
      </c>
    </row>
    <row r="93" spans="1:1" x14ac:dyDescent="0.25">
      <c r="A93" s="144" t="s">
        <v>346</v>
      </c>
    </row>
    <row r="94" spans="1:1" x14ac:dyDescent="0.25">
      <c r="A94" s="144" t="s">
        <v>347</v>
      </c>
    </row>
    <row r="95" spans="1:1" x14ac:dyDescent="0.25">
      <c r="A95" s="144" t="s">
        <v>348</v>
      </c>
    </row>
    <row r="96" spans="1:1" x14ac:dyDescent="0.25">
      <c r="A96" s="144" t="s">
        <v>349</v>
      </c>
    </row>
    <row r="97" spans="1:1" x14ac:dyDescent="0.25">
      <c r="A97" s="144" t="s">
        <v>350</v>
      </c>
    </row>
    <row r="98" spans="1:1" x14ac:dyDescent="0.25">
      <c r="A98" s="144" t="s">
        <v>351</v>
      </c>
    </row>
    <row r="99" spans="1:1" x14ac:dyDescent="0.25">
      <c r="A99" s="144" t="s">
        <v>320</v>
      </c>
    </row>
    <row r="100" spans="1:1" x14ac:dyDescent="0.25">
      <c r="A100" s="144" t="s">
        <v>265</v>
      </c>
    </row>
    <row r="101" spans="1:1" x14ac:dyDescent="0.25">
      <c r="A101" s="144" t="s">
        <v>352</v>
      </c>
    </row>
    <row r="102" spans="1:1" x14ac:dyDescent="0.25">
      <c r="A102" s="144" t="s">
        <v>266</v>
      </c>
    </row>
    <row r="103" spans="1:1" x14ac:dyDescent="0.25">
      <c r="A103" s="144" t="s">
        <v>1199</v>
      </c>
    </row>
    <row r="104" spans="1:1" x14ac:dyDescent="0.25">
      <c r="A104" s="144" t="s">
        <v>461</v>
      </c>
    </row>
    <row r="105" spans="1:1" x14ac:dyDescent="0.25">
      <c r="A105" s="144" t="s">
        <v>318</v>
      </c>
    </row>
    <row r="106" spans="1:1" x14ac:dyDescent="0.25">
      <c r="A106" s="144" t="s">
        <v>462</v>
      </c>
    </row>
    <row r="107" spans="1:1" x14ac:dyDescent="0.25">
      <c r="A107" s="144" t="s">
        <v>463</v>
      </c>
    </row>
    <row r="108" spans="1:1" x14ac:dyDescent="0.25">
      <c r="A108" s="144" t="s">
        <v>464</v>
      </c>
    </row>
    <row r="109" spans="1:1" x14ac:dyDescent="0.25">
      <c r="A109" s="144" t="s">
        <v>465</v>
      </c>
    </row>
    <row r="110" spans="1:1" x14ac:dyDescent="0.25">
      <c r="A110" s="144" t="s">
        <v>466</v>
      </c>
    </row>
    <row r="111" spans="1:1" x14ac:dyDescent="0.25">
      <c r="A111" s="144" t="s">
        <v>467</v>
      </c>
    </row>
    <row r="112" spans="1:1" x14ac:dyDescent="0.25">
      <c r="A112" s="144" t="s">
        <v>468</v>
      </c>
    </row>
    <row r="113" spans="1:1" x14ac:dyDescent="0.25">
      <c r="A113" s="144" t="s">
        <v>469</v>
      </c>
    </row>
    <row r="114" spans="1:1" x14ac:dyDescent="0.25">
      <c r="A114" s="144" t="s">
        <v>470</v>
      </c>
    </row>
    <row r="115" spans="1:1" x14ac:dyDescent="0.25">
      <c r="A115" s="144" t="s">
        <v>471</v>
      </c>
    </row>
    <row r="116" spans="1:1" x14ac:dyDescent="0.25">
      <c r="A116" s="144" t="s">
        <v>472</v>
      </c>
    </row>
    <row r="117" spans="1:1" x14ac:dyDescent="0.25">
      <c r="A117" s="144" t="s">
        <v>473</v>
      </c>
    </row>
    <row r="118" spans="1:1" x14ac:dyDescent="0.25">
      <c r="A118" s="144" t="s">
        <v>474</v>
      </c>
    </row>
    <row r="119" spans="1:1" x14ac:dyDescent="0.25">
      <c r="A119" s="144" t="s">
        <v>475</v>
      </c>
    </row>
    <row r="120" spans="1:1" x14ac:dyDescent="0.25">
      <c r="A120" s="144" t="s">
        <v>476</v>
      </c>
    </row>
    <row r="121" spans="1:1" x14ac:dyDescent="0.25">
      <c r="A121" s="144" t="s">
        <v>506</v>
      </c>
    </row>
    <row r="122" spans="1:1" x14ac:dyDescent="0.25">
      <c r="A122" s="144" t="s">
        <v>507</v>
      </c>
    </row>
    <row r="123" spans="1:1" x14ac:dyDescent="0.25">
      <c r="A123" s="144" t="s">
        <v>508</v>
      </c>
    </row>
    <row r="124" spans="1:1" x14ac:dyDescent="0.25">
      <c r="A124" s="144" t="s">
        <v>112</v>
      </c>
    </row>
    <row r="125" spans="1:1" x14ac:dyDescent="0.25">
      <c r="A125" s="144" t="s">
        <v>509</v>
      </c>
    </row>
    <row r="126" spans="1:1" x14ac:dyDescent="0.25">
      <c r="A126" s="144" t="s">
        <v>510</v>
      </c>
    </row>
    <row r="127" spans="1:1" x14ac:dyDescent="0.25">
      <c r="A127" s="144" t="s">
        <v>511</v>
      </c>
    </row>
    <row r="128" spans="1:1" x14ac:dyDescent="0.25">
      <c r="A128" s="144" t="s">
        <v>512</v>
      </c>
    </row>
    <row r="129" spans="1:1" x14ac:dyDescent="0.25">
      <c r="A129" s="144" t="s">
        <v>513</v>
      </c>
    </row>
    <row r="130" spans="1:1" x14ac:dyDescent="0.25">
      <c r="A130" s="144" t="s">
        <v>514</v>
      </c>
    </row>
    <row r="131" spans="1:1" x14ac:dyDescent="0.25">
      <c r="A131" s="144" t="s">
        <v>515</v>
      </c>
    </row>
    <row r="132" spans="1:1" x14ac:dyDescent="0.25">
      <c r="A132" s="144" t="s">
        <v>922</v>
      </c>
    </row>
    <row r="133" spans="1:1" x14ac:dyDescent="0.25">
      <c r="A133" s="144" t="s">
        <v>516</v>
      </c>
    </row>
    <row r="134" spans="1:1" x14ac:dyDescent="0.25">
      <c r="A134" s="144" t="s">
        <v>517</v>
      </c>
    </row>
    <row r="135" spans="1:1" x14ac:dyDescent="0.25">
      <c r="A135" s="144" t="s">
        <v>113</v>
      </c>
    </row>
    <row r="136" spans="1:1" x14ac:dyDescent="0.25">
      <c r="A136" s="144" t="s">
        <v>518</v>
      </c>
    </row>
    <row r="137" spans="1:1" x14ac:dyDescent="0.25">
      <c r="A137" s="144" t="s">
        <v>519</v>
      </c>
    </row>
    <row r="138" spans="1:1" x14ac:dyDescent="0.25">
      <c r="A138" s="144" t="s">
        <v>837</v>
      </c>
    </row>
    <row r="139" spans="1:1" x14ac:dyDescent="0.25">
      <c r="A139" s="144" t="s">
        <v>838</v>
      </c>
    </row>
    <row r="140" spans="1:1" x14ac:dyDescent="0.25">
      <c r="A140" s="144" t="s">
        <v>839</v>
      </c>
    </row>
    <row r="141" spans="1:1" x14ac:dyDescent="0.25">
      <c r="A141" s="144" t="s">
        <v>840</v>
      </c>
    </row>
    <row r="142" spans="1:1" x14ac:dyDescent="0.25">
      <c r="A142" s="144" t="s">
        <v>841</v>
      </c>
    </row>
    <row r="143" spans="1:1" x14ac:dyDescent="0.25">
      <c r="A143" s="144" t="s">
        <v>842</v>
      </c>
    </row>
    <row r="144" spans="1:1" x14ac:dyDescent="0.25">
      <c r="A144" s="144" t="s">
        <v>1201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3C87-D20E-4593-A17A-BF4B37C04948}">
  <sheetPr codeName="Sheet4"/>
  <dimension ref="A1:P929"/>
  <sheetViews>
    <sheetView topLeftCell="A6" workbookViewId="0">
      <selection sqref="A1:P921"/>
    </sheetView>
  </sheetViews>
  <sheetFormatPr defaultColWidth="8.85546875" defaultRowHeight="15" x14ac:dyDescent="0.25"/>
  <cols>
    <col min="1" max="1" width="5.85546875" bestFit="1" customWidth="1"/>
    <col min="2" max="2" width="11.42578125" bestFit="1" customWidth="1"/>
    <col min="3" max="3" width="81.140625" bestFit="1" customWidth="1"/>
    <col min="4" max="4" width="14.7109375" bestFit="1" customWidth="1"/>
    <col min="5" max="5" width="7.28515625" bestFit="1" customWidth="1"/>
    <col min="6" max="6" width="19.28515625" bestFit="1" customWidth="1"/>
    <col min="7" max="9" width="81.140625" bestFit="1" customWidth="1"/>
    <col min="10" max="10" width="23" bestFit="1" customWidth="1"/>
    <col min="11" max="11" width="18.7109375" bestFit="1" customWidth="1"/>
    <col min="12" max="12" width="20.7109375" bestFit="1" customWidth="1"/>
    <col min="13" max="13" width="34.28515625" bestFit="1" customWidth="1"/>
    <col min="14" max="14" width="53.28515625" bestFit="1" customWidth="1"/>
    <col min="15" max="16" width="81.140625" bestFit="1" customWidth="1"/>
    <col min="17" max="17" width="50.7109375" bestFit="1" customWidth="1"/>
    <col min="18" max="18" width="81.140625" customWidth="1"/>
    <col min="19" max="19" width="12.42578125" customWidth="1"/>
    <col min="20" max="20" width="11.7109375" bestFit="1" customWidth="1"/>
  </cols>
  <sheetData>
    <row r="1" spans="1:16" x14ac:dyDescent="0.25">
      <c r="A1" t="s">
        <v>0</v>
      </c>
      <c r="B1" t="s">
        <v>56</v>
      </c>
      <c r="C1" t="s">
        <v>97</v>
      </c>
      <c r="D1" t="s">
        <v>1</v>
      </c>
      <c r="E1" t="s">
        <v>108</v>
      </c>
      <c r="F1" t="s">
        <v>70</v>
      </c>
      <c r="G1" t="s">
        <v>109</v>
      </c>
      <c r="H1" t="s">
        <v>310</v>
      </c>
      <c r="I1" t="s">
        <v>110</v>
      </c>
      <c r="J1" t="s">
        <v>15</v>
      </c>
      <c r="K1" t="s">
        <v>3</v>
      </c>
      <c r="L1" t="s">
        <v>4</v>
      </c>
      <c r="M1" t="s">
        <v>111</v>
      </c>
      <c r="N1" t="s">
        <v>103</v>
      </c>
      <c r="O1" t="s">
        <v>104</v>
      </c>
      <c r="P1" t="s">
        <v>353</v>
      </c>
    </row>
    <row r="2" spans="1:16" x14ac:dyDescent="0.25">
      <c r="A2" t="s">
        <v>344</v>
      </c>
      <c r="B2" t="s">
        <v>57</v>
      </c>
      <c r="C2" t="s">
        <v>63</v>
      </c>
      <c r="D2" t="s">
        <v>8</v>
      </c>
      <c r="E2">
        <v>2017</v>
      </c>
      <c r="F2" t="s">
        <v>73</v>
      </c>
      <c r="G2" t="s">
        <v>373</v>
      </c>
      <c r="H2" t="s">
        <v>298</v>
      </c>
      <c r="I2" t="s">
        <v>1373</v>
      </c>
      <c r="J2" t="s">
        <v>33</v>
      </c>
      <c r="K2" t="s">
        <v>58</v>
      </c>
      <c r="L2" t="s">
        <v>7</v>
      </c>
      <c r="M2" t="s">
        <v>523</v>
      </c>
      <c r="N2" t="s">
        <v>522</v>
      </c>
      <c r="O2" t="s">
        <v>402</v>
      </c>
    </row>
    <row r="3" spans="1:16" x14ac:dyDescent="0.25">
      <c r="A3" t="s">
        <v>344</v>
      </c>
      <c r="B3" t="s">
        <v>57</v>
      </c>
      <c r="C3" t="s">
        <v>63</v>
      </c>
      <c r="D3" t="s">
        <v>8</v>
      </c>
      <c r="E3">
        <v>2017</v>
      </c>
      <c r="F3" t="s">
        <v>73</v>
      </c>
      <c r="G3" t="s">
        <v>373</v>
      </c>
      <c r="H3" t="s">
        <v>298</v>
      </c>
      <c r="I3" t="s">
        <v>1373</v>
      </c>
      <c r="J3" t="s">
        <v>33</v>
      </c>
      <c r="K3" t="s">
        <v>58</v>
      </c>
      <c r="L3" t="s">
        <v>7</v>
      </c>
      <c r="M3" t="s">
        <v>524</v>
      </c>
      <c r="N3" t="s">
        <v>522</v>
      </c>
      <c r="O3" t="s">
        <v>402</v>
      </c>
    </row>
    <row r="4" spans="1:16" x14ac:dyDescent="0.25">
      <c r="A4" t="s">
        <v>311</v>
      </c>
      <c r="B4" t="s">
        <v>57</v>
      </c>
      <c r="C4" t="s">
        <v>268</v>
      </c>
      <c r="D4" t="s">
        <v>60</v>
      </c>
      <c r="E4">
        <v>2014</v>
      </c>
      <c r="F4" t="s">
        <v>74</v>
      </c>
      <c r="G4" t="s">
        <v>525</v>
      </c>
      <c r="H4" t="s">
        <v>270</v>
      </c>
      <c r="I4" t="s">
        <v>1373</v>
      </c>
      <c r="J4" t="s">
        <v>33</v>
      </c>
      <c r="K4" t="s">
        <v>58</v>
      </c>
      <c r="L4" t="s">
        <v>7</v>
      </c>
      <c r="M4" t="s">
        <v>524</v>
      </c>
      <c r="N4" t="s">
        <v>522</v>
      </c>
      <c r="O4" t="s">
        <v>402</v>
      </c>
    </row>
    <row r="5" spans="1:16" x14ac:dyDescent="0.25">
      <c r="A5" t="s">
        <v>112</v>
      </c>
      <c r="B5" t="s">
        <v>57</v>
      </c>
      <c r="C5" t="s">
        <v>276</v>
      </c>
      <c r="D5" t="s">
        <v>60</v>
      </c>
      <c r="E5">
        <v>2018</v>
      </c>
      <c r="F5" t="s">
        <v>79</v>
      </c>
      <c r="G5" t="s">
        <v>528</v>
      </c>
      <c r="I5" t="s">
        <v>61</v>
      </c>
      <c r="J5" t="s">
        <v>33</v>
      </c>
      <c r="K5" t="s">
        <v>58</v>
      </c>
      <c r="L5" t="s">
        <v>7</v>
      </c>
      <c r="M5" t="s">
        <v>523</v>
      </c>
      <c r="N5" t="s">
        <v>522</v>
      </c>
      <c r="O5" t="s">
        <v>402</v>
      </c>
    </row>
    <row r="6" spans="1:16" x14ac:dyDescent="0.25">
      <c r="A6" t="s">
        <v>112</v>
      </c>
      <c r="B6" t="s">
        <v>57</v>
      </c>
      <c r="C6" t="s">
        <v>276</v>
      </c>
      <c r="D6" t="s">
        <v>60</v>
      </c>
      <c r="E6">
        <v>2018</v>
      </c>
      <c r="F6" t="s">
        <v>79</v>
      </c>
      <c r="G6" t="s">
        <v>528</v>
      </c>
      <c r="I6" t="s">
        <v>61</v>
      </c>
      <c r="J6" t="s">
        <v>33</v>
      </c>
      <c r="K6" t="s">
        <v>58</v>
      </c>
      <c r="L6" t="s">
        <v>7</v>
      </c>
      <c r="M6" t="s">
        <v>18</v>
      </c>
      <c r="N6" t="s">
        <v>522</v>
      </c>
      <c r="O6" t="s">
        <v>402</v>
      </c>
    </row>
    <row r="7" spans="1:16" x14ac:dyDescent="0.25">
      <c r="A7" t="s">
        <v>317</v>
      </c>
      <c r="B7" t="s">
        <v>57</v>
      </c>
      <c r="C7" t="s">
        <v>271</v>
      </c>
      <c r="D7" t="s">
        <v>8</v>
      </c>
      <c r="E7">
        <v>2019</v>
      </c>
      <c r="F7" t="s">
        <v>74</v>
      </c>
      <c r="G7" t="s">
        <v>20</v>
      </c>
      <c r="I7" t="s">
        <v>21</v>
      </c>
      <c r="J7" t="s">
        <v>273</v>
      </c>
      <c r="K7" t="s">
        <v>58</v>
      </c>
      <c r="L7" t="s">
        <v>5</v>
      </c>
      <c r="M7" t="s">
        <v>6</v>
      </c>
      <c r="N7" t="s">
        <v>370</v>
      </c>
      <c r="O7" t="s">
        <v>67</v>
      </c>
    </row>
    <row r="8" spans="1:16" x14ac:dyDescent="0.25">
      <c r="A8" t="s">
        <v>317</v>
      </c>
      <c r="B8" t="s">
        <v>57</v>
      </c>
      <c r="C8" t="s">
        <v>271</v>
      </c>
      <c r="D8" t="s">
        <v>8</v>
      </c>
      <c r="E8">
        <v>2019</v>
      </c>
      <c r="F8" t="s">
        <v>74</v>
      </c>
      <c r="G8" t="s">
        <v>20</v>
      </c>
      <c r="I8" t="s">
        <v>21</v>
      </c>
      <c r="J8" t="s">
        <v>273</v>
      </c>
      <c r="K8" t="s">
        <v>58</v>
      </c>
      <c r="L8" t="s">
        <v>5</v>
      </c>
      <c r="M8" t="s">
        <v>18</v>
      </c>
      <c r="N8" t="s">
        <v>370</v>
      </c>
      <c r="O8" t="s">
        <v>67</v>
      </c>
    </row>
    <row r="9" spans="1:16" x14ac:dyDescent="0.25">
      <c r="A9" t="s">
        <v>114</v>
      </c>
      <c r="B9" t="s">
        <v>57</v>
      </c>
      <c r="C9" t="s">
        <v>1198</v>
      </c>
      <c r="D9" t="s">
        <v>8</v>
      </c>
      <c r="E9">
        <v>2006</v>
      </c>
      <c r="F9" t="s">
        <v>189</v>
      </c>
      <c r="G9" t="s">
        <v>532</v>
      </c>
      <c r="I9" t="s">
        <v>208</v>
      </c>
      <c r="J9" t="s">
        <v>33</v>
      </c>
      <c r="K9" t="s">
        <v>58</v>
      </c>
      <c r="L9" t="s">
        <v>7</v>
      </c>
      <c r="M9" t="s">
        <v>18</v>
      </c>
      <c r="N9" t="s">
        <v>531</v>
      </c>
      <c r="O9" t="s">
        <v>32</v>
      </c>
    </row>
    <row r="10" spans="1:16" x14ac:dyDescent="0.25">
      <c r="A10" t="s">
        <v>113</v>
      </c>
      <c r="B10" t="s">
        <v>57</v>
      </c>
      <c r="C10" t="s">
        <v>65</v>
      </c>
      <c r="D10" t="s">
        <v>8</v>
      </c>
      <c r="E10">
        <v>2018</v>
      </c>
      <c r="F10" t="s">
        <v>81</v>
      </c>
      <c r="G10" t="s">
        <v>530</v>
      </c>
      <c r="H10" t="s">
        <v>299</v>
      </c>
      <c r="I10" t="s">
        <v>1373</v>
      </c>
      <c r="J10" t="s">
        <v>33</v>
      </c>
      <c r="K10" t="s">
        <v>58</v>
      </c>
      <c r="L10" t="s">
        <v>7</v>
      </c>
      <c r="M10" t="s">
        <v>523</v>
      </c>
      <c r="N10" t="s">
        <v>529</v>
      </c>
      <c r="O10" t="s">
        <v>386</v>
      </c>
    </row>
    <row r="11" spans="1:16" x14ac:dyDescent="0.25">
      <c r="A11" t="s">
        <v>113</v>
      </c>
      <c r="B11" t="s">
        <v>57</v>
      </c>
      <c r="C11" t="s">
        <v>65</v>
      </c>
      <c r="D11" t="s">
        <v>8</v>
      </c>
      <c r="E11">
        <v>2018</v>
      </c>
      <c r="F11" t="s">
        <v>81</v>
      </c>
      <c r="G11" t="s">
        <v>530</v>
      </c>
      <c r="H11" t="s">
        <v>299</v>
      </c>
      <c r="I11" t="s">
        <v>1373</v>
      </c>
      <c r="J11" t="s">
        <v>33</v>
      </c>
      <c r="K11" t="s">
        <v>58</v>
      </c>
      <c r="L11" t="s">
        <v>7</v>
      </c>
      <c r="M11" t="s">
        <v>524</v>
      </c>
      <c r="N11" t="s">
        <v>529</v>
      </c>
      <c r="O11" t="s">
        <v>386</v>
      </c>
    </row>
    <row r="12" spans="1:16" x14ac:dyDescent="0.25">
      <c r="A12" t="s">
        <v>114</v>
      </c>
      <c r="B12" t="s">
        <v>57</v>
      </c>
      <c r="C12" t="s">
        <v>1198</v>
      </c>
      <c r="D12" t="s">
        <v>8</v>
      </c>
      <c r="E12">
        <v>2006</v>
      </c>
      <c r="F12" t="s">
        <v>189</v>
      </c>
      <c r="G12" t="s">
        <v>532</v>
      </c>
      <c r="I12" t="s">
        <v>208</v>
      </c>
      <c r="J12" t="s">
        <v>33</v>
      </c>
      <c r="K12" t="s">
        <v>58</v>
      </c>
      <c r="L12" t="s">
        <v>7</v>
      </c>
      <c r="M12" t="s">
        <v>6</v>
      </c>
      <c r="N12" t="s">
        <v>531</v>
      </c>
      <c r="O12" t="s">
        <v>32</v>
      </c>
    </row>
    <row r="13" spans="1:16" x14ac:dyDescent="0.25">
      <c r="A13" t="s">
        <v>114</v>
      </c>
      <c r="B13" t="s">
        <v>57</v>
      </c>
      <c r="C13" t="s">
        <v>1198</v>
      </c>
      <c r="D13" t="s">
        <v>8</v>
      </c>
      <c r="E13">
        <v>2006</v>
      </c>
      <c r="F13" t="s">
        <v>189</v>
      </c>
      <c r="G13" t="s">
        <v>532</v>
      </c>
      <c r="I13" t="s">
        <v>208</v>
      </c>
      <c r="J13" t="s">
        <v>33</v>
      </c>
      <c r="K13" t="s">
        <v>58</v>
      </c>
      <c r="L13" t="s">
        <v>7</v>
      </c>
      <c r="M13" t="s">
        <v>523</v>
      </c>
      <c r="N13" t="s">
        <v>531</v>
      </c>
      <c r="O13" t="s">
        <v>32</v>
      </c>
    </row>
    <row r="14" spans="1:16" x14ac:dyDescent="0.25">
      <c r="A14" t="s">
        <v>115</v>
      </c>
      <c r="B14" t="s">
        <v>57</v>
      </c>
      <c r="C14" t="s">
        <v>209</v>
      </c>
      <c r="D14" t="s">
        <v>8</v>
      </c>
      <c r="E14">
        <v>2018</v>
      </c>
      <c r="F14" t="s">
        <v>73</v>
      </c>
      <c r="G14" t="s">
        <v>533</v>
      </c>
      <c r="H14" t="s">
        <v>298</v>
      </c>
      <c r="I14" t="s">
        <v>1373</v>
      </c>
      <c r="J14" t="s">
        <v>33</v>
      </c>
      <c r="K14" t="s">
        <v>58</v>
      </c>
      <c r="L14" t="s">
        <v>7</v>
      </c>
      <c r="M14" t="s">
        <v>523</v>
      </c>
      <c r="N14" t="s">
        <v>522</v>
      </c>
      <c r="O14" t="s">
        <v>402</v>
      </c>
    </row>
    <row r="15" spans="1:16" x14ac:dyDescent="0.25">
      <c r="A15" t="s">
        <v>313</v>
      </c>
      <c r="B15" t="s">
        <v>57</v>
      </c>
      <c r="C15" t="s">
        <v>210</v>
      </c>
      <c r="D15" t="s">
        <v>8</v>
      </c>
      <c r="E15">
        <v>2018</v>
      </c>
      <c r="F15" t="s">
        <v>73</v>
      </c>
      <c r="G15" t="s">
        <v>408</v>
      </c>
      <c r="H15" t="s">
        <v>298</v>
      </c>
      <c r="I15" t="s">
        <v>1373</v>
      </c>
      <c r="J15" t="s">
        <v>33</v>
      </c>
      <c r="K15" t="s">
        <v>58</v>
      </c>
      <c r="L15" t="s">
        <v>7</v>
      </c>
      <c r="M15" t="s">
        <v>524</v>
      </c>
      <c r="N15" t="s">
        <v>522</v>
      </c>
      <c r="O15" t="s">
        <v>402</v>
      </c>
    </row>
    <row r="16" spans="1:16" x14ac:dyDescent="0.25">
      <c r="A16" t="s">
        <v>313</v>
      </c>
      <c r="B16" t="s">
        <v>57</v>
      </c>
      <c r="C16" t="s">
        <v>210</v>
      </c>
      <c r="D16" t="s">
        <v>8</v>
      </c>
      <c r="E16">
        <v>2018</v>
      </c>
      <c r="F16" t="s">
        <v>73</v>
      </c>
      <c r="G16" t="s">
        <v>408</v>
      </c>
      <c r="H16" t="s">
        <v>298</v>
      </c>
      <c r="I16" t="s">
        <v>1373</v>
      </c>
      <c r="J16" t="s">
        <v>33</v>
      </c>
      <c r="K16" t="s">
        <v>58</v>
      </c>
      <c r="L16" t="s">
        <v>7</v>
      </c>
      <c r="M16" t="s">
        <v>18</v>
      </c>
      <c r="N16" t="s">
        <v>522</v>
      </c>
      <c r="O16" t="s">
        <v>402</v>
      </c>
    </row>
    <row r="17" spans="1:15" x14ac:dyDescent="0.25">
      <c r="A17" t="s">
        <v>314</v>
      </c>
      <c r="B17" t="s">
        <v>57</v>
      </c>
      <c r="C17" t="s">
        <v>211</v>
      </c>
      <c r="D17" t="s">
        <v>8</v>
      </c>
      <c r="E17">
        <v>2022</v>
      </c>
      <c r="F17" t="s">
        <v>73</v>
      </c>
      <c r="G17" t="s">
        <v>277</v>
      </c>
      <c r="H17" t="s">
        <v>298</v>
      </c>
      <c r="I17" t="s">
        <v>301</v>
      </c>
      <c r="J17" t="s">
        <v>33</v>
      </c>
      <c r="K17" t="s">
        <v>58</v>
      </c>
      <c r="L17" t="s">
        <v>7</v>
      </c>
      <c r="M17" t="s">
        <v>18</v>
      </c>
      <c r="N17" t="s">
        <v>531</v>
      </c>
      <c r="O17" t="s">
        <v>32</v>
      </c>
    </row>
    <row r="18" spans="1:15" x14ac:dyDescent="0.25">
      <c r="A18" t="s">
        <v>314</v>
      </c>
      <c r="B18" t="s">
        <v>57</v>
      </c>
      <c r="C18" t="s">
        <v>211</v>
      </c>
      <c r="D18" t="s">
        <v>8</v>
      </c>
      <c r="E18">
        <v>2022</v>
      </c>
      <c r="F18" t="s">
        <v>73</v>
      </c>
      <c r="G18" t="s">
        <v>277</v>
      </c>
      <c r="H18" t="s">
        <v>298</v>
      </c>
      <c r="I18" t="s">
        <v>301</v>
      </c>
      <c r="J18" t="s">
        <v>33</v>
      </c>
      <c r="K18" t="s">
        <v>58</v>
      </c>
      <c r="L18" t="s">
        <v>7</v>
      </c>
      <c r="M18" t="s">
        <v>6</v>
      </c>
      <c r="N18" t="s">
        <v>531</v>
      </c>
      <c r="O18" t="s">
        <v>32</v>
      </c>
    </row>
    <row r="19" spans="1:15" x14ac:dyDescent="0.25">
      <c r="A19" t="s">
        <v>314</v>
      </c>
      <c r="B19" t="s">
        <v>57</v>
      </c>
      <c r="C19" t="s">
        <v>211</v>
      </c>
      <c r="D19" t="s">
        <v>8</v>
      </c>
      <c r="E19">
        <v>2022</v>
      </c>
      <c r="F19" t="s">
        <v>73</v>
      </c>
      <c r="G19" t="s">
        <v>277</v>
      </c>
      <c r="H19" t="s">
        <v>298</v>
      </c>
      <c r="I19" t="s">
        <v>301</v>
      </c>
      <c r="J19" t="s">
        <v>33</v>
      </c>
      <c r="K19" t="s">
        <v>58</v>
      </c>
      <c r="L19" t="s">
        <v>7</v>
      </c>
      <c r="M19" t="s">
        <v>523</v>
      </c>
      <c r="N19" t="s">
        <v>531</v>
      </c>
      <c r="O19" t="s">
        <v>32</v>
      </c>
    </row>
    <row r="20" spans="1:15" x14ac:dyDescent="0.25">
      <c r="A20" t="s">
        <v>315</v>
      </c>
      <c r="B20" t="s">
        <v>57</v>
      </c>
      <c r="C20" t="s">
        <v>212</v>
      </c>
      <c r="D20" t="s">
        <v>8</v>
      </c>
      <c r="E20">
        <v>2018</v>
      </c>
      <c r="F20" t="s">
        <v>73</v>
      </c>
      <c r="G20" t="s">
        <v>230</v>
      </c>
      <c r="H20" t="s">
        <v>298</v>
      </c>
      <c r="I20" t="s">
        <v>1373</v>
      </c>
      <c r="J20" t="s">
        <v>33</v>
      </c>
      <c r="K20" t="s">
        <v>58</v>
      </c>
      <c r="L20" t="s">
        <v>7</v>
      </c>
      <c r="M20" t="s">
        <v>523</v>
      </c>
      <c r="N20" t="s">
        <v>370</v>
      </c>
      <c r="O20" t="s">
        <v>67</v>
      </c>
    </row>
    <row r="21" spans="1:15" x14ac:dyDescent="0.25">
      <c r="A21" t="s">
        <v>315</v>
      </c>
      <c r="B21" t="s">
        <v>57</v>
      </c>
      <c r="C21" t="s">
        <v>212</v>
      </c>
      <c r="D21" t="s">
        <v>8</v>
      </c>
      <c r="E21">
        <v>2018</v>
      </c>
      <c r="F21" t="s">
        <v>73</v>
      </c>
      <c r="G21" t="s">
        <v>230</v>
      </c>
      <c r="H21" t="s">
        <v>298</v>
      </c>
      <c r="I21" t="s">
        <v>1373</v>
      </c>
      <c r="J21" t="s">
        <v>33</v>
      </c>
      <c r="K21" t="s">
        <v>58</v>
      </c>
      <c r="L21" t="s">
        <v>7</v>
      </c>
      <c r="M21" t="s">
        <v>18</v>
      </c>
      <c r="N21" t="s">
        <v>370</v>
      </c>
      <c r="O21" t="s">
        <v>67</v>
      </c>
    </row>
    <row r="22" spans="1:15" x14ac:dyDescent="0.25">
      <c r="A22" t="s">
        <v>312</v>
      </c>
      <c r="B22" t="s">
        <v>57</v>
      </c>
      <c r="C22" t="s">
        <v>431</v>
      </c>
      <c r="D22" t="s">
        <v>8</v>
      </c>
      <c r="E22">
        <v>1997</v>
      </c>
      <c r="F22" t="s">
        <v>73</v>
      </c>
      <c r="G22" t="s">
        <v>432</v>
      </c>
      <c r="H22" t="s">
        <v>298</v>
      </c>
      <c r="I22" t="s">
        <v>1373</v>
      </c>
      <c r="J22" t="s">
        <v>33</v>
      </c>
      <c r="K22" t="s">
        <v>58</v>
      </c>
      <c r="L22" t="s">
        <v>7</v>
      </c>
      <c r="M22" t="s">
        <v>524</v>
      </c>
      <c r="N22" t="s">
        <v>529</v>
      </c>
      <c r="O22" t="s">
        <v>386</v>
      </c>
    </row>
    <row r="23" spans="1:15" x14ac:dyDescent="0.25">
      <c r="A23" t="s">
        <v>316</v>
      </c>
      <c r="B23" t="s">
        <v>57</v>
      </c>
      <c r="C23" t="s">
        <v>412</v>
      </c>
      <c r="D23" t="s">
        <v>8</v>
      </c>
      <c r="E23">
        <v>2022</v>
      </c>
      <c r="F23" t="s">
        <v>73</v>
      </c>
      <c r="G23" t="s">
        <v>213</v>
      </c>
      <c r="H23" t="s">
        <v>298</v>
      </c>
      <c r="I23" t="s">
        <v>214</v>
      </c>
      <c r="J23" t="s">
        <v>33</v>
      </c>
      <c r="K23" t="s">
        <v>58</v>
      </c>
      <c r="L23" t="s">
        <v>7</v>
      </c>
      <c r="M23" t="s">
        <v>18</v>
      </c>
      <c r="N23" t="s">
        <v>534</v>
      </c>
      <c r="O23" t="s">
        <v>30</v>
      </c>
    </row>
    <row r="24" spans="1:15" x14ac:dyDescent="0.25">
      <c r="A24" t="s">
        <v>259</v>
      </c>
      <c r="B24" t="s">
        <v>57</v>
      </c>
      <c r="C24" t="s">
        <v>215</v>
      </c>
      <c r="D24" t="s">
        <v>60</v>
      </c>
      <c r="E24">
        <v>2019</v>
      </c>
      <c r="F24" t="s">
        <v>81</v>
      </c>
      <c r="G24" t="s">
        <v>535</v>
      </c>
      <c r="I24" t="s">
        <v>232</v>
      </c>
      <c r="J24" t="s">
        <v>33</v>
      </c>
      <c r="K24" t="s">
        <v>58</v>
      </c>
      <c r="L24" t="s">
        <v>7</v>
      </c>
      <c r="M24" t="s">
        <v>524</v>
      </c>
      <c r="N24" t="s">
        <v>522</v>
      </c>
      <c r="O24" t="s">
        <v>402</v>
      </c>
    </row>
    <row r="25" spans="1:15" x14ac:dyDescent="0.25">
      <c r="A25" t="s">
        <v>260</v>
      </c>
      <c r="B25" t="s">
        <v>57</v>
      </c>
      <c r="C25" t="s">
        <v>281</v>
      </c>
      <c r="D25" t="s">
        <v>8</v>
      </c>
      <c r="E25">
        <v>2014</v>
      </c>
      <c r="F25" t="s">
        <v>142</v>
      </c>
      <c r="G25" t="s">
        <v>536</v>
      </c>
      <c r="I25" t="s">
        <v>282</v>
      </c>
      <c r="J25" t="s">
        <v>33</v>
      </c>
      <c r="K25" t="s">
        <v>58</v>
      </c>
      <c r="L25" t="s">
        <v>7</v>
      </c>
      <c r="M25" t="s">
        <v>18</v>
      </c>
      <c r="N25" t="s">
        <v>522</v>
      </c>
      <c r="O25" t="s">
        <v>402</v>
      </c>
    </row>
    <row r="26" spans="1:15" x14ac:dyDescent="0.25">
      <c r="A26" t="s">
        <v>260</v>
      </c>
      <c r="B26" t="s">
        <v>57</v>
      </c>
      <c r="C26" t="s">
        <v>281</v>
      </c>
      <c r="D26" t="s">
        <v>8</v>
      </c>
      <c r="E26">
        <v>2014</v>
      </c>
      <c r="F26" t="s">
        <v>142</v>
      </c>
      <c r="G26" t="s">
        <v>536</v>
      </c>
      <c r="I26" t="s">
        <v>282</v>
      </c>
      <c r="J26" t="s">
        <v>33</v>
      </c>
      <c r="K26" t="s">
        <v>58</v>
      </c>
      <c r="L26" t="s">
        <v>7</v>
      </c>
      <c r="M26" t="s">
        <v>18</v>
      </c>
      <c r="N26" t="s">
        <v>531</v>
      </c>
      <c r="O26" t="s">
        <v>32</v>
      </c>
    </row>
    <row r="27" spans="1:15" x14ac:dyDescent="0.25">
      <c r="A27" t="s">
        <v>260</v>
      </c>
      <c r="B27" t="s">
        <v>57</v>
      </c>
      <c r="C27" t="s">
        <v>281</v>
      </c>
      <c r="D27" t="s">
        <v>8</v>
      </c>
      <c r="E27">
        <v>2014</v>
      </c>
      <c r="F27" t="s">
        <v>142</v>
      </c>
      <c r="G27" t="s">
        <v>536</v>
      </c>
      <c r="I27" t="s">
        <v>282</v>
      </c>
      <c r="J27" t="s">
        <v>33</v>
      </c>
      <c r="K27" t="s">
        <v>58</v>
      </c>
      <c r="L27" t="s">
        <v>7</v>
      </c>
      <c r="M27" t="s">
        <v>6</v>
      </c>
      <c r="N27" t="s">
        <v>522</v>
      </c>
      <c r="O27" t="s">
        <v>402</v>
      </c>
    </row>
    <row r="28" spans="1:15" x14ac:dyDescent="0.25">
      <c r="A28" t="s">
        <v>260</v>
      </c>
      <c r="B28" t="s">
        <v>57</v>
      </c>
      <c r="C28" t="s">
        <v>281</v>
      </c>
      <c r="D28" t="s">
        <v>8</v>
      </c>
      <c r="E28">
        <v>2014</v>
      </c>
      <c r="F28" t="s">
        <v>142</v>
      </c>
      <c r="G28" t="s">
        <v>536</v>
      </c>
      <c r="I28" t="s">
        <v>282</v>
      </c>
      <c r="J28" t="s">
        <v>33</v>
      </c>
      <c r="K28" t="s">
        <v>58</v>
      </c>
      <c r="L28" t="s">
        <v>7</v>
      </c>
      <c r="M28" t="s">
        <v>6</v>
      </c>
      <c r="N28" t="s">
        <v>531</v>
      </c>
      <c r="O28" t="s">
        <v>32</v>
      </c>
    </row>
    <row r="29" spans="1:15" x14ac:dyDescent="0.25">
      <c r="A29" t="s">
        <v>260</v>
      </c>
      <c r="B29" t="s">
        <v>57</v>
      </c>
      <c r="C29" t="s">
        <v>281</v>
      </c>
      <c r="D29" t="s">
        <v>8</v>
      </c>
      <c r="E29">
        <v>2014</v>
      </c>
      <c r="F29" t="s">
        <v>142</v>
      </c>
      <c r="G29" t="s">
        <v>536</v>
      </c>
      <c r="I29" t="s">
        <v>282</v>
      </c>
      <c r="J29" t="s">
        <v>33</v>
      </c>
      <c r="K29" t="s">
        <v>58</v>
      </c>
      <c r="L29" t="s">
        <v>7</v>
      </c>
      <c r="M29" t="s">
        <v>523</v>
      </c>
      <c r="N29" t="s">
        <v>522</v>
      </c>
      <c r="O29" t="s">
        <v>402</v>
      </c>
    </row>
    <row r="30" spans="1:15" x14ac:dyDescent="0.25">
      <c r="A30" t="s">
        <v>260</v>
      </c>
      <c r="B30" t="s">
        <v>57</v>
      </c>
      <c r="C30" t="s">
        <v>281</v>
      </c>
      <c r="D30" t="s">
        <v>8</v>
      </c>
      <c r="E30">
        <v>2014</v>
      </c>
      <c r="F30" t="s">
        <v>142</v>
      </c>
      <c r="G30" t="s">
        <v>536</v>
      </c>
      <c r="I30" t="s">
        <v>282</v>
      </c>
      <c r="J30" t="s">
        <v>33</v>
      </c>
      <c r="K30" t="s">
        <v>58</v>
      </c>
      <c r="L30" t="s">
        <v>7</v>
      </c>
      <c r="M30" t="s">
        <v>523</v>
      </c>
      <c r="N30" t="s">
        <v>531</v>
      </c>
      <c r="O30" t="s">
        <v>32</v>
      </c>
    </row>
    <row r="31" spans="1:15" x14ac:dyDescent="0.25">
      <c r="A31" t="s">
        <v>261</v>
      </c>
      <c r="B31" t="s">
        <v>57</v>
      </c>
      <c r="C31" t="s">
        <v>914</v>
      </c>
      <c r="D31" t="s">
        <v>8</v>
      </c>
      <c r="E31">
        <v>2020</v>
      </c>
      <c r="F31" t="s">
        <v>177</v>
      </c>
      <c r="G31" t="s">
        <v>537</v>
      </c>
      <c r="I31" t="s">
        <v>284</v>
      </c>
      <c r="J31" t="s">
        <v>33</v>
      </c>
      <c r="K31" t="s">
        <v>58</v>
      </c>
      <c r="L31" t="s">
        <v>7</v>
      </c>
      <c r="M31" t="s">
        <v>524</v>
      </c>
      <c r="N31" t="s">
        <v>370</v>
      </c>
      <c r="O31" t="s">
        <v>67</v>
      </c>
    </row>
    <row r="32" spans="1:15" x14ac:dyDescent="0.25">
      <c r="A32" t="s">
        <v>261</v>
      </c>
      <c r="B32" t="s">
        <v>57</v>
      </c>
      <c r="C32" t="s">
        <v>914</v>
      </c>
      <c r="D32" t="s">
        <v>8</v>
      </c>
      <c r="E32">
        <v>2020</v>
      </c>
      <c r="F32" t="s">
        <v>177</v>
      </c>
      <c r="G32" t="s">
        <v>537</v>
      </c>
      <c r="I32" t="s">
        <v>284</v>
      </c>
      <c r="J32" t="s">
        <v>33</v>
      </c>
      <c r="K32" t="s">
        <v>58</v>
      </c>
      <c r="L32" t="s">
        <v>7</v>
      </c>
      <c r="M32" t="s">
        <v>527</v>
      </c>
      <c r="N32" t="s">
        <v>370</v>
      </c>
      <c r="O32" t="s">
        <v>67</v>
      </c>
    </row>
    <row r="33" spans="1:15" x14ac:dyDescent="0.25">
      <c r="A33" t="s">
        <v>261</v>
      </c>
      <c r="B33" t="s">
        <v>57</v>
      </c>
      <c r="C33" t="s">
        <v>914</v>
      </c>
      <c r="D33" t="s">
        <v>8</v>
      </c>
      <c r="E33">
        <v>2020</v>
      </c>
      <c r="F33" t="s">
        <v>177</v>
      </c>
      <c r="G33" t="s">
        <v>537</v>
      </c>
      <c r="I33" t="s">
        <v>284</v>
      </c>
      <c r="J33" t="s">
        <v>33</v>
      </c>
      <c r="K33" t="s">
        <v>58</v>
      </c>
      <c r="L33" t="s">
        <v>7</v>
      </c>
      <c r="M33" t="s">
        <v>6</v>
      </c>
      <c r="N33" t="s">
        <v>370</v>
      </c>
      <c r="O33" t="s">
        <v>67</v>
      </c>
    </row>
    <row r="34" spans="1:15" x14ac:dyDescent="0.25">
      <c r="A34" t="s">
        <v>262</v>
      </c>
      <c r="B34" t="s">
        <v>57</v>
      </c>
      <c r="C34" t="s">
        <v>219</v>
      </c>
      <c r="D34" t="s">
        <v>60</v>
      </c>
      <c r="E34">
        <v>2010</v>
      </c>
      <c r="F34" t="s">
        <v>74</v>
      </c>
      <c r="G34" t="s">
        <v>539</v>
      </c>
      <c r="H34" t="s">
        <v>218</v>
      </c>
      <c r="I34" t="s">
        <v>1373</v>
      </c>
      <c r="J34" t="s">
        <v>33</v>
      </c>
      <c r="K34" t="s">
        <v>58</v>
      </c>
      <c r="L34" t="s">
        <v>7</v>
      </c>
      <c r="M34" t="s">
        <v>523</v>
      </c>
      <c r="N34" t="s">
        <v>538</v>
      </c>
      <c r="O34" t="s">
        <v>29</v>
      </c>
    </row>
    <row r="35" spans="1:15" x14ac:dyDescent="0.25">
      <c r="A35" t="s">
        <v>262</v>
      </c>
      <c r="B35" t="s">
        <v>57</v>
      </c>
      <c r="C35" t="s">
        <v>219</v>
      </c>
      <c r="D35" t="s">
        <v>60</v>
      </c>
      <c r="E35">
        <v>2010</v>
      </c>
      <c r="F35" t="s">
        <v>74</v>
      </c>
      <c r="G35" t="s">
        <v>539</v>
      </c>
      <c r="H35" t="s">
        <v>218</v>
      </c>
      <c r="I35" t="s">
        <v>1373</v>
      </c>
      <c r="J35" t="s">
        <v>33</v>
      </c>
      <c r="K35" t="s">
        <v>58</v>
      </c>
      <c r="L35" t="s">
        <v>7</v>
      </c>
      <c r="M35" t="s">
        <v>524</v>
      </c>
      <c r="N35" t="s">
        <v>538</v>
      </c>
      <c r="O35" t="s">
        <v>29</v>
      </c>
    </row>
    <row r="36" spans="1:15" x14ac:dyDescent="0.25">
      <c r="A36" t="s">
        <v>262</v>
      </c>
      <c r="B36" t="s">
        <v>57</v>
      </c>
      <c r="C36" t="s">
        <v>219</v>
      </c>
      <c r="D36" t="s">
        <v>60</v>
      </c>
      <c r="E36">
        <v>2010</v>
      </c>
      <c r="F36" t="s">
        <v>74</v>
      </c>
      <c r="G36" t="s">
        <v>539</v>
      </c>
      <c r="H36" t="s">
        <v>218</v>
      </c>
      <c r="I36" t="s">
        <v>1373</v>
      </c>
      <c r="J36" t="s">
        <v>33</v>
      </c>
      <c r="K36" t="s">
        <v>58</v>
      </c>
      <c r="L36" t="s">
        <v>7</v>
      </c>
      <c r="M36" t="s">
        <v>6</v>
      </c>
      <c r="N36" t="s">
        <v>538</v>
      </c>
      <c r="O36" t="s">
        <v>29</v>
      </c>
    </row>
    <row r="37" spans="1:15" x14ac:dyDescent="0.25">
      <c r="A37" t="s">
        <v>319</v>
      </c>
      <c r="B37" t="s">
        <v>57</v>
      </c>
      <c r="C37" t="s">
        <v>220</v>
      </c>
      <c r="D37" t="s">
        <v>60</v>
      </c>
      <c r="E37">
        <v>2022</v>
      </c>
      <c r="F37" t="s">
        <v>74</v>
      </c>
      <c r="G37" t="s">
        <v>540</v>
      </c>
      <c r="H37" t="s">
        <v>218</v>
      </c>
      <c r="I37" t="s">
        <v>1373</v>
      </c>
      <c r="J37" t="s">
        <v>33</v>
      </c>
      <c r="K37" t="s">
        <v>58</v>
      </c>
      <c r="L37" t="s">
        <v>7</v>
      </c>
      <c r="M37" t="s">
        <v>18</v>
      </c>
      <c r="N37" t="s">
        <v>531</v>
      </c>
      <c r="O37" t="s">
        <v>32</v>
      </c>
    </row>
    <row r="38" spans="1:15" x14ac:dyDescent="0.25">
      <c r="A38" t="s">
        <v>319</v>
      </c>
      <c r="B38" t="s">
        <v>57</v>
      </c>
      <c r="C38" t="s">
        <v>220</v>
      </c>
      <c r="D38" t="s">
        <v>60</v>
      </c>
      <c r="E38">
        <v>2022</v>
      </c>
      <c r="F38" t="s">
        <v>74</v>
      </c>
      <c r="G38" t="s">
        <v>540</v>
      </c>
      <c r="H38" t="s">
        <v>218</v>
      </c>
      <c r="I38" t="s">
        <v>1373</v>
      </c>
      <c r="J38" t="s">
        <v>33</v>
      </c>
      <c r="K38" t="s">
        <v>58</v>
      </c>
      <c r="L38" t="s">
        <v>7</v>
      </c>
      <c r="M38" t="s">
        <v>6</v>
      </c>
      <c r="N38" t="s">
        <v>531</v>
      </c>
      <c r="O38" t="s">
        <v>32</v>
      </c>
    </row>
    <row r="39" spans="1:15" x14ac:dyDescent="0.25">
      <c r="A39" t="s">
        <v>319</v>
      </c>
      <c r="B39" t="s">
        <v>57</v>
      </c>
      <c r="C39" t="s">
        <v>220</v>
      </c>
      <c r="D39" t="s">
        <v>60</v>
      </c>
      <c r="E39">
        <v>2022</v>
      </c>
      <c r="F39" t="s">
        <v>74</v>
      </c>
      <c r="G39" t="s">
        <v>540</v>
      </c>
      <c r="H39" t="s">
        <v>218</v>
      </c>
      <c r="I39" t="s">
        <v>1373</v>
      </c>
      <c r="J39" t="s">
        <v>33</v>
      </c>
      <c r="K39" t="s">
        <v>58</v>
      </c>
      <c r="L39" t="s">
        <v>7</v>
      </c>
      <c r="M39" t="s">
        <v>523</v>
      </c>
      <c r="N39" t="s">
        <v>531</v>
      </c>
      <c r="O39" t="s">
        <v>32</v>
      </c>
    </row>
    <row r="40" spans="1:15" x14ac:dyDescent="0.25">
      <c r="A40" t="s">
        <v>263</v>
      </c>
      <c r="B40" t="s">
        <v>57</v>
      </c>
      <c r="C40" t="s">
        <v>221</v>
      </c>
      <c r="D40" t="s">
        <v>60</v>
      </c>
      <c r="E40">
        <v>2015</v>
      </c>
      <c r="F40" t="s">
        <v>74</v>
      </c>
      <c r="G40" t="s">
        <v>541</v>
      </c>
      <c r="H40" t="s">
        <v>218</v>
      </c>
      <c r="I40" t="s">
        <v>1373</v>
      </c>
      <c r="J40" t="s">
        <v>33</v>
      </c>
      <c r="K40" t="s">
        <v>58</v>
      </c>
      <c r="L40" t="s">
        <v>7</v>
      </c>
      <c r="M40" t="s">
        <v>523</v>
      </c>
      <c r="N40" t="s">
        <v>522</v>
      </c>
      <c r="O40" t="s">
        <v>402</v>
      </c>
    </row>
    <row r="41" spans="1:15" x14ac:dyDescent="0.25">
      <c r="A41" t="s">
        <v>263</v>
      </c>
      <c r="B41" t="s">
        <v>57</v>
      </c>
      <c r="C41" t="s">
        <v>221</v>
      </c>
      <c r="D41" t="s">
        <v>60</v>
      </c>
      <c r="E41">
        <v>2015</v>
      </c>
      <c r="F41" t="s">
        <v>74</v>
      </c>
      <c r="G41" t="s">
        <v>541</v>
      </c>
      <c r="H41" t="s">
        <v>218</v>
      </c>
      <c r="I41" t="s">
        <v>1373</v>
      </c>
      <c r="J41" t="s">
        <v>33</v>
      </c>
      <c r="K41" t="s">
        <v>58</v>
      </c>
      <c r="L41" t="s">
        <v>7</v>
      </c>
      <c r="M41" t="s">
        <v>524</v>
      </c>
      <c r="N41" t="s">
        <v>522</v>
      </c>
      <c r="O41" t="s">
        <v>402</v>
      </c>
    </row>
    <row r="42" spans="1:15" x14ac:dyDescent="0.25">
      <c r="A42" t="s">
        <v>263</v>
      </c>
      <c r="B42" t="s">
        <v>57</v>
      </c>
      <c r="C42" t="s">
        <v>221</v>
      </c>
      <c r="D42" t="s">
        <v>60</v>
      </c>
      <c r="E42">
        <v>2015</v>
      </c>
      <c r="F42" t="s">
        <v>74</v>
      </c>
      <c r="G42" t="s">
        <v>541</v>
      </c>
      <c r="H42" t="s">
        <v>218</v>
      </c>
      <c r="I42" t="s">
        <v>1373</v>
      </c>
      <c r="J42" t="s">
        <v>33</v>
      </c>
      <c r="K42" t="s">
        <v>58</v>
      </c>
      <c r="L42" t="s">
        <v>7</v>
      </c>
      <c r="M42" t="s">
        <v>527</v>
      </c>
      <c r="N42" t="s">
        <v>522</v>
      </c>
      <c r="O42" t="s">
        <v>402</v>
      </c>
    </row>
    <row r="43" spans="1:15" x14ac:dyDescent="0.25">
      <c r="A43" t="s">
        <v>264</v>
      </c>
      <c r="B43" t="s">
        <v>57</v>
      </c>
      <c r="C43" t="s">
        <v>224</v>
      </c>
      <c r="D43" t="s">
        <v>8</v>
      </c>
      <c r="E43">
        <v>2018</v>
      </c>
      <c r="F43" t="s">
        <v>158</v>
      </c>
      <c r="G43" t="s">
        <v>303</v>
      </c>
      <c r="I43" t="s">
        <v>286</v>
      </c>
      <c r="J43" t="s">
        <v>33</v>
      </c>
      <c r="K43" t="s">
        <v>58</v>
      </c>
      <c r="L43" t="s">
        <v>7</v>
      </c>
      <c r="M43" t="s">
        <v>524</v>
      </c>
      <c r="N43" t="s">
        <v>522</v>
      </c>
      <c r="O43" t="s">
        <v>402</v>
      </c>
    </row>
    <row r="44" spans="1:15" x14ac:dyDescent="0.25">
      <c r="A44" t="s">
        <v>345</v>
      </c>
      <c r="B44" t="s">
        <v>57</v>
      </c>
      <c r="C44" t="s">
        <v>225</v>
      </c>
      <c r="D44" t="s">
        <v>8</v>
      </c>
      <c r="E44">
        <v>2010</v>
      </c>
      <c r="F44" t="s">
        <v>160</v>
      </c>
      <c r="G44" t="s">
        <v>542</v>
      </c>
      <c r="I44" t="s">
        <v>287</v>
      </c>
      <c r="J44" t="s">
        <v>33</v>
      </c>
      <c r="K44" t="s">
        <v>58</v>
      </c>
      <c r="L44" t="s">
        <v>7</v>
      </c>
      <c r="M44" t="s">
        <v>524</v>
      </c>
      <c r="N44" t="s">
        <v>522</v>
      </c>
      <c r="O44" t="s">
        <v>402</v>
      </c>
    </row>
    <row r="45" spans="1:15" x14ac:dyDescent="0.25">
      <c r="A45" t="s">
        <v>346</v>
      </c>
      <c r="B45" t="s">
        <v>57</v>
      </c>
      <c r="C45" t="s">
        <v>234</v>
      </c>
      <c r="D45" t="s">
        <v>8</v>
      </c>
      <c r="E45">
        <v>2020</v>
      </c>
      <c r="F45" t="s">
        <v>410</v>
      </c>
      <c r="G45" t="s">
        <v>304</v>
      </c>
      <c r="I45" t="s">
        <v>543</v>
      </c>
      <c r="J45" t="s">
        <v>33</v>
      </c>
      <c r="K45" t="s">
        <v>58</v>
      </c>
      <c r="L45" t="s">
        <v>7</v>
      </c>
      <c r="M45" t="s">
        <v>524</v>
      </c>
      <c r="N45" t="s">
        <v>522</v>
      </c>
      <c r="O45" t="s">
        <v>402</v>
      </c>
    </row>
    <row r="46" spans="1:15" x14ac:dyDescent="0.25">
      <c r="A46" t="s">
        <v>346</v>
      </c>
      <c r="B46" t="s">
        <v>57</v>
      </c>
      <c r="C46" t="s">
        <v>234</v>
      </c>
      <c r="D46" t="s">
        <v>8</v>
      </c>
      <c r="E46">
        <v>2020</v>
      </c>
      <c r="F46" t="s">
        <v>410</v>
      </c>
      <c r="G46" t="s">
        <v>304</v>
      </c>
      <c r="I46" t="s">
        <v>543</v>
      </c>
      <c r="J46" t="s">
        <v>33</v>
      </c>
      <c r="K46" t="s">
        <v>58</v>
      </c>
      <c r="L46" t="s">
        <v>7</v>
      </c>
      <c r="M46" t="s">
        <v>18</v>
      </c>
      <c r="N46" t="s">
        <v>522</v>
      </c>
      <c r="O46" t="s">
        <v>402</v>
      </c>
    </row>
    <row r="47" spans="1:15" x14ac:dyDescent="0.25">
      <c r="A47" t="s">
        <v>347</v>
      </c>
      <c r="B47" t="s">
        <v>57</v>
      </c>
      <c r="C47" t="s">
        <v>229</v>
      </c>
      <c r="D47" t="s">
        <v>8</v>
      </c>
      <c r="E47">
        <v>2020</v>
      </c>
      <c r="F47" t="s">
        <v>74</v>
      </c>
      <c r="G47" t="s">
        <v>544</v>
      </c>
      <c r="I47" t="s">
        <v>239</v>
      </c>
      <c r="J47" t="s">
        <v>273</v>
      </c>
      <c r="K47" t="s">
        <v>58</v>
      </c>
      <c r="L47" t="s">
        <v>5</v>
      </c>
      <c r="M47" t="s">
        <v>18</v>
      </c>
      <c r="N47" t="s">
        <v>534</v>
      </c>
      <c r="O47" t="s">
        <v>30</v>
      </c>
    </row>
    <row r="48" spans="1:15" x14ac:dyDescent="0.25">
      <c r="A48" t="s">
        <v>347</v>
      </c>
      <c r="B48" t="s">
        <v>57</v>
      </c>
      <c r="C48" t="s">
        <v>229</v>
      </c>
      <c r="D48" t="s">
        <v>8</v>
      </c>
      <c r="E48">
        <v>2020</v>
      </c>
      <c r="F48" t="s">
        <v>74</v>
      </c>
      <c r="G48" t="s">
        <v>544</v>
      </c>
      <c r="I48" t="s">
        <v>239</v>
      </c>
      <c r="J48" t="s">
        <v>273</v>
      </c>
      <c r="K48" t="s">
        <v>58</v>
      </c>
      <c r="L48" t="s">
        <v>5</v>
      </c>
      <c r="M48" t="s">
        <v>18</v>
      </c>
      <c r="N48" t="s">
        <v>538</v>
      </c>
      <c r="O48" t="s">
        <v>29</v>
      </c>
    </row>
    <row r="49" spans="1:15" x14ac:dyDescent="0.25">
      <c r="A49" t="s">
        <v>347</v>
      </c>
      <c r="B49" t="s">
        <v>57</v>
      </c>
      <c r="C49" t="s">
        <v>229</v>
      </c>
      <c r="D49" t="s">
        <v>8</v>
      </c>
      <c r="E49">
        <v>2020</v>
      </c>
      <c r="F49" t="s">
        <v>74</v>
      </c>
      <c r="G49" t="s">
        <v>544</v>
      </c>
      <c r="I49" t="s">
        <v>239</v>
      </c>
      <c r="J49" t="s">
        <v>273</v>
      </c>
      <c r="K49" t="s">
        <v>58</v>
      </c>
      <c r="L49" t="s">
        <v>5</v>
      </c>
      <c r="M49" t="s">
        <v>6</v>
      </c>
      <c r="N49" t="s">
        <v>534</v>
      </c>
      <c r="O49" t="s">
        <v>30</v>
      </c>
    </row>
    <row r="50" spans="1:15" x14ac:dyDescent="0.25">
      <c r="A50" t="s">
        <v>347</v>
      </c>
      <c r="B50" t="s">
        <v>57</v>
      </c>
      <c r="C50" t="s">
        <v>229</v>
      </c>
      <c r="D50" t="s">
        <v>8</v>
      </c>
      <c r="E50">
        <v>2020</v>
      </c>
      <c r="F50" t="s">
        <v>74</v>
      </c>
      <c r="G50" t="s">
        <v>544</v>
      </c>
      <c r="I50" t="s">
        <v>239</v>
      </c>
      <c r="J50" t="s">
        <v>273</v>
      </c>
      <c r="K50" t="s">
        <v>58</v>
      </c>
      <c r="L50" t="s">
        <v>5</v>
      </c>
      <c r="M50" t="s">
        <v>6</v>
      </c>
      <c r="N50" t="s">
        <v>538</v>
      </c>
      <c r="O50" t="s">
        <v>29</v>
      </c>
    </row>
    <row r="51" spans="1:15" x14ac:dyDescent="0.25">
      <c r="A51" t="s">
        <v>347</v>
      </c>
      <c r="B51" t="s">
        <v>57</v>
      </c>
      <c r="C51" t="s">
        <v>229</v>
      </c>
      <c r="D51" t="s">
        <v>8</v>
      </c>
      <c r="E51">
        <v>2020</v>
      </c>
      <c r="F51" t="s">
        <v>74</v>
      </c>
      <c r="G51" t="s">
        <v>544</v>
      </c>
      <c r="I51" t="s">
        <v>239</v>
      </c>
      <c r="J51" t="s">
        <v>273</v>
      </c>
      <c r="K51" t="s">
        <v>58</v>
      </c>
      <c r="L51" t="s">
        <v>5</v>
      </c>
      <c r="M51" t="s">
        <v>523</v>
      </c>
      <c r="N51" t="s">
        <v>534</v>
      </c>
      <c r="O51" t="s">
        <v>30</v>
      </c>
    </row>
    <row r="52" spans="1:15" x14ac:dyDescent="0.25">
      <c r="A52" t="s">
        <v>347</v>
      </c>
      <c r="B52" t="s">
        <v>57</v>
      </c>
      <c r="C52" t="s">
        <v>229</v>
      </c>
      <c r="D52" t="s">
        <v>8</v>
      </c>
      <c r="E52">
        <v>2020</v>
      </c>
      <c r="F52" t="s">
        <v>74</v>
      </c>
      <c r="G52" t="s">
        <v>544</v>
      </c>
      <c r="I52" t="s">
        <v>239</v>
      </c>
      <c r="J52" t="s">
        <v>273</v>
      </c>
      <c r="K52" t="s">
        <v>58</v>
      </c>
      <c r="L52" t="s">
        <v>5</v>
      </c>
      <c r="M52" t="s">
        <v>523</v>
      </c>
      <c r="N52" t="s">
        <v>538</v>
      </c>
      <c r="O52" t="s">
        <v>29</v>
      </c>
    </row>
    <row r="53" spans="1:15" x14ac:dyDescent="0.25">
      <c r="A53" t="s">
        <v>349</v>
      </c>
      <c r="B53" t="s">
        <v>57</v>
      </c>
      <c r="C53" t="s">
        <v>242</v>
      </c>
      <c r="D53" t="s">
        <v>8</v>
      </c>
      <c r="E53">
        <v>2015</v>
      </c>
      <c r="F53" t="s">
        <v>195</v>
      </c>
      <c r="G53" t="s">
        <v>307</v>
      </c>
      <c r="I53" t="s">
        <v>243</v>
      </c>
      <c r="J53" t="s">
        <v>33</v>
      </c>
      <c r="K53" t="s">
        <v>58</v>
      </c>
      <c r="L53" t="s">
        <v>7</v>
      </c>
      <c r="M53" t="s">
        <v>524</v>
      </c>
      <c r="N53" t="s">
        <v>546</v>
      </c>
    </row>
    <row r="54" spans="1:15" x14ac:dyDescent="0.25">
      <c r="A54" t="s">
        <v>349</v>
      </c>
      <c r="B54" t="s">
        <v>57</v>
      </c>
      <c r="C54" t="s">
        <v>242</v>
      </c>
      <c r="D54" t="s">
        <v>8</v>
      </c>
      <c r="E54">
        <v>2015</v>
      </c>
      <c r="F54" t="s">
        <v>195</v>
      </c>
      <c r="G54" t="s">
        <v>307</v>
      </c>
      <c r="I54" t="s">
        <v>243</v>
      </c>
      <c r="J54" t="s">
        <v>33</v>
      </c>
      <c r="K54" t="s">
        <v>58</v>
      </c>
      <c r="L54" t="s">
        <v>7</v>
      </c>
      <c r="M54" t="s">
        <v>18</v>
      </c>
      <c r="N54" t="s">
        <v>546</v>
      </c>
    </row>
    <row r="55" spans="1:15" x14ac:dyDescent="0.25">
      <c r="A55" t="s">
        <v>350</v>
      </c>
      <c r="B55" t="s">
        <v>57</v>
      </c>
      <c r="C55" t="s">
        <v>256</v>
      </c>
      <c r="D55" t="s">
        <v>8</v>
      </c>
      <c r="E55">
        <v>2019</v>
      </c>
      <c r="F55" t="s">
        <v>144</v>
      </c>
      <c r="G55" t="s">
        <v>257</v>
      </c>
      <c r="H55" t="s">
        <v>258</v>
      </c>
      <c r="I55" t="s">
        <v>308</v>
      </c>
      <c r="J55" t="s">
        <v>33</v>
      </c>
      <c r="K55" t="s">
        <v>58</v>
      </c>
      <c r="L55" t="s">
        <v>7</v>
      </c>
      <c r="M55" t="s">
        <v>18</v>
      </c>
      <c r="N55" t="s">
        <v>531</v>
      </c>
      <c r="O55" t="s">
        <v>32</v>
      </c>
    </row>
    <row r="56" spans="1:15" x14ac:dyDescent="0.25">
      <c r="A56" t="s">
        <v>350</v>
      </c>
      <c r="B56" t="s">
        <v>57</v>
      </c>
      <c r="C56" t="s">
        <v>256</v>
      </c>
      <c r="D56" t="s">
        <v>8</v>
      </c>
      <c r="E56">
        <v>2019</v>
      </c>
      <c r="F56" t="s">
        <v>144</v>
      </c>
      <c r="G56" t="s">
        <v>257</v>
      </c>
      <c r="H56" t="s">
        <v>258</v>
      </c>
      <c r="I56" t="s">
        <v>308</v>
      </c>
      <c r="J56" t="s">
        <v>33</v>
      </c>
      <c r="K56" t="s">
        <v>58</v>
      </c>
      <c r="L56" t="s">
        <v>7</v>
      </c>
      <c r="M56" t="s">
        <v>6</v>
      </c>
      <c r="N56" t="s">
        <v>531</v>
      </c>
      <c r="O56" t="s">
        <v>32</v>
      </c>
    </row>
    <row r="57" spans="1:15" x14ac:dyDescent="0.25">
      <c r="A57" t="s">
        <v>350</v>
      </c>
      <c r="B57" t="s">
        <v>57</v>
      </c>
      <c r="C57" t="s">
        <v>256</v>
      </c>
      <c r="D57" t="s">
        <v>8</v>
      </c>
      <c r="E57">
        <v>2019</v>
      </c>
      <c r="F57" t="s">
        <v>144</v>
      </c>
      <c r="G57" t="s">
        <v>257</v>
      </c>
      <c r="H57" t="s">
        <v>258</v>
      </c>
      <c r="I57" t="s">
        <v>308</v>
      </c>
      <c r="J57" t="s">
        <v>33</v>
      </c>
      <c r="K57" t="s">
        <v>58</v>
      </c>
      <c r="L57" t="s">
        <v>7</v>
      </c>
      <c r="M57" t="s">
        <v>523</v>
      </c>
      <c r="N57" t="s">
        <v>531</v>
      </c>
      <c r="O57" t="s">
        <v>32</v>
      </c>
    </row>
    <row r="58" spans="1:15" x14ac:dyDescent="0.25">
      <c r="A58" t="s">
        <v>351</v>
      </c>
      <c r="B58" t="s">
        <v>57</v>
      </c>
      <c r="C58" t="s">
        <v>291</v>
      </c>
      <c r="D58" t="s">
        <v>8</v>
      </c>
      <c r="E58">
        <v>2019</v>
      </c>
      <c r="F58" t="s">
        <v>410</v>
      </c>
      <c r="G58" t="s">
        <v>547</v>
      </c>
      <c r="I58" t="s">
        <v>543</v>
      </c>
      <c r="J58" t="s">
        <v>33</v>
      </c>
      <c r="K58" t="s">
        <v>58</v>
      </c>
      <c r="L58" t="s">
        <v>7</v>
      </c>
      <c r="M58" t="s">
        <v>523</v>
      </c>
      <c r="N58" t="s">
        <v>370</v>
      </c>
      <c r="O58" t="s">
        <v>67</v>
      </c>
    </row>
    <row r="59" spans="1:15" x14ac:dyDescent="0.25">
      <c r="A59" t="s">
        <v>351</v>
      </c>
      <c r="B59" t="s">
        <v>57</v>
      </c>
      <c r="C59" t="s">
        <v>291</v>
      </c>
      <c r="D59" t="s">
        <v>8</v>
      </c>
      <c r="E59">
        <v>2019</v>
      </c>
      <c r="F59" t="s">
        <v>410</v>
      </c>
      <c r="G59" t="s">
        <v>547</v>
      </c>
      <c r="I59" t="s">
        <v>543</v>
      </c>
      <c r="J59" t="s">
        <v>33</v>
      </c>
      <c r="K59" t="s">
        <v>58</v>
      </c>
      <c r="L59" t="s">
        <v>7</v>
      </c>
      <c r="M59" t="s">
        <v>523</v>
      </c>
      <c r="N59" t="s">
        <v>538</v>
      </c>
      <c r="O59" t="s">
        <v>29</v>
      </c>
    </row>
    <row r="60" spans="1:15" x14ac:dyDescent="0.25">
      <c r="A60" t="s">
        <v>320</v>
      </c>
      <c r="B60" t="s">
        <v>57</v>
      </c>
      <c r="C60" t="s">
        <v>293</v>
      </c>
      <c r="D60" t="s">
        <v>8</v>
      </c>
      <c r="E60">
        <v>2020</v>
      </c>
      <c r="F60" t="s">
        <v>410</v>
      </c>
      <c r="G60" t="s">
        <v>294</v>
      </c>
      <c r="I60" t="s">
        <v>543</v>
      </c>
      <c r="J60" t="s">
        <v>33</v>
      </c>
      <c r="K60" t="s">
        <v>58</v>
      </c>
      <c r="L60" t="s">
        <v>7</v>
      </c>
      <c r="M60" t="s">
        <v>523</v>
      </c>
      <c r="N60" t="s">
        <v>538</v>
      </c>
      <c r="O60" t="s">
        <v>29</v>
      </c>
    </row>
    <row r="61" spans="1:15" x14ac:dyDescent="0.25">
      <c r="A61" t="s">
        <v>320</v>
      </c>
      <c r="B61" t="s">
        <v>57</v>
      </c>
      <c r="C61" t="s">
        <v>293</v>
      </c>
      <c r="D61" t="s">
        <v>8</v>
      </c>
      <c r="E61">
        <v>2020</v>
      </c>
      <c r="F61" t="s">
        <v>410</v>
      </c>
      <c r="G61" t="s">
        <v>294</v>
      </c>
      <c r="I61" t="s">
        <v>543</v>
      </c>
      <c r="J61" t="s">
        <v>33</v>
      </c>
      <c r="K61" t="s">
        <v>58</v>
      </c>
      <c r="L61" t="s">
        <v>7</v>
      </c>
      <c r="M61" t="s">
        <v>523</v>
      </c>
      <c r="N61" t="s">
        <v>370</v>
      </c>
      <c r="O61" t="s">
        <v>67</v>
      </c>
    </row>
    <row r="62" spans="1:15" x14ac:dyDescent="0.25">
      <c r="A62" t="s">
        <v>265</v>
      </c>
      <c r="B62" t="s">
        <v>57</v>
      </c>
      <c r="C62" t="s">
        <v>295</v>
      </c>
      <c r="D62" t="s">
        <v>60</v>
      </c>
      <c r="E62">
        <v>2022</v>
      </c>
      <c r="F62" t="s">
        <v>142</v>
      </c>
      <c r="G62" t="s">
        <v>548</v>
      </c>
      <c r="I62" t="s">
        <v>296</v>
      </c>
      <c r="J62" t="s">
        <v>33</v>
      </c>
      <c r="K62" t="s">
        <v>58</v>
      </c>
      <c r="L62" t="s">
        <v>7</v>
      </c>
      <c r="M62" t="s">
        <v>524</v>
      </c>
      <c r="N62" t="s">
        <v>529</v>
      </c>
      <c r="O62" t="s">
        <v>386</v>
      </c>
    </row>
    <row r="63" spans="1:15" x14ac:dyDescent="0.25">
      <c r="A63" t="s">
        <v>352</v>
      </c>
      <c r="B63" t="s">
        <v>57</v>
      </c>
      <c r="C63" t="s">
        <v>226</v>
      </c>
      <c r="D63" t="s">
        <v>8</v>
      </c>
      <c r="E63">
        <v>2022</v>
      </c>
      <c r="F63" t="s">
        <v>185</v>
      </c>
      <c r="G63" t="s">
        <v>406</v>
      </c>
      <c r="I63" t="s">
        <v>1373</v>
      </c>
      <c r="J63" t="s">
        <v>33</v>
      </c>
      <c r="K63" t="s">
        <v>58</v>
      </c>
      <c r="L63" t="s">
        <v>7</v>
      </c>
      <c r="M63" t="s">
        <v>524</v>
      </c>
      <c r="N63" t="s">
        <v>522</v>
      </c>
      <c r="O63" t="s">
        <v>402</v>
      </c>
    </row>
    <row r="64" spans="1:15" x14ac:dyDescent="0.25">
      <c r="A64" t="s">
        <v>266</v>
      </c>
      <c r="B64" t="s">
        <v>57</v>
      </c>
      <c r="C64" t="s">
        <v>223</v>
      </c>
      <c r="D64" t="s">
        <v>60</v>
      </c>
      <c r="E64">
        <v>2022</v>
      </c>
      <c r="F64" t="s">
        <v>158</v>
      </c>
      <c r="G64" t="s">
        <v>549</v>
      </c>
      <c r="I64" t="s">
        <v>1373</v>
      </c>
      <c r="J64" t="s">
        <v>33</v>
      </c>
      <c r="K64" t="s">
        <v>58</v>
      </c>
      <c r="L64" t="s">
        <v>7</v>
      </c>
      <c r="M64" t="s">
        <v>18</v>
      </c>
      <c r="N64" t="s">
        <v>531</v>
      </c>
      <c r="O64" t="s">
        <v>32</v>
      </c>
    </row>
    <row r="65" spans="1:15" x14ac:dyDescent="0.25">
      <c r="A65" t="s">
        <v>266</v>
      </c>
      <c r="B65" t="s">
        <v>57</v>
      </c>
      <c r="C65" t="s">
        <v>223</v>
      </c>
      <c r="D65" t="s">
        <v>60</v>
      </c>
      <c r="E65">
        <v>2022</v>
      </c>
      <c r="F65" t="s">
        <v>158</v>
      </c>
      <c r="G65" t="s">
        <v>549</v>
      </c>
      <c r="I65" t="s">
        <v>1373</v>
      </c>
      <c r="J65" t="s">
        <v>33</v>
      </c>
      <c r="K65" t="s">
        <v>58</v>
      </c>
      <c r="L65" t="s">
        <v>7</v>
      </c>
      <c r="M65" t="s">
        <v>6</v>
      </c>
      <c r="N65" t="s">
        <v>531</v>
      </c>
      <c r="O65" t="s">
        <v>32</v>
      </c>
    </row>
    <row r="66" spans="1:15" x14ac:dyDescent="0.25">
      <c r="A66" t="s">
        <v>266</v>
      </c>
      <c r="B66" t="s">
        <v>57</v>
      </c>
      <c r="C66" t="s">
        <v>223</v>
      </c>
      <c r="D66" t="s">
        <v>60</v>
      </c>
      <c r="E66">
        <v>2022</v>
      </c>
      <c r="F66" t="s">
        <v>158</v>
      </c>
      <c r="G66" t="s">
        <v>549</v>
      </c>
      <c r="I66" t="s">
        <v>1373</v>
      </c>
      <c r="J66" t="s">
        <v>33</v>
      </c>
      <c r="K66" t="s">
        <v>58</v>
      </c>
      <c r="L66" t="s">
        <v>7</v>
      </c>
      <c r="M66" t="s">
        <v>523</v>
      </c>
      <c r="N66" t="s">
        <v>531</v>
      </c>
      <c r="O66" t="s">
        <v>32</v>
      </c>
    </row>
    <row r="67" spans="1:15" x14ac:dyDescent="0.25">
      <c r="A67" t="s">
        <v>1199</v>
      </c>
      <c r="B67" t="s">
        <v>57</v>
      </c>
      <c r="C67" t="s">
        <v>302</v>
      </c>
      <c r="D67" t="s">
        <v>8</v>
      </c>
      <c r="E67">
        <v>2017</v>
      </c>
      <c r="F67" t="s">
        <v>74</v>
      </c>
      <c r="G67" t="s">
        <v>551</v>
      </c>
      <c r="I67" t="s">
        <v>222</v>
      </c>
      <c r="J67" t="s">
        <v>273</v>
      </c>
      <c r="K67" t="s">
        <v>58</v>
      </c>
      <c r="L67" t="s">
        <v>203</v>
      </c>
      <c r="M67" t="s">
        <v>6</v>
      </c>
      <c r="N67" t="s">
        <v>365</v>
      </c>
    </row>
    <row r="68" spans="1:15" x14ac:dyDescent="0.25">
      <c r="A68" t="s">
        <v>1199</v>
      </c>
      <c r="B68" t="s">
        <v>57</v>
      </c>
      <c r="C68" t="s">
        <v>302</v>
      </c>
      <c r="D68" t="s">
        <v>8</v>
      </c>
      <c r="E68">
        <v>2017</v>
      </c>
      <c r="F68" t="s">
        <v>74</v>
      </c>
      <c r="G68" t="s">
        <v>551</v>
      </c>
      <c r="I68" t="s">
        <v>222</v>
      </c>
      <c r="J68" t="s">
        <v>273</v>
      </c>
      <c r="K68" t="s">
        <v>58</v>
      </c>
      <c r="L68" t="s">
        <v>203</v>
      </c>
      <c r="M68" t="s">
        <v>18</v>
      </c>
      <c r="N68" t="s">
        <v>365</v>
      </c>
    </row>
    <row r="69" spans="1:15" x14ac:dyDescent="0.25">
      <c r="A69" t="s">
        <v>461</v>
      </c>
      <c r="B69" t="s">
        <v>57</v>
      </c>
      <c r="C69" t="s">
        <v>227</v>
      </c>
      <c r="D69" t="s">
        <v>8</v>
      </c>
      <c r="E69">
        <v>2021</v>
      </c>
      <c r="F69" t="s">
        <v>187</v>
      </c>
      <c r="G69" t="s">
        <v>437</v>
      </c>
      <c r="I69" t="s">
        <v>1373</v>
      </c>
      <c r="J69" t="s">
        <v>33</v>
      </c>
      <c r="K69" t="s">
        <v>58</v>
      </c>
      <c r="L69" t="s">
        <v>203</v>
      </c>
      <c r="M69" t="s">
        <v>18</v>
      </c>
      <c r="N69" t="s">
        <v>531</v>
      </c>
      <c r="O69" t="s">
        <v>32</v>
      </c>
    </row>
    <row r="70" spans="1:15" x14ac:dyDescent="0.25">
      <c r="A70" t="s">
        <v>461</v>
      </c>
      <c r="B70" t="s">
        <v>57</v>
      </c>
      <c r="C70" t="s">
        <v>227</v>
      </c>
      <c r="D70" t="s">
        <v>8</v>
      </c>
      <c r="E70">
        <v>2021</v>
      </c>
      <c r="F70" t="s">
        <v>187</v>
      </c>
      <c r="G70" t="s">
        <v>437</v>
      </c>
      <c r="I70" t="s">
        <v>1373</v>
      </c>
      <c r="J70" t="s">
        <v>33</v>
      </c>
      <c r="K70" t="s">
        <v>58</v>
      </c>
      <c r="L70" t="s">
        <v>203</v>
      </c>
      <c r="M70" t="s">
        <v>6</v>
      </c>
      <c r="N70" t="s">
        <v>531</v>
      </c>
      <c r="O70" t="s">
        <v>32</v>
      </c>
    </row>
    <row r="71" spans="1:15" x14ac:dyDescent="0.25">
      <c r="A71" t="s">
        <v>461</v>
      </c>
      <c r="B71" t="s">
        <v>57</v>
      </c>
      <c r="C71" t="s">
        <v>227</v>
      </c>
      <c r="D71" t="s">
        <v>8</v>
      </c>
      <c r="E71">
        <v>2021</v>
      </c>
      <c r="F71" t="s">
        <v>187</v>
      </c>
      <c r="G71" t="s">
        <v>437</v>
      </c>
      <c r="I71" t="s">
        <v>1373</v>
      </c>
      <c r="J71" t="s">
        <v>33</v>
      </c>
      <c r="K71" t="s">
        <v>58</v>
      </c>
      <c r="L71" t="s">
        <v>203</v>
      </c>
      <c r="M71" t="s">
        <v>523</v>
      </c>
      <c r="N71" t="s">
        <v>531</v>
      </c>
      <c r="O71" t="s">
        <v>32</v>
      </c>
    </row>
    <row r="72" spans="1:15" x14ac:dyDescent="0.25">
      <c r="A72" t="s">
        <v>462</v>
      </c>
      <c r="B72" t="s">
        <v>57</v>
      </c>
      <c r="C72" t="s">
        <v>440</v>
      </c>
      <c r="D72" t="s">
        <v>8</v>
      </c>
      <c r="E72">
        <v>2020</v>
      </c>
      <c r="F72" t="s">
        <v>410</v>
      </c>
      <c r="G72" t="s">
        <v>553</v>
      </c>
      <c r="H72" t="s">
        <v>543</v>
      </c>
      <c r="I72" t="s">
        <v>442</v>
      </c>
      <c r="J72" t="s">
        <v>33</v>
      </c>
      <c r="K72" t="s">
        <v>58</v>
      </c>
      <c r="L72" t="s">
        <v>7</v>
      </c>
      <c r="M72" t="s">
        <v>18</v>
      </c>
      <c r="N72" t="s">
        <v>370</v>
      </c>
      <c r="O72" t="s">
        <v>67</v>
      </c>
    </row>
    <row r="73" spans="1:15" x14ac:dyDescent="0.25">
      <c r="A73" t="s">
        <v>462</v>
      </c>
      <c r="B73" t="s">
        <v>57</v>
      </c>
      <c r="C73" t="s">
        <v>440</v>
      </c>
      <c r="D73" t="s">
        <v>8</v>
      </c>
      <c r="E73">
        <v>2020</v>
      </c>
      <c r="F73" t="s">
        <v>410</v>
      </c>
      <c r="G73" t="s">
        <v>553</v>
      </c>
      <c r="H73" t="s">
        <v>543</v>
      </c>
      <c r="I73" t="s">
        <v>442</v>
      </c>
      <c r="J73" t="s">
        <v>33</v>
      </c>
      <c r="K73" t="s">
        <v>58</v>
      </c>
      <c r="L73" t="s">
        <v>7</v>
      </c>
      <c r="M73" t="s">
        <v>18</v>
      </c>
      <c r="N73" t="s">
        <v>522</v>
      </c>
      <c r="O73" t="s">
        <v>402</v>
      </c>
    </row>
    <row r="74" spans="1:15" x14ac:dyDescent="0.25">
      <c r="A74" t="s">
        <v>462</v>
      </c>
      <c r="B74" t="s">
        <v>57</v>
      </c>
      <c r="C74" t="s">
        <v>440</v>
      </c>
      <c r="D74" t="s">
        <v>8</v>
      </c>
      <c r="E74">
        <v>2020</v>
      </c>
      <c r="F74" t="s">
        <v>410</v>
      </c>
      <c r="G74" t="s">
        <v>553</v>
      </c>
      <c r="H74" t="s">
        <v>543</v>
      </c>
      <c r="I74" t="s">
        <v>442</v>
      </c>
      <c r="J74" t="s">
        <v>33</v>
      </c>
      <c r="K74" t="s">
        <v>58</v>
      </c>
      <c r="L74" t="s">
        <v>7</v>
      </c>
      <c r="M74" t="s">
        <v>524</v>
      </c>
      <c r="N74" t="s">
        <v>370</v>
      </c>
      <c r="O74" t="s">
        <v>67</v>
      </c>
    </row>
    <row r="75" spans="1:15" x14ac:dyDescent="0.25">
      <c r="A75" t="s">
        <v>462</v>
      </c>
      <c r="B75" t="s">
        <v>57</v>
      </c>
      <c r="C75" t="s">
        <v>440</v>
      </c>
      <c r="D75" t="s">
        <v>8</v>
      </c>
      <c r="E75">
        <v>2020</v>
      </c>
      <c r="F75" t="s">
        <v>410</v>
      </c>
      <c r="G75" t="s">
        <v>553</v>
      </c>
      <c r="H75" t="s">
        <v>543</v>
      </c>
      <c r="I75" t="s">
        <v>442</v>
      </c>
      <c r="J75" t="s">
        <v>33</v>
      </c>
      <c r="K75" t="s">
        <v>58</v>
      </c>
      <c r="L75" t="s">
        <v>7</v>
      </c>
      <c r="M75" t="s">
        <v>524</v>
      </c>
      <c r="N75" t="s">
        <v>522</v>
      </c>
      <c r="O75" t="s">
        <v>402</v>
      </c>
    </row>
    <row r="76" spans="1:15" x14ac:dyDescent="0.25">
      <c r="A76" t="s">
        <v>462</v>
      </c>
      <c r="B76" t="s">
        <v>57</v>
      </c>
      <c r="C76" t="s">
        <v>440</v>
      </c>
      <c r="D76" t="s">
        <v>8</v>
      </c>
      <c r="E76">
        <v>2020</v>
      </c>
      <c r="F76" t="s">
        <v>410</v>
      </c>
      <c r="G76" t="s">
        <v>553</v>
      </c>
      <c r="H76" t="s">
        <v>543</v>
      </c>
      <c r="I76" t="s">
        <v>442</v>
      </c>
      <c r="J76" t="s">
        <v>33</v>
      </c>
      <c r="K76" t="s">
        <v>58</v>
      </c>
      <c r="L76" t="s">
        <v>7</v>
      </c>
      <c r="M76" t="s">
        <v>6</v>
      </c>
      <c r="N76" t="s">
        <v>370</v>
      </c>
      <c r="O76" t="s">
        <v>67</v>
      </c>
    </row>
    <row r="77" spans="1:15" x14ac:dyDescent="0.25">
      <c r="A77" t="s">
        <v>462</v>
      </c>
      <c r="B77" t="s">
        <v>57</v>
      </c>
      <c r="C77" t="s">
        <v>440</v>
      </c>
      <c r="D77" t="s">
        <v>8</v>
      </c>
      <c r="E77">
        <v>2020</v>
      </c>
      <c r="F77" t="s">
        <v>410</v>
      </c>
      <c r="G77" t="s">
        <v>553</v>
      </c>
      <c r="H77" t="s">
        <v>543</v>
      </c>
      <c r="I77" t="s">
        <v>442</v>
      </c>
      <c r="J77" t="s">
        <v>33</v>
      </c>
      <c r="K77" t="s">
        <v>58</v>
      </c>
      <c r="L77" t="s">
        <v>7</v>
      </c>
      <c r="M77" t="s">
        <v>6</v>
      </c>
      <c r="N77" t="s">
        <v>522</v>
      </c>
      <c r="O77" t="s">
        <v>402</v>
      </c>
    </row>
    <row r="78" spans="1:15" x14ac:dyDescent="0.25">
      <c r="A78" t="s">
        <v>462</v>
      </c>
      <c r="B78" t="s">
        <v>57</v>
      </c>
      <c r="C78" t="s">
        <v>440</v>
      </c>
      <c r="D78" t="s">
        <v>8</v>
      </c>
      <c r="E78">
        <v>2020</v>
      </c>
      <c r="F78" t="s">
        <v>410</v>
      </c>
      <c r="G78" t="s">
        <v>553</v>
      </c>
      <c r="H78" t="s">
        <v>543</v>
      </c>
      <c r="I78" t="s">
        <v>442</v>
      </c>
      <c r="J78" t="s">
        <v>33</v>
      </c>
      <c r="K78" t="s">
        <v>58</v>
      </c>
      <c r="L78" t="s">
        <v>7</v>
      </c>
      <c r="M78" t="s">
        <v>523</v>
      </c>
      <c r="N78" t="s">
        <v>370</v>
      </c>
      <c r="O78" t="s">
        <v>67</v>
      </c>
    </row>
    <row r="79" spans="1:15" x14ac:dyDescent="0.25">
      <c r="A79" t="s">
        <v>462</v>
      </c>
      <c r="B79" t="s">
        <v>57</v>
      </c>
      <c r="C79" t="s">
        <v>440</v>
      </c>
      <c r="D79" t="s">
        <v>8</v>
      </c>
      <c r="E79">
        <v>2020</v>
      </c>
      <c r="F79" t="s">
        <v>410</v>
      </c>
      <c r="G79" t="s">
        <v>553</v>
      </c>
      <c r="H79" t="s">
        <v>543</v>
      </c>
      <c r="I79" t="s">
        <v>442</v>
      </c>
      <c r="J79" t="s">
        <v>33</v>
      </c>
      <c r="K79" t="s">
        <v>58</v>
      </c>
      <c r="L79" t="s">
        <v>7</v>
      </c>
      <c r="M79" t="s">
        <v>523</v>
      </c>
      <c r="N79" t="s">
        <v>522</v>
      </c>
      <c r="O79" t="s">
        <v>402</v>
      </c>
    </row>
    <row r="80" spans="1:15" x14ac:dyDescent="0.25">
      <c r="A80" t="s">
        <v>463</v>
      </c>
      <c r="B80" t="s">
        <v>57</v>
      </c>
      <c r="C80" t="s">
        <v>554</v>
      </c>
      <c r="D80" t="s">
        <v>8</v>
      </c>
      <c r="E80">
        <v>2021</v>
      </c>
      <c r="F80" t="s">
        <v>138</v>
      </c>
      <c r="G80" t="s">
        <v>231</v>
      </c>
      <c r="I80" t="s">
        <v>1373</v>
      </c>
      <c r="J80" t="s">
        <v>33</v>
      </c>
      <c r="K80" t="s">
        <v>58</v>
      </c>
      <c r="L80" t="s">
        <v>7</v>
      </c>
      <c r="M80" t="s">
        <v>18</v>
      </c>
      <c r="N80" t="s">
        <v>531</v>
      </c>
      <c r="O80" t="s">
        <v>32</v>
      </c>
    </row>
    <row r="81" spans="1:15" x14ac:dyDescent="0.25">
      <c r="A81" t="s">
        <v>463</v>
      </c>
      <c r="B81" t="s">
        <v>57</v>
      </c>
      <c r="C81" t="s">
        <v>554</v>
      </c>
      <c r="D81" t="s">
        <v>8</v>
      </c>
      <c r="E81">
        <v>2021</v>
      </c>
      <c r="F81" t="s">
        <v>138</v>
      </c>
      <c r="G81" t="s">
        <v>231</v>
      </c>
      <c r="I81" t="s">
        <v>1373</v>
      </c>
      <c r="J81" t="s">
        <v>33</v>
      </c>
      <c r="K81" t="s">
        <v>58</v>
      </c>
      <c r="L81" t="s">
        <v>7</v>
      </c>
      <c r="M81" t="s">
        <v>6</v>
      </c>
      <c r="N81" t="s">
        <v>531</v>
      </c>
      <c r="O81" t="s">
        <v>32</v>
      </c>
    </row>
    <row r="82" spans="1:15" x14ac:dyDescent="0.25">
      <c r="A82" t="s">
        <v>463</v>
      </c>
      <c r="B82" t="s">
        <v>57</v>
      </c>
      <c r="C82" t="s">
        <v>554</v>
      </c>
      <c r="D82" t="s">
        <v>8</v>
      </c>
      <c r="E82">
        <v>2021</v>
      </c>
      <c r="F82" t="s">
        <v>138</v>
      </c>
      <c r="G82" t="s">
        <v>231</v>
      </c>
      <c r="I82" t="s">
        <v>1373</v>
      </c>
      <c r="J82" t="s">
        <v>33</v>
      </c>
      <c r="K82" t="s">
        <v>58</v>
      </c>
      <c r="L82" t="s">
        <v>7</v>
      </c>
      <c r="M82" t="s">
        <v>523</v>
      </c>
      <c r="N82" t="s">
        <v>531</v>
      </c>
      <c r="O82" t="s">
        <v>32</v>
      </c>
    </row>
    <row r="83" spans="1:15" x14ac:dyDescent="0.25">
      <c r="A83" t="s">
        <v>464</v>
      </c>
      <c r="B83" t="s">
        <v>57</v>
      </c>
      <c r="C83" t="s">
        <v>444</v>
      </c>
      <c r="D83" t="s">
        <v>8</v>
      </c>
      <c r="E83">
        <v>2022</v>
      </c>
      <c r="F83" t="s">
        <v>140</v>
      </c>
      <c r="G83" t="s">
        <v>555</v>
      </c>
      <c r="I83" t="s">
        <v>309</v>
      </c>
      <c r="J83" t="s">
        <v>33</v>
      </c>
      <c r="K83" t="s">
        <v>58</v>
      </c>
      <c r="L83" t="s">
        <v>203</v>
      </c>
      <c r="M83" t="s">
        <v>18</v>
      </c>
      <c r="N83" t="s">
        <v>531</v>
      </c>
      <c r="O83" t="s">
        <v>32</v>
      </c>
    </row>
    <row r="84" spans="1:15" x14ac:dyDescent="0.25">
      <c r="A84" t="s">
        <v>464</v>
      </c>
      <c r="B84" t="s">
        <v>57</v>
      </c>
      <c r="C84" t="s">
        <v>444</v>
      </c>
      <c r="D84" t="s">
        <v>8</v>
      </c>
      <c r="E84">
        <v>2022</v>
      </c>
      <c r="F84" t="s">
        <v>140</v>
      </c>
      <c r="G84" t="s">
        <v>555</v>
      </c>
      <c r="I84" t="s">
        <v>309</v>
      </c>
      <c r="J84" t="s">
        <v>33</v>
      </c>
      <c r="K84" t="s">
        <v>58</v>
      </c>
      <c r="L84" t="s">
        <v>203</v>
      </c>
      <c r="M84" t="s">
        <v>6</v>
      </c>
      <c r="N84" t="s">
        <v>531</v>
      </c>
      <c r="O84" t="s">
        <v>32</v>
      </c>
    </row>
    <row r="85" spans="1:15" x14ac:dyDescent="0.25">
      <c r="A85" t="s">
        <v>464</v>
      </c>
      <c r="B85" t="s">
        <v>57</v>
      </c>
      <c r="C85" t="s">
        <v>444</v>
      </c>
      <c r="D85" t="s">
        <v>8</v>
      </c>
      <c r="E85">
        <v>2022</v>
      </c>
      <c r="F85" t="s">
        <v>140</v>
      </c>
      <c r="G85" t="s">
        <v>555</v>
      </c>
      <c r="I85" t="s">
        <v>309</v>
      </c>
      <c r="J85" t="s">
        <v>33</v>
      </c>
      <c r="K85" t="s">
        <v>58</v>
      </c>
      <c r="L85" t="s">
        <v>203</v>
      </c>
      <c r="M85" t="s">
        <v>523</v>
      </c>
      <c r="N85" t="s">
        <v>531</v>
      </c>
      <c r="O85" t="s">
        <v>32</v>
      </c>
    </row>
    <row r="86" spans="1:15" x14ac:dyDescent="0.25">
      <c r="A86" t="s">
        <v>464</v>
      </c>
      <c r="B86" t="s">
        <v>57</v>
      </c>
      <c r="C86" t="s">
        <v>444</v>
      </c>
      <c r="D86" t="s">
        <v>8</v>
      </c>
      <c r="E86">
        <v>2022</v>
      </c>
      <c r="F86" t="s">
        <v>140</v>
      </c>
      <c r="G86" t="s">
        <v>555</v>
      </c>
      <c r="I86" t="s">
        <v>309</v>
      </c>
      <c r="J86" t="s">
        <v>33</v>
      </c>
      <c r="K86" t="s">
        <v>58</v>
      </c>
      <c r="L86" t="s">
        <v>203</v>
      </c>
      <c r="M86" t="s">
        <v>524</v>
      </c>
      <c r="N86" t="s">
        <v>531</v>
      </c>
      <c r="O86" t="s">
        <v>32</v>
      </c>
    </row>
    <row r="87" spans="1:15" x14ac:dyDescent="0.25">
      <c r="A87" t="s">
        <v>465</v>
      </c>
      <c r="B87" t="s">
        <v>57</v>
      </c>
      <c r="C87" t="s">
        <v>245</v>
      </c>
      <c r="D87" t="s">
        <v>60</v>
      </c>
      <c r="E87">
        <v>1990</v>
      </c>
      <c r="F87" t="s">
        <v>80</v>
      </c>
      <c r="G87" t="s">
        <v>556</v>
      </c>
      <c r="I87" t="s">
        <v>244</v>
      </c>
      <c r="J87" t="s">
        <v>33</v>
      </c>
      <c r="K87" t="s">
        <v>58</v>
      </c>
      <c r="L87" t="s">
        <v>203</v>
      </c>
      <c r="M87" t="s">
        <v>523</v>
      </c>
      <c r="N87" t="s">
        <v>538</v>
      </c>
      <c r="O87" t="s">
        <v>29</v>
      </c>
    </row>
    <row r="88" spans="1:15" x14ac:dyDescent="0.25">
      <c r="A88" t="s">
        <v>465</v>
      </c>
      <c r="B88" t="s">
        <v>57</v>
      </c>
      <c r="C88" t="s">
        <v>245</v>
      </c>
      <c r="D88" t="s">
        <v>60</v>
      </c>
      <c r="E88">
        <v>1990</v>
      </c>
      <c r="F88" t="s">
        <v>80</v>
      </c>
      <c r="G88" t="s">
        <v>556</v>
      </c>
      <c r="I88" t="s">
        <v>244</v>
      </c>
      <c r="J88" t="s">
        <v>33</v>
      </c>
      <c r="K88" t="s">
        <v>58</v>
      </c>
      <c r="L88" t="s">
        <v>203</v>
      </c>
      <c r="M88" t="s">
        <v>524</v>
      </c>
      <c r="N88" t="s">
        <v>538</v>
      </c>
      <c r="O88" t="s">
        <v>29</v>
      </c>
    </row>
    <row r="89" spans="1:15" x14ac:dyDescent="0.25">
      <c r="A89" t="s">
        <v>466</v>
      </c>
      <c r="B89" t="s">
        <v>57</v>
      </c>
      <c r="C89" t="s">
        <v>246</v>
      </c>
      <c r="D89" t="s">
        <v>60</v>
      </c>
      <c r="E89">
        <v>2017</v>
      </c>
      <c r="F89" t="s">
        <v>191</v>
      </c>
      <c r="G89" t="s">
        <v>557</v>
      </c>
      <c r="H89" t="s">
        <v>247</v>
      </c>
      <c r="I89" t="s">
        <v>1373</v>
      </c>
      <c r="J89" t="s">
        <v>33</v>
      </c>
      <c r="K89" t="s">
        <v>58</v>
      </c>
      <c r="L89" t="s">
        <v>558</v>
      </c>
      <c r="M89" t="s">
        <v>524</v>
      </c>
      <c r="N89" t="s">
        <v>538</v>
      </c>
      <c r="O89" t="s">
        <v>29</v>
      </c>
    </row>
    <row r="90" spans="1:15" x14ac:dyDescent="0.25">
      <c r="A90" t="s">
        <v>466</v>
      </c>
      <c r="B90" t="s">
        <v>57</v>
      </c>
      <c r="C90" t="s">
        <v>246</v>
      </c>
      <c r="D90" t="s">
        <v>60</v>
      </c>
      <c r="E90">
        <v>2017</v>
      </c>
      <c r="F90" t="s">
        <v>191</v>
      </c>
      <c r="G90" t="s">
        <v>557</v>
      </c>
      <c r="H90" t="s">
        <v>247</v>
      </c>
      <c r="I90" t="s">
        <v>1373</v>
      </c>
      <c r="J90" t="s">
        <v>33</v>
      </c>
      <c r="K90" t="s">
        <v>58</v>
      </c>
      <c r="L90" t="s">
        <v>558</v>
      </c>
      <c r="M90" t="s">
        <v>18</v>
      </c>
      <c r="N90" t="s">
        <v>538</v>
      </c>
      <c r="O90" t="s">
        <v>29</v>
      </c>
    </row>
    <row r="91" spans="1:15" x14ac:dyDescent="0.25">
      <c r="A91" t="s">
        <v>467</v>
      </c>
      <c r="B91" t="s">
        <v>57</v>
      </c>
      <c r="C91" t="s">
        <v>248</v>
      </c>
      <c r="D91" t="s">
        <v>60</v>
      </c>
      <c r="E91">
        <v>2005</v>
      </c>
      <c r="F91" t="s">
        <v>191</v>
      </c>
      <c r="G91" t="s">
        <v>559</v>
      </c>
      <c r="H91" t="s">
        <v>249</v>
      </c>
      <c r="I91" t="s">
        <v>1373</v>
      </c>
      <c r="J91" t="s">
        <v>33</v>
      </c>
      <c r="K91" t="s">
        <v>58</v>
      </c>
      <c r="L91" t="s">
        <v>558</v>
      </c>
      <c r="M91" t="s">
        <v>523</v>
      </c>
      <c r="N91" t="s">
        <v>538</v>
      </c>
      <c r="O91" t="s">
        <v>29</v>
      </c>
    </row>
    <row r="92" spans="1:15" x14ac:dyDescent="0.25">
      <c r="A92" t="s">
        <v>467</v>
      </c>
      <c r="B92" t="s">
        <v>57</v>
      </c>
      <c r="C92" t="s">
        <v>248</v>
      </c>
      <c r="D92" t="s">
        <v>60</v>
      </c>
      <c r="E92">
        <v>2005</v>
      </c>
      <c r="F92" t="s">
        <v>191</v>
      </c>
      <c r="G92" t="s">
        <v>559</v>
      </c>
      <c r="H92" t="s">
        <v>249</v>
      </c>
      <c r="I92" t="s">
        <v>1373</v>
      </c>
      <c r="J92" t="s">
        <v>33</v>
      </c>
      <c r="K92" t="s">
        <v>58</v>
      </c>
      <c r="L92" t="s">
        <v>558</v>
      </c>
      <c r="M92" t="s">
        <v>18</v>
      </c>
      <c r="N92" t="s">
        <v>538</v>
      </c>
      <c r="O92" t="s">
        <v>29</v>
      </c>
    </row>
    <row r="93" spans="1:15" x14ac:dyDescent="0.25">
      <c r="A93" t="s">
        <v>467</v>
      </c>
      <c r="B93" t="s">
        <v>57</v>
      </c>
      <c r="C93" t="s">
        <v>248</v>
      </c>
      <c r="D93" t="s">
        <v>60</v>
      </c>
      <c r="E93">
        <v>2005</v>
      </c>
      <c r="F93" t="s">
        <v>191</v>
      </c>
      <c r="G93" t="s">
        <v>559</v>
      </c>
      <c r="H93" t="s">
        <v>249</v>
      </c>
      <c r="I93" t="s">
        <v>1373</v>
      </c>
      <c r="J93" t="s">
        <v>33</v>
      </c>
      <c r="K93" t="s">
        <v>58</v>
      </c>
      <c r="L93" t="s">
        <v>558</v>
      </c>
      <c r="M93" t="s">
        <v>524</v>
      </c>
      <c r="N93" t="s">
        <v>538</v>
      </c>
      <c r="O93" t="s">
        <v>29</v>
      </c>
    </row>
    <row r="94" spans="1:15" x14ac:dyDescent="0.25">
      <c r="A94" t="s">
        <v>468</v>
      </c>
      <c r="B94" t="s">
        <v>57</v>
      </c>
      <c r="C94" t="s">
        <v>250</v>
      </c>
      <c r="D94" t="s">
        <v>60</v>
      </c>
      <c r="E94">
        <v>2006</v>
      </c>
      <c r="F94" t="s">
        <v>144</v>
      </c>
      <c r="G94" t="s">
        <v>560</v>
      </c>
      <c r="H94" t="s">
        <v>251</v>
      </c>
      <c r="I94" t="s">
        <v>1373</v>
      </c>
      <c r="J94" t="s">
        <v>33</v>
      </c>
      <c r="K94" t="s">
        <v>58</v>
      </c>
      <c r="L94" t="s">
        <v>7</v>
      </c>
      <c r="M94" t="s">
        <v>523</v>
      </c>
      <c r="N94" t="s">
        <v>538</v>
      </c>
      <c r="O94" t="s">
        <v>29</v>
      </c>
    </row>
    <row r="95" spans="1:15" x14ac:dyDescent="0.25">
      <c r="A95" t="s">
        <v>468</v>
      </c>
      <c r="B95" t="s">
        <v>57</v>
      </c>
      <c r="C95" t="s">
        <v>250</v>
      </c>
      <c r="D95" t="s">
        <v>60</v>
      </c>
      <c r="E95">
        <v>2006</v>
      </c>
      <c r="F95" t="s">
        <v>144</v>
      </c>
      <c r="G95" t="s">
        <v>560</v>
      </c>
      <c r="H95" t="s">
        <v>251</v>
      </c>
      <c r="I95" t="s">
        <v>1373</v>
      </c>
      <c r="J95" t="s">
        <v>33</v>
      </c>
      <c r="K95" t="s">
        <v>58</v>
      </c>
      <c r="L95" t="s">
        <v>7</v>
      </c>
      <c r="M95" t="s">
        <v>18</v>
      </c>
      <c r="N95" t="s">
        <v>538</v>
      </c>
      <c r="O95" t="s">
        <v>29</v>
      </c>
    </row>
    <row r="96" spans="1:15" x14ac:dyDescent="0.25">
      <c r="A96" t="s">
        <v>468</v>
      </c>
      <c r="B96" t="s">
        <v>57</v>
      </c>
      <c r="C96" t="s">
        <v>250</v>
      </c>
      <c r="D96" t="s">
        <v>60</v>
      </c>
      <c r="E96">
        <v>2006</v>
      </c>
      <c r="F96" t="s">
        <v>144</v>
      </c>
      <c r="G96" t="s">
        <v>560</v>
      </c>
      <c r="H96" t="s">
        <v>251</v>
      </c>
      <c r="I96" t="s">
        <v>1373</v>
      </c>
      <c r="J96" t="s">
        <v>33</v>
      </c>
      <c r="K96" t="s">
        <v>58</v>
      </c>
      <c r="L96" t="s">
        <v>7</v>
      </c>
      <c r="M96" t="s">
        <v>524</v>
      </c>
      <c r="N96" t="s">
        <v>538</v>
      </c>
      <c r="O96" t="s">
        <v>29</v>
      </c>
    </row>
    <row r="97" spans="1:15" x14ac:dyDescent="0.25">
      <c r="A97" t="s">
        <v>470</v>
      </c>
      <c r="B97" t="s">
        <v>57</v>
      </c>
      <c r="C97" t="s">
        <v>253</v>
      </c>
      <c r="E97">
        <v>2016</v>
      </c>
      <c r="F97" t="s">
        <v>185</v>
      </c>
      <c r="G97" t="s">
        <v>562</v>
      </c>
      <c r="H97" t="s">
        <v>254</v>
      </c>
      <c r="I97" t="s">
        <v>452</v>
      </c>
      <c r="J97" t="s">
        <v>273</v>
      </c>
      <c r="K97" t="s">
        <v>58</v>
      </c>
      <c r="L97" t="s">
        <v>5</v>
      </c>
      <c r="M97" t="s">
        <v>523</v>
      </c>
      <c r="N97" t="s">
        <v>538</v>
      </c>
      <c r="O97" t="s">
        <v>29</v>
      </c>
    </row>
    <row r="98" spans="1:15" x14ac:dyDescent="0.25">
      <c r="A98" t="s">
        <v>470</v>
      </c>
      <c r="B98" t="s">
        <v>57</v>
      </c>
      <c r="C98" t="s">
        <v>253</v>
      </c>
      <c r="E98">
        <v>2016</v>
      </c>
      <c r="F98" t="s">
        <v>185</v>
      </c>
      <c r="G98" t="s">
        <v>562</v>
      </c>
      <c r="H98" t="s">
        <v>254</v>
      </c>
      <c r="I98" t="s">
        <v>452</v>
      </c>
      <c r="J98" t="s">
        <v>273</v>
      </c>
      <c r="K98" t="s">
        <v>58</v>
      </c>
      <c r="L98" t="s">
        <v>5</v>
      </c>
      <c r="M98" t="s">
        <v>18</v>
      </c>
      <c r="N98" t="s">
        <v>538</v>
      </c>
      <c r="O98" t="s">
        <v>29</v>
      </c>
    </row>
    <row r="99" spans="1:15" x14ac:dyDescent="0.25">
      <c r="A99" t="s">
        <v>471</v>
      </c>
      <c r="B99" t="s">
        <v>57</v>
      </c>
      <c r="C99" t="s">
        <v>453</v>
      </c>
      <c r="D99" t="s">
        <v>8</v>
      </c>
      <c r="E99">
        <v>2009</v>
      </c>
      <c r="F99" t="s">
        <v>183</v>
      </c>
      <c r="G99" t="s">
        <v>454</v>
      </c>
      <c r="H99" t="s">
        <v>255</v>
      </c>
      <c r="I99" t="s">
        <v>1373</v>
      </c>
      <c r="J99" t="s">
        <v>33</v>
      </c>
      <c r="K99" t="s">
        <v>58</v>
      </c>
      <c r="L99" t="s">
        <v>558</v>
      </c>
      <c r="M99" t="s">
        <v>524</v>
      </c>
      <c r="N99" t="s">
        <v>538</v>
      </c>
      <c r="O99" t="s">
        <v>29</v>
      </c>
    </row>
    <row r="100" spans="1:15" x14ac:dyDescent="0.25">
      <c r="A100" t="s">
        <v>471</v>
      </c>
      <c r="B100" t="s">
        <v>57</v>
      </c>
      <c r="C100" t="s">
        <v>453</v>
      </c>
      <c r="D100" t="s">
        <v>8</v>
      </c>
      <c r="E100">
        <v>2009</v>
      </c>
      <c r="F100" t="s">
        <v>183</v>
      </c>
      <c r="G100" t="s">
        <v>454</v>
      </c>
      <c r="H100" t="s">
        <v>255</v>
      </c>
      <c r="I100" t="s">
        <v>1373</v>
      </c>
      <c r="J100" t="s">
        <v>33</v>
      </c>
      <c r="K100" t="s">
        <v>58</v>
      </c>
      <c r="L100" t="s">
        <v>558</v>
      </c>
      <c r="M100" t="s">
        <v>523</v>
      </c>
      <c r="N100" t="s">
        <v>538</v>
      </c>
      <c r="O100" t="s">
        <v>29</v>
      </c>
    </row>
    <row r="101" spans="1:15" x14ac:dyDescent="0.25">
      <c r="A101" t="s">
        <v>471</v>
      </c>
      <c r="B101" t="s">
        <v>57</v>
      </c>
      <c r="C101" t="s">
        <v>453</v>
      </c>
      <c r="D101" t="s">
        <v>8</v>
      </c>
      <c r="E101">
        <v>2009</v>
      </c>
      <c r="F101" t="s">
        <v>183</v>
      </c>
      <c r="G101" t="s">
        <v>454</v>
      </c>
      <c r="H101" t="s">
        <v>255</v>
      </c>
      <c r="I101" t="s">
        <v>1373</v>
      </c>
      <c r="J101" t="s">
        <v>33</v>
      </c>
      <c r="K101" t="s">
        <v>58</v>
      </c>
      <c r="L101" t="s">
        <v>558</v>
      </c>
      <c r="M101" t="s">
        <v>18</v>
      </c>
      <c r="N101" t="s">
        <v>538</v>
      </c>
      <c r="O101" t="s">
        <v>29</v>
      </c>
    </row>
    <row r="102" spans="1:15" x14ac:dyDescent="0.25">
      <c r="A102" t="s">
        <v>472</v>
      </c>
      <c r="B102" t="s">
        <v>57</v>
      </c>
      <c r="C102" t="s">
        <v>413</v>
      </c>
      <c r="D102" t="s">
        <v>8</v>
      </c>
      <c r="E102">
        <v>2020</v>
      </c>
      <c r="F102" t="s">
        <v>148</v>
      </c>
      <c r="G102" t="s">
        <v>414</v>
      </c>
      <c r="H102" t="s">
        <v>426</v>
      </c>
      <c r="I102" t="s">
        <v>1373</v>
      </c>
      <c r="J102" t="s">
        <v>33</v>
      </c>
      <c r="K102" t="s">
        <v>58</v>
      </c>
      <c r="L102" t="s">
        <v>7</v>
      </c>
      <c r="M102" t="s">
        <v>527</v>
      </c>
      <c r="N102" t="s">
        <v>370</v>
      </c>
      <c r="O102" t="s">
        <v>67</v>
      </c>
    </row>
    <row r="103" spans="1:15" x14ac:dyDescent="0.25">
      <c r="A103" t="s">
        <v>473</v>
      </c>
      <c r="B103" t="s">
        <v>57</v>
      </c>
      <c r="C103" t="s">
        <v>434</v>
      </c>
      <c r="D103" t="s">
        <v>8</v>
      </c>
      <c r="E103">
        <v>2008</v>
      </c>
      <c r="F103" t="s">
        <v>148</v>
      </c>
      <c r="G103" t="s">
        <v>563</v>
      </c>
      <c r="H103" t="s">
        <v>426</v>
      </c>
      <c r="J103" t="s">
        <v>33</v>
      </c>
      <c r="K103" t="s">
        <v>58</v>
      </c>
      <c r="L103" t="s">
        <v>558</v>
      </c>
      <c r="M103" t="s">
        <v>524</v>
      </c>
      <c r="N103" t="s">
        <v>529</v>
      </c>
      <c r="O103" t="s">
        <v>386</v>
      </c>
    </row>
    <row r="104" spans="1:15" x14ac:dyDescent="0.25">
      <c r="A104" t="s">
        <v>474</v>
      </c>
      <c r="B104" t="s">
        <v>57</v>
      </c>
      <c r="C104" t="s">
        <v>415</v>
      </c>
      <c r="D104" t="s">
        <v>8</v>
      </c>
      <c r="E104">
        <v>1995</v>
      </c>
      <c r="F104" t="s">
        <v>416</v>
      </c>
      <c r="G104" t="s">
        <v>564</v>
      </c>
      <c r="H104" t="s">
        <v>427</v>
      </c>
      <c r="I104" t="s">
        <v>1373</v>
      </c>
      <c r="J104" t="s">
        <v>33</v>
      </c>
      <c r="K104" t="s">
        <v>58</v>
      </c>
      <c r="L104" t="s">
        <v>7</v>
      </c>
      <c r="M104" t="s">
        <v>523</v>
      </c>
      <c r="N104" t="s">
        <v>538</v>
      </c>
      <c r="O104" t="s">
        <v>29</v>
      </c>
    </row>
    <row r="105" spans="1:15" x14ac:dyDescent="0.25">
      <c r="A105" t="s">
        <v>474</v>
      </c>
      <c r="B105" t="s">
        <v>57</v>
      </c>
      <c r="C105" t="s">
        <v>415</v>
      </c>
      <c r="D105" t="s">
        <v>8</v>
      </c>
      <c r="E105">
        <v>1995</v>
      </c>
      <c r="F105" t="s">
        <v>416</v>
      </c>
      <c r="G105" t="s">
        <v>564</v>
      </c>
      <c r="H105" t="s">
        <v>427</v>
      </c>
      <c r="I105" t="s">
        <v>1373</v>
      </c>
      <c r="J105" t="s">
        <v>33</v>
      </c>
      <c r="K105" t="s">
        <v>58</v>
      </c>
      <c r="L105" t="s">
        <v>7</v>
      </c>
      <c r="M105" t="s">
        <v>523</v>
      </c>
      <c r="N105" t="s">
        <v>370</v>
      </c>
      <c r="O105" t="s">
        <v>67</v>
      </c>
    </row>
    <row r="106" spans="1:15" x14ac:dyDescent="0.25">
      <c r="A106" t="s">
        <v>475</v>
      </c>
      <c r="B106" t="s">
        <v>57</v>
      </c>
      <c r="C106" t="s">
        <v>417</v>
      </c>
      <c r="D106" t="s">
        <v>8</v>
      </c>
      <c r="E106">
        <v>2021</v>
      </c>
      <c r="F106" t="s">
        <v>73</v>
      </c>
      <c r="G106" t="s">
        <v>565</v>
      </c>
      <c r="H106" t="s">
        <v>298</v>
      </c>
      <c r="I106" t="s">
        <v>1373</v>
      </c>
      <c r="J106" t="s">
        <v>33</v>
      </c>
      <c r="K106" t="s">
        <v>58</v>
      </c>
      <c r="L106" t="s">
        <v>7</v>
      </c>
      <c r="M106" t="s">
        <v>523</v>
      </c>
      <c r="N106" t="s">
        <v>370</v>
      </c>
      <c r="O106" t="s">
        <v>67</v>
      </c>
    </row>
    <row r="107" spans="1:15" x14ac:dyDescent="0.25">
      <c r="A107" t="s">
        <v>475</v>
      </c>
      <c r="B107" t="s">
        <v>57</v>
      </c>
      <c r="C107" t="s">
        <v>417</v>
      </c>
      <c r="D107" t="s">
        <v>8</v>
      </c>
      <c r="E107">
        <v>2021</v>
      </c>
      <c r="F107" t="s">
        <v>73</v>
      </c>
      <c r="G107" t="s">
        <v>565</v>
      </c>
      <c r="H107" t="s">
        <v>298</v>
      </c>
      <c r="I107" t="s">
        <v>1373</v>
      </c>
      <c r="J107" t="s">
        <v>33</v>
      </c>
      <c r="K107" t="s">
        <v>58</v>
      </c>
      <c r="L107" t="s">
        <v>7</v>
      </c>
      <c r="M107" t="s">
        <v>524</v>
      </c>
      <c r="N107" t="s">
        <v>370</v>
      </c>
      <c r="O107" t="s">
        <v>67</v>
      </c>
    </row>
    <row r="108" spans="1:15" x14ac:dyDescent="0.25">
      <c r="A108" t="s">
        <v>476</v>
      </c>
      <c r="B108" t="s">
        <v>57</v>
      </c>
      <c r="C108" t="s">
        <v>237</v>
      </c>
      <c r="D108" t="s">
        <v>8</v>
      </c>
      <c r="E108">
        <v>2018</v>
      </c>
      <c r="F108" t="s">
        <v>128</v>
      </c>
      <c r="G108" t="s">
        <v>566</v>
      </c>
      <c r="H108" t="s">
        <v>238</v>
      </c>
      <c r="I108" t="s">
        <v>1373</v>
      </c>
      <c r="J108" t="s">
        <v>33</v>
      </c>
      <c r="K108" t="s">
        <v>58</v>
      </c>
      <c r="L108" t="s">
        <v>7</v>
      </c>
      <c r="M108" t="s">
        <v>524</v>
      </c>
      <c r="N108" t="s">
        <v>522</v>
      </c>
      <c r="O108" t="s">
        <v>402</v>
      </c>
    </row>
    <row r="109" spans="1:15" x14ac:dyDescent="0.25">
      <c r="A109" t="s">
        <v>476</v>
      </c>
      <c r="B109" t="s">
        <v>57</v>
      </c>
      <c r="C109" t="s">
        <v>237</v>
      </c>
      <c r="D109" t="s">
        <v>8</v>
      </c>
      <c r="E109">
        <v>2018</v>
      </c>
      <c r="F109" t="s">
        <v>128</v>
      </c>
      <c r="G109" t="s">
        <v>566</v>
      </c>
      <c r="H109" t="s">
        <v>238</v>
      </c>
      <c r="I109" t="s">
        <v>1373</v>
      </c>
      <c r="J109" t="s">
        <v>33</v>
      </c>
      <c r="K109" t="s">
        <v>58</v>
      </c>
      <c r="L109" t="s">
        <v>7</v>
      </c>
      <c r="M109" t="s">
        <v>18</v>
      </c>
      <c r="N109" t="s">
        <v>522</v>
      </c>
      <c r="O109" t="s">
        <v>402</v>
      </c>
    </row>
    <row r="110" spans="1:15" x14ac:dyDescent="0.25">
      <c r="A110" t="s">
        <v>506</v>
      </c>
      <c r="B110" t="s">
        <v>57</v>
      </c>
      <c r="C110" t="s">
        <v>241</v>
      </c>
      <c r="D110" t="s">
        <v>8</v>
      </c>
      <c r="E110">
        <v>2023</v>
      </c>
      <c r="F110" t="s">
        <v>74</v>
      </c>
      <c r="G110" t="s">
        <v>567</v>
      </c>
      <c r="I110" t="s">
        <v>478</v>
      </c>
      <c r="J110" t="s">
        <v>273</v>
      </c>
      <c r="K110" t="s">
        <v>568</v>
      </c>
      <c r="L110" t="s">
        <v>7</v>
      </c>
      <c r="M110" t="s">
        <v>523</v>
      </c>
      <c r="N110" t="s">
        <v>370</v>
      </c>
      <c r="O110" t="s">
        <v>67</v>
      </c>
    </row>
    <row r="111" spans="1:15" x14ac:dyDescent="0.25">
      <c r="A111" t="s">
        <v>506</v>
      </c>
      <c r="B111" t="s">
        <v>57</v>
      </c>
      <c r="C111" t="s">
        <v>241</v>
      </c>
      <c r="D111" t="s">
        <v>8</v>
      </c>
      <c r="E111">
        <v>2023</v>
      </c>
      <c r="F111" t="s">
        <v>74</v>
      </c>
      <c r="G111" t="s">
        <v>567</v>
      </c>
      <c r="I111" t="s">
        <v>478</v>
      </c>
      <c r="J111" t="s">
        <v>273</v>
      </c>
      <c r="K111" t="s">
        <v>568</v>
      </c>
      <c r="L111" t="s">
        <v>7</v>
      </c>
      <c r="M111" t="s">
        <v>523</v>
      </c>
      <c r="N111" t="s">
        <v>538</v>
      </c>
      <c r="O111" t="s">
        <v>29</v>
      </c>
    </row>
    <row r="112" spans="1:15" x14ac:dyDescent="0.25">
      <c r="A112" t="s">
        <v>506</v>
      </c>
      <c r="B112" t="s">
        <v>57</v>
      </c>
      <c r="C112" t="s">
        <v>241</v>
      </c>
      <c r="D112" t="s">
        <v>8</v>
      </c>
      <c r="E112">
        <v>2023</v>
      </c>
      <c r="F112" t="s">
        <v>74</v>
      </c>
      <c r="G112" t="s">
        <v>567</v>
      </c>
      <c r="I112" t="s">
        <v>478</v>
      </c>
      <c r="J112" t="s">
        <v>273</v>
      </c>
      <c r="K112" t="s">
        <v>568</v>
      </c>
      <c r="L112" t="s">
        <v>7</v>
      </c>
      <c r="M112" t="s">
        <v>524</v>
      </c>
      <c r="N112" t="s">
        <v>370</v>
      </c>
      <c r="O112" t="s">
        <v>67</v>
      </c>
    </row>
    <row r="113" spans="1:15" x14ac:dyDescent="0.25">
      <c r="A113" t="s">
        <v>506</v>
      </c>
      <c r="B113" t="s">
        <v>57</v>
      </c>
      <c r="C113" t="s">
        <v>241</v>
      </c>
      <c r="D113" t="s">
        <v>8</v>
      </c>
      <c r="E113">
        <v>2023</v>
      </c>
      <c r="F113" t="s">
        <v>74</v>
      </c>
      <c r="G113" t="s">
        <v>567</v>
      </c>
      <c r="I113" t="s">
        <v>478</v>
      </c>
      <c r="J113" t="s">
        <v>273</v>
      </c>
      <c r="K113" t="s">
        <v>568</v>
      </c>
      <c r="L113" t="s">
        <v>7</v>
      </c>
      <c r="M113" t="s">
        <v>524</v>
      </c>
      <c r="N113" t="s">
        <v>538</v>
      </c>
      <c r="O113" t="s">
        <v>29</v>
      </c>
    </row>
    <row r="114" spans="1:15" x14ac:dyDescent="0.25">
      <c r="A114" t="s">
        <v>506</v>
      </c>
      <c r="B114" t="s">
        <v>57</v>
      </c>
      <c r="C114" t="s">
        <v>241</v>
      </c>
      <c r="D114" t="s">
        <v>8</v>
      </c>
      <c r="E114">
        <v>2023</v>
      </c>
      <c r="F114" t="s">
        <v>74</v>
      </c>
      <c r="G114" t="s">
        <v>567</v>
      </c>
      <c r="I114" t="s">
        <v>478</v>
      </c>
      <c r="J114" t="s">
        <v>273</v>
      </c>
      <c r="K114" t="s">
        <v>568</v>
      </c>
      <c r="L114" t="s">
        <v>7</v>
      </c>
      <c r="M114" t="s">
        <v>18</v>
      </c>
      <c r="N114" t="s">
        <v>370</v>
      </c>
      <c r="O114" t="s">
        <v>67</v>
      </c>
    </row>
    <row r="115" spans="1:15" x14ac:dyDescent="0.25">
      <c r="A115" t="s">
        <v>506</v>
      </c>
      <c r="B115" t="s">
        <v>57</v>
      </c>
      <c r="C115" t="s">
        <v>241</v>
      </c>
      <c r="D115" t="s">
        <v>8</v>
      </c>
      <c r="E115">
        <v>2023</v>
      </c>
      <c r="F115" t="s">
        <v>74</v>
      </c>
      <c r="G115" t="s">
        <v>567</v>
      </c>
      <c r="I115" t="s">
        <v>478</v>
      </c>
      <c r="J115" t="s">
        <v>273</v>
      </c>
      <c r="K115" t="s">
        <v>568</v>
      </c>
      <c r="L115" t="s">
        <v>7</v>
      </c>
      <c r="M115" t="s">
        <v>18</v>
      </c>
      <c r="N115" t="s">
        <v>538</v>
      </c>
      <c r="O115" t="s">
        <v>29</v>
      </c>
    </row>
    <row r="116" spans="1:15" x14ac:dyDescent="0.25">
      <c r="A116" t="s">
        <v>507</v>
      </c>
      <c r="B116" t="s">
        <v>57</v>
      </c>
      <c r="C116" t="s">
        <v>479</v>
      </c>
      <c r="D116" t="s">
        <v>8</v>
      </c>
      <c r="E116">
        <v>2022</v>
      </c>
      <c r="F116" t="s">
        <v>174</v>
      </c>
      <c r="G116" t="s">
        <v>480</v>
      </c>
      <c r="I116" t="s">
        <v>482</v>
      </c>
      <c r="J116" t="s">
        <v>33</v>
      </c>
      <c r="K116" t="s">
        <v>58</v>
      </c>
      <c r="L116" t="s">
        <v>7</v>
      </c>
      <c r="M116" t="s">
        <v>18</v>
      </c>
      <c r="N116" t="s">
        <v>522</v>
      </c>
      <c r="O116" t="s">
        <v>402</v>
      </c>
    </row>
    <row r="117" spans="1:15" x14ac:dyDescent="0.25">
      <c r="A117" t="s">
        <v>507</v>
      </c>
      <c r="B117" t="s">
        <v>57</v>
      </c>
      <c r="C117" t="s">
        <v>479</v>
      </c>
      <c r="D117" t="s">
        <v>8</v>
      </c>
      <c r="E117">
        <v>2022</v>
      </c>
      <c r="F117" t="s">
        <v>174</v>
      </c>
      <c r="G117" t="s">
        <v>480</v>
      </c>
      <c r="I117" t="s">
        <v>482</v>
      </c>
      <c r="J117" t="s">
        <v>33</v>
      </c>
      <c r="K117" t="s">
        <v>58</v>
      </c>
      <c r="L117" t="s">
        <v>7</v>
      </c>
      <c r="M117" t="s">
        <v>18</v>
      </c>
      <c r="N117" t="s">
        <v>370</v>
      </c>
      <c r="O117" t="s">
        <v>67</v>
      </c>
    </row>
    <row r="118" spans="1:15" x14ac:dyDescent="0.25">
      <c r="A118" t="s">
        <v>508</v>
      </c>
      <c r="B118" t="s">
        <v>57</v>
      </c>
      <c r="C118" t="s">
        <v>483</v>
      </c>
      <c r="D118" t="s">
        <v>8</v>
      </c>
      <c r="E118">
        <v>2021</v>
      </c>
      <c r="F118" t="s">
        <v>76</v>
      </c>
      <c r="G118" t="s">
        <v>484</v>
      </c>
      <c r="I118" t="s">
        <v>486</v>
      </c>
      <c r="J118" t="s">
        <v>33</v>
      </c>
      <c r="K118" t="s">
        <v>58</v>
      </c>
      <c r="L118" t="s">
        <v>7</v>
      </c>
      <c r="M118" t="s">
        <v>524</v>
      </c>
      <c r="N118" t="s">
        <v>531</v>
      </c>
      <c r="O118" t="s">
        <v>32</v>
      </c>
    </row>
    <row r="119" spans="1:15" x14ac:dyDescent="0.25">
      <c r="A119" t="s">
        <v>508</v>
      </c>
      <c r="B119" t="s">
        <v>57</v>
      </c>
      <c r="C119" t="s">
        <v>483</v>
      </c>
      <c r="D119" t="s">
        <v>8</v>
      </c>
      <c r="E119">
        <v>2021</v>
      </c>
      <c r="F119" t="s">
        <v>76</v>
      </c>
      <c r="G119" t="s">
        <v>484</v>
      </c>
      <c r="I119" t="s">
        <v>486</v>
      </c>
      <c r="J119" t="s">
        <v>33</v>
      </c>
      <c r="K119" t="s">
        <v>58</v>
      </c>
      <c r="L119" t="s">
        <v>7</v>
      </c>
      <c r="M119" t="s">
        <v>523</v>
      </c>
      <c r="N119" t="s">
        <v>531</v>
      </c>
      <c r="O119" t="s">
        <v>32</v>
      </c>
    </row>
    <row r="120" spans="1:15" x14ac:dyDescent="0.25">
      <c r="A120" t="s">
        <v>509</v>
      </c>
      <c r="B120" t="s">
        <v>57</v>
      </c>
      <c r="C120" t="s">
        <v>487</v>
      </c>
      <c r="D120" t="s">
        <v>439</v>
      </c>
      <c r="E120">
        <v>2021</v>
      </c>
      <c r="F120" t="s">
        <v>76</v>
      </c>
      <c r="G120" t="s">
        <v>488</v>
      </c>
      <c r="I120" t="s">
        <v>490</v>
      </c>
      <c r="J120" t="s">
        <v>33</v>
      </c>
      <c r="K120" t="s">
        <v>58</v>
      </c>
      <c r="L120" t="s">
        <v>7</v>
      </c>
      <c r="M120" t="s">
        <v>524</v>
      </c>
      <c r="N120" t="s">
        <v>522</v>
      </c>
      <c r="O120" t="s">
        <v>402</v>
      </c>
    </row>
    <row r="121" spans="1:15" x14ac:dyDescent="0.25">
      <c r="A121" t="s">
        <v>509</v>
      </c>
      <c r="B121" t="s">
        <v>57</v>
      </c>
      <c r="C121" t="s">
        <v>487</v>
      </c>
      <c r="D121" t="s">
        <v>439</v>
      </c>
      <c r="E121">
        <v>2021</v>
      </c>
      <c r="F121" t="s">
        <v>76</v>
      </c>
      <c r="G121" t="s">
        <v>488</v>
      </c>
      <c r="I121" t="s">
        <v>490</v>
      </c>
      <c r="J121" t="s">
        <v>33</v>
      </c>
      <c r="K121" t="s">
        <v>58</v>
      </c>
      <c r="L121" t="s">
        <v>7</v>
      </c>
      <c r="M121" t="s">
        <v>523</v>
      </c>
      <c r="N121" t="s">
        <v>522</v>
      </c>
      <c r="O121" t="s">
        <v>402</v>
      </c>
    </row>
    <row r="122" spans="1:15" x14ac:dyDescent="0.25">
      <c r="A122" t="s">
        <v>510</v>
      </c>
      <c r="B122" t="s">
        <v>57</v>
      </c>
      <c r="C122" t="s">
        <v>492</v>
      </c>
      <c r="D122" t="s">
        <v>8</v>
      </c>
      <c r="E122">
        <v>2017</v>
      </c>
      <c r="F122" t="s">
        <v>493</v>
      </c>
      <c r="G122" t="s">
        <v>570</v>
      </c>
      <c r="I122" t="s">
        <v>495</v>
      </c>
      <c r="J122" t="s">
        <v>33</v>
      </c>
      <c r="K122" t="s">
        <v>58</v>
      </c>
      <c r="L122" t="s">
        <v>203</v>
      </c>
      <c r="M122" t="s">
        <v>527</v>
      </c>
      <c r="N122" t="s">
        <v>538</v>
      </c>
      <c r="O122" t="s">
        <v>29</v>
      </c>
    </row>
    <row r="123" spans="1:15" x14ac:dyDescent="0.25">
      <c r="A123" t="s">
        <v>510</v>
      </c>
      <c r="B123" t="s">
        <v>57</v>
      </c>
      <c r="C123" t="s">
        <v>492</v>
      </c>
      <c r="D123" t="s">
        <v>8</v>
      </c>
      <c r="E123">
        <v>2017</v>
      </c>
      <c r="F123" t="s">
        <v>493</v>
      </c>
      <c r="G123" t="s">
        <v>570</v>
      </c>
      <c r="I123" t="s">
        <v>495</v>
      </c>
      <c r="J123" t="s">
        <v>33</v>
      </c>
      <c r="K123" t="s">
        <v>58</v>
      </c>
      <c r="L123" t="s">
        <v>203</v>
      </c>
      <c r="M123" t="s">
        <v>527</v>
      </c>
      <c r="N123" t="s">
        <v>370</v>
      </c>
      <c r="O123" t="s">
        <v>67</v>
      </c>
    </row>
    <row r="124" spans="1:15" x14ac:dyDescent="0.25">
      <c r="A124" t="s">
        <v>511</v>
      </c>
      <c r="B124" t="s">
        <v>57</v>
      </c>
      <c r="C124" t="s">
        <v>496</v>
      </c>
      <c r="D124" t="s">
        <v>8</v>
      </c>
      <c r="E124">
        <v>2022</v>
      </c>
      <c r="F124" t="s">
        <v>185</v>
      </c>
      <c r="G124" t="s">
        <v>571</v>
      </c>
      <c r="I124" t="s">
        <v>1373</v>
      </c>
      <c r="J124" t="s">
        <v>33</v>
      </c>
      <c r="K124" t="s">
        <v>58</v>
      </c>
      <c r="L124" t="s">
        <v>7</v>
      </c>
      <c r="M124" t="s">
        <v>523</v>
      </c>
      <c r="N124" t="s">
        <v>529</v>
      </c>
      <c r="O124" t="s">
        <v>386</v>
      </c>
    </row>
    <row r="125" spans="1:15" x14ac:dyDescent="0.25">
      <c r="A125" t="s">
        <v>511</v>
      </c>
      <c r="B125" t="s">
        <v>57</v>
      </c>
      <c r="C125" t="s">
        <v>496</v>
      </c>
      <c r="D125" t="s">
        <v>8</v>
      </c>
      <c r="E125">
        <v>2022</v>
      </c>
      <c r="F125" t="s">
        <v>185</v>
      </c>
      <c r="G125" t="s">
        <v>571</v>
      </c>
      <c r="I125" t="s">
        <v>1373</v>
      </c>
      <c r="J125" t="s">
        <v>33</v>
      </c>
      <c r="K125" t="s">
        <v>58</v>
      </c>
      <c r="L125" t="s">
        <v>7</v>
      </c>
      <c r="M125" t="s">
        <v>524</v>
      </c>
      <c r="N125" t="s">
        <v>529</v>
      </c>
      <c r="O125" t="s">
        <v>386</v>
      </c>
    </row>
    <row r="126" spans="1:15" x14ac:dyDescent="0.25">
      <c r="A126" t="s">
        <v>512</v>
      </c>
      <c r="B126" t="s">
        <v>57</v>
      </c>
      <c r="C126" t="s">
        <v>233</v>
      </c>
      <c r="D126" t="s">
        <v>60</v>
      </c>
      <c r="E126">
        <v>2006</v>
      </c>
      <c r="F126" t="s">
        <v>142</v>
      </c>
      <c r="G126" t="s">
        <v>216</v>
      </c>
      <c r="I126" t="s">
        <v>1373</v>
      </c>
      <c r="J126" t="s">
        <v>33</v>
      </c>
      <c r="K126" t="s">
        <v>58</v>
      </c>
      <c r="L126" t="s">
        <v>7</v>
      </c>
      <c r="M126" t="s">
        <v>524</v>
      </c>
      <c r="N126" t="s">
        <v>522</v>
      </c>
      <c r="O126" t="s">
        <v>402</v>
      </c>
    </row>
    <row r="127" spans="1:15" x14ac:dyDescent="0.25">
      <c r="A127" t="s">
        <v>512</v>
      </c>
      <c r="B127" t="s">
        <v>57</v>
      </c>
      <c r="C127" t="s">
        <v>233</v>
      </c>
      <c r="D127" t="s">
        <v>60</v>
      </c>
      <c r="E127">
        <v>2006</v>
      </c>
      <c r="F127" t="s">
        <v>142</v>
      </c>
      <c r="G127" t="s">
        <v>216</v>
      </c>
      <c r="I127" t="s">
        <v>1373</v>
      </c>
      <c r="J127" t="s">
        <v>33</v>
      </c>
      <c r="K127" t="s">
        <v>58</v>
      </c>
      <c r="L127" t="s">
        <v>7</v>
      </c>
      <c r="M127" t="s">
        <v>18</v>
      </c>
      <c r="N127" t="s">
        <v>522</v>
      </c>
      <c r="O127" t="s">
        <v>402</v>
      </c>
    </row>
    <row r="128" spans="1:15" x14ac:dyDescent="0.25">
      <c r="A128" t="s">
        <v>513</v>
      </c>
      <c r="B128" t="s">
        <v>57</v>
      </c>
      <c r="C128" t="s">
        <v>217</v>
      </c>
      <c r="D128" t="s">
        <v>8</v>
      </c>
      <c r="E128">
        <v>2023</v>
      </c>
      <c r="F128" t="s">
        <v>142</v>
      </c>
      <c r="G128" t="s">
        <v>497</v>
      </c>
      <c r="I128" t="s">
        <v>1373</v>
      </c>
      <c r="J128" t="s">
        <v>33</v>
      </c>
      <c r="K128" t="s">
        <v>568</v>
      </c>
      <c r="L128" t="s">
        <v>7</v>
      </c>
      <c r="M128" t="s">
        <v>524</v>
      </c>
      <c r="N128" t="s">
        <v>529</v>
      </c>
      <c r="O128" t="s">
        <v>386</v>
      </c>
    </row>
    <row r="129" spans="1:15" x14ac:dyDescent="0.25">
      <c r="A129" t="s">
        <v>513</v>
      </c>
      <c r="B129" t="s">
        <v>57</v>
      </c>
      <c r="C129" t="s">
        <v>217</v>
      </c>
      <c r="D129" t="s">
        <v>8</v>
      </c>
      <c r="E129">
        <v>2023</v>
      </c>
      <c r="F129" t="s">
        <v>142</v>
      </c>
      <c r="G129" t="s">
        <v>497</v>
      </c>
      <c r="I129" t="s">
        <v>1373</v>
      </c>
      <c r="J129" t="s">
        <v>33</v>
      </c>
      <c r="K129" t="s">
        <v>568</v>
      </c>
      <c r="L129" t="s">
        <v>7</v>
      </c>
      <c r="M129" t="s">
        <v>523</v>
      </c>
      <c r="N129" t="s">
        <v>529</v>
      </c>
      <c r="O129" t="s">
        <v>386</v>
      </c>
    </row>
    <row r="130" spans="1:15" x14ac:dyDescent="0.25">
      <c r="A130" t="s">
        <v>513</v>
      </c>
      <c r="B130" t="s">
        <v>57</v>
      </c>
      <c r="C130" t="s">
        <v>217</v>
      </c>
      <c r="D130" t="s">
        <v>8</v>
      </c>
      <c r="E130">
        <v>2023</v>
      </c>
      <c r="F130" t="s">
        <v>142</v>
      </c>
      <c r="G130" t="s">
        <v>497</v>
      </c>
      <c r="I130" t="s">
        <v>1373</v>
      </c>
      <c r="J130" t="s">
        <v>33</v>
      </c>
      <c r="K130" t="s">
        <v>568</v>
      </c>
      <c r="L130" t="s">
        <v>7</v>
      </c>
      <c r="M130" t="s">
        <v>18</v>
      </c>
      <c r="N130" t="s">
        <v>529</v>
      </c>
      <c r="O130" t="s">
        <v>386</v>
      </c>
    </row>
    <row r="131" spans="1:15" x14ac:dyDescent="0.25">
      <c r="A131" t="s">
        <v>514</v>
      </c>
      <c r="B131" t="s">
        <v>57</v>
      </c>
      <c r="C131" t="s">
        <v>573</v>
      </c>
      <c r="D131" t="s">
        <v>8</v>
      </c>
      <c r="E131">
        <v>2022</v>
      </c>
      <c r="F131" t="s">
        <v>148</v>
      </c>
      <c r="G131" t="s">
        <v>574</v>
      </c>
      <c r="I131" t="s">
        <v>428</v>
      </c>
      <c r="J131" t="s">
        <v>33</v>
      </c>
      <c r="K131" t="s">
        <v>58</v>
      </c>
      <c r="L131" t="s">
        <v>558</v>
      </c>
      <c r="M131" t="s">
        <v>523</v>
      </c>
      <c r="N131" t="s">
        <v>538</v>
      </c>
      <c r="O131" t="s">
        <v>29</v>
      </c>
    </row>
    <row r="132" spans="1:15" x14ac:dyDescent="0.25">
      <c r="A132" t="s">
        <v>514</v>
      </c>
      <c r="B132" t="s">
        <v>57</v>
      </c>
      <c r="C132" t="s">
        <v>573</v>
      </c>
      <c r="D132" t="s">
        <v>8</v>
      </c>
      <c r="E132">
        <v>2022</v>
      </c>
      <c r="F132" t="s">
        <v>148</v>
      </c>
      <c r="G132" t="s">
        <v>574</v>
      </c>
      <c r="I132" t="s">
        <v>428</v>
      </c>
      <c r="J132" t="s">
        <v>33</v>
      </c>
      <c r="K132" t="s">
        <v>58</v>
      </c>
      <c r="L132" t="s">
        <v>558</v>
      </c>
      <c r="M132" t="s">
        <v>523</v>
      </c>
      <c r="N132" t="s">
        <v>370</v>
      </c>
      <c r="O132" t="s">
        <v>67</v>
      </c>
    </row>
    <row r="133" spans="1:15" x14ac:dyDescent="0.25">
      <c r="A133" t="s">
        <v>514</v>
      </c>
      <c r="B133" t="s">
        <v>57</v>
      </c>
      <c r="C133" t="s">
        <v>573</v>
      </c>
      <c r="D133" t="s">
        <v>8</v>
      </c>
      <c r="E133">
        <v>2022</v>
      </c>
      <c r="F133" t="s">
        <v>148</v>
      </c>
      <c r="G133" t="s">
        <v>574</v>
      </c>
      <c r="I133" t="s">
        <v>428</v>
      </c>
      <c r="J133" t="s">
        <v>33</v>
      </c>
      <c r="K133" t="s">
        <v>58</v>
      </c>
      <c r="L133" t="s">
        <v>558</v>
      </c>
      <c r="M133" t="s">
        <v>524</v>
      </c>
      <c r="N133" t="s">
        <v>538</v>
      </c>
      <c r="O133" t="s">
        <v>29</v>
      </c>
    </row>
    <row r="134" spans="1:15" x14ac:dyDescent="0.25">
      <c r="A134" t="s">
        <v>514</v>
      </c>
      <c r="B134" t="s">
        <v>57</v>
      </c>
      <c r="C134" t="s">
        <v>573</v>
      </c>
      <c r="D134" t="s">
        <v>8</v>
      </c>
      <c r="E134">
        <v>2022</v>
      </c>
      <c r="F134" t="s">
        <v>148</v>
      </c>
      <c r="G134" t="s">
        <v>574</v>
      </c>
      <c r="I134" t="s">
        <v>428</v>
      </c>
      <c r="J134" t="s">
        <v>33</v>
      </c>
      <c r="K134" t="s">
        <v>58</v>
      </c>
      <c r="L134" t="s">
        <v>558</v>
      </c>
      <c r="M134" t="s">
        <v>524</v>
      </c>
      <c r="N134" t="s">
        <v>370</v>
      </c>
      <c r="O134" t="s">
        <v>67</v>
      </c>
    </row>
    <row r="135" spans="1:15" x14ac:dyDescent="0.25">
      <c r="A135" t="s">
        <v>515</v>
      </c>
      <c r="B135" t="s">
        <v>57</v>
      </c>
      <c r="C135" t="s">
        <v>423</v>
      </c>
      <c r="D135" t="s">
        <v>8</v>
      </c>
      <c r="E135">
        <v>2023</v>
      </c>
      <c r="F135" t="s">
        <v>73</v>
      </c>
      <c r="G135" t="s">
        <v>575</v>
      </c>
      <c r="I135" t="s">
        <v>1373</v>
      </c>
      <c r="J135" t="s">
        <v>33</v>
      </c>
      <c r="K135" t="s">
        <v>58</v>
      </c>
      <c r="L135" t="s">
        <v>7</v>
      </c>
      <c r="M135" t="s">
        <v>523</v>
      </c>
      <c r="N135" t="s">
        <v>538</v>
      </c>
      <c r="O135" t="s">
        <v>29</v>
      </c>
    </row>
    <row r="136" spans="1:15" x14ac:dyDescent="0.25">
      <c r="A136" t="s">
        <v>515</v>
      </c>
      <c r="B136" t="s">
        <v>57</v>
      </c>
      <c r="C136" t="s">
        <v>423</v>
      </c>
      <c r="D136" t="s">
        <v>8</v>
      </c>
      <c r="E136">
        <v>2023</v>
      </c>
      <c r="F136" t="s">
        <v>73</v>
      </c>
      <c r="G136" t="s">
        <v>575</v>
      </c>
      <c r="I136" t="s">
        <v>1373</v>
      </c>
      <c r="J136" t="s">
        <v>33</v>
      </c>
      <c r="K136" t="s">
        <v>58</v>
      </c>
      <c r="L136" t="s">
        <v>7</v>
      </c>
      <c r="M136" t="s">
        <v>523</v>
      </c>
      <c r="N136" t="s">
        <v>370</v>
      </c>
      <c r="O136" t="s">
        <v>67</v>
      </c>
    </row>
    <row r="137" spans="1:15" x14ac:dyDescent="0.25">
      <c r="A137" t="s">
        <v>515</v>
      </c>
      <c r="B137" t="s">
        <v>57</v>
      </c>
      <c r="C137" t="s">
        <v>423</v>
      </c>
      <c r="D137" t="s">
        <v>8</v>
      </c>
      <c r="E137">
        <v>2023</v>
      </c>
      <c r="F137" t="s">
        <v>73</v>
      </c>
      <c r="G137" t="s">
        <v>575</v>
      </c>
      <c r="I137" t="s">
        <v>1373</v>
      </c>
      <c r="J137" t="s">
        <v>33</v>
      </c>
      <c r="K137" t="s">
        <v>58</v>
      </c>
      <c r="L137" t="s">
        <v>7</v>
      </c>
      <c r="M137" t="s">
        <v>524</v>
      </c>
      <c r="N137" t="s">
        <v>538</v>
      </c>
      <c r="O137" t="s">
        <v>29</v>
      </c>
    </row>
    <row r="138" spans="1:15" x14ac:dyDescent="0.25">
      <c r="A138" t="s">
        <v>515</v>
      </c>
      <c r="B138" t="s">
        <v>57</v>
      </c>
      <c r="C138" t="s">
        <v>423</v>
      </c>
      <c r="D138" t="s">
        <v>8</v>
      </c>
      <c r="E138">
        <v>2023</v>
      </c>
      <c r="F138" t="s">
        <v>73</v>
      </c>
      <c r="G138" t="s">
        <v>575</v>
      </c>
      <c r="I138" t="s">
        <v>1373</v>
      </c>
      <c r="J138" t="s">
        <v>33</v>
      </c>
      <c r="K138" t="s">
        <v>58</v>
      </c>
      <c r="L138" t="s">
        <v>7</v>
      </c>
      <c r="M138" t="s">
        <v>524</v>
      </c>
      <c r="N138" t="s">
        <v>370</v>
      </c>
      <c r="O138" t="s">
        <v>67</v>
      </c>
    </row>
    <row r="139" spans="1:15" x14ac:dyDescent="0.25">
      <c r="A139" t="s">
        <v>515</v>
      </c>
      <c r="B139" t="s">
        <v>57</v>
      </c>
      <c r="C139" t="s">
        <v>423</v>
      </c>
      <c r="D139" t="s">
        <v>8</v>
      </c>
      <c r="E139">
        <v>2023</v>
      </c>
      <c r="F139" t="s">
        <v>73</v>
      </c>
      <c r="G139" t="s">
        <v>575</v>
      </c>
      <c r="I139" t="s">
        <v>1373</v>
      </c>
      <c r="J139" t="s">
        <v>33</v>
      </c>
      <c r="K139" t="s">
        <v>58</v>
      </c>
      <c r="L139" t="s">
        <v>7</v>
      </c>
      <c r="M139" t="s">
        <v>18</v>
      </c>
      <c r="N139" t="s">
        <v>538</v>
      </c>
      <c r="O139" t="s">
        <v>29</v>
      </c>
    </row>
    <row r="140" spans="1:15" x14ac:dyDescent="0.25">
      <c r="A140" t="s">
        <v>515</v>
      </c>
      <c r="B140" t="s">
        <v>57</v>
      </c>
      <c r="C140" t="s">
        <v>423</v>
      </c>
      <c r="D140" t="s">
        <v>8</v>
      </c>
      <c r="E140">
        <v>2023</v>
      </c>
      <c r="F140" t="s">
        <v>73</v>
      </c>
      <c r="G140" t="s">
        <v>575</v>
      </c>
      <c r="I140" t="s">
        <v>1373</v>
      </c>
      <c r="J140" t="s">
        <v>33</v>
      </c>
      <c r="K140" t="s">
        <v>58</v>
      </c>
      <c r="L140" t="s">
        <v>7</v>
      </c>
      <c r="M140" t="s">
        <v>18</v>
      </c>
      <c r="N140" t="s">
        <v>370</v>
      </c>
      <c r="O140" t="s">
        <v>67</v>
      </c>
    </row>
    <row r="141" spans="1:15" x14ac:dyDescent="0.25">
      <c r="A141" t="s">
        <v>922</v>
      </c>
      <c r="B141" t="s">
        <v>57</v>
      </c>
      <c r="C141" t="s">
        <v>915</v>
      </c>
      <c r="D141" t="s">
        <v>8</v>
      </c>
      <c r="E141">
        <v>2023</v>
      </c>
      <c r="F141" t="s">
        <v>80</v>
      </c>
      <c r="G141" t="s">
        <v>917</v>
      </c>
      <c r="I141" t="s">
        <v>919</v>
      </c>
      <c r="J141" t="s">
        <v>22</v>
      </c>
      <c r="K141" t="s">
        <v>58</v>
      </c>
      <c r="L141" t="s">
        <v>5</v>
      </c>
      <c r="M141" t="s">
        <v>18</v>
      </c>
      <c r="N141" t="s">
        <v>534</v>
      </c>
      <c r="O141" t="s">
        <v>30</v>
      </c>
    </row>
    <row r="142" spans="1:15" x14ac:dyDescent="0.25">
      <c r="A142" t="s">
        <v>922</v>
      </c>
      <c r="B142" t="s">
        <v>57</v>
      </c>
      <c r="C142" t="s">
        <v>915</v>
      </c>
      <c r="D142" t="s">
        <v>8</v>
      </c>
      <c r="E142">
        <v>2023</v>
      </c>
      <c r="F142" t="s">
        <v>80</v>
      </c>
      <c r="G142" t="s">
        <v>917</v>
      </c>
      <c r="I142" t="s">
        <v>919</v>
      </c>
      <c r="J142" t="s">
        <v>22</v>
      </c>
      <c r="K142" t="s">
        <v>58</v>
      </c>
      <c r="L142" t="s">
        <v>5</v>
      </c>
      <c r="M142" t="s">
        <v>18</v>
      </c>
      <c r="N142" t="s">
        <v>538</v>
      </c>
      <c r="O142" t="s">
        <v>29</v>
      </c>
    </row>
    <row r="143" spans="1:15" x14ac:dyDescent="0.25">
      <c r="A143" t="s">
        <v>922</v>
      </c>
      <c r="B143" t="s">
        <v>57</v>
      </c>
      <c r="C143" t="s">
        <v>915</v>
      </c>
      <c r="D143" t="s">
        <v>8</v>
      </c>
      <c r="E143">
        <v>2023</v>
      </c>
      <c r="F143" t="s">
        <v>80</v>
      </c>
      <c r="G143" t="s">
        <v>917</v>
      </c>
      <c r="I143" t="s">
        <v>919</v>
      </c>
      <c r="J143" t="s">
        <v>22</v>
      </c>
      <c r="K143" t="s">
        <v>58</v>
      </c>
      <c r="L143" t="s">
        <v>5</v>
      </c>
      <c r="M143" t="s">
        <v>6</v>
      </c>
      <c r="N143" t="s">
        <v>534</v>
      </c>
      <c r="O143" t="s">
        <v>30</v>
      </c>
    </row>
    <row r="144" spans="1:15" x14ac:dyDescent="0.25">
      <c r="A144" t="s">
        <v>922</v>
      </c>
      <c r="B144" t="s">
        <v>57</v>
      </c>
      <c r="C144" t="s">
        <v>915</v>
      </c>
      <c r="D144" t="s">
        <v>8</v>
      </c>
      <c r="E144">
        <v>2023</v>
      </c>
      <c r="F144" t="s">
        <v>80</v>
      </c>
      <c r="G144" t="s">
        <v>917</v>
      </c>
      <c r="I144" t="s">
        <v>919</v>
      </c>
      <c r="J144" t="s">
        <v>22</v>
      </c>
      <c r="K144" t="s">
        <v>58</v>
      </c>
      <c r="L144" t="s">
        <v>5</v>
      </c>
      <c r="M144" t="s">
        <v>6</v>
      </c>
      <c r="N144" t="s">
        <v>538</v>
      </c>
      <c r="O144" t="s">
        <v>29</v>
      </c>
    </row>
    <row r="145" spans="1:15" x14ac:dyDescent="0.25">
      <c r="A145" t="s">
        <v>922</v>
      </c>
      <c r="B145" t="s">
        <v>57</v>
      </c>
      <c r="C145" t="s">
        <v>915</v>
      </c>
      <c r="D145" t="s">
        <v>8</v>
      </c>
      <c r="E145">
        <v>2023</v>
      </c>
      <c r="F145" t="s">
        <v>80</v>
      </c>
      <c r="G145" t="s">
        <v>917</v>
      </c>
      <c r="I145" t="s">
        <v>919</v>
      </c>
      <c r="J145" t="s">
        <v>22</v>
      </c>
      <c r="K145" t="s">
        <v>58</v>
      </c>
      <c r="L145" t="s">
        <v>5</v>
      </c>
      <c r="M145" t="s">
        <v>523</v>
      </c>
      <c r="N145" t="s">
        <v>534</v>
      </c>
      <c r="O145" t="s">
        <v>30</v>
      </c>
    </row>
    <row r="146" spans="1:15" x14ac:dyDescent="0.25">
      <c r="A146" t="s">
        <v>922</v>
      </c>
      <c r="B146" t="s">
        <v>57</v>
      </c>
      <c r="C146" t="s">
        <v>915</v>
      </c>
      <c r="D146" t="s">
        <v>8</v>
      </c>
      <c r="E146">
        <v>2023</v>
      </c>
      <c r="F146" t="s">
        <v>80</v>
      </c>
      <c r="G146" t="s">
        <v>917</v>
      </c>
      <c r="I146" t="s">
        <v>919</v>
      </c>
      <c r="J146" t="s">
        <v>22</v>
      </c>
      <c r="K146" t="s">
        <v>58</v>
      </c>
      <c r="L146" t="s">
        <v>5</v>
      </c>
      <c r="M146" t="s">
        <v>523</v>
      </c>
      <c r="N146" t="s">
        <v>538</v>
      </c>
      <c r="O146" t="s">
        <v>29</v>
      </c>
    </row>
    <row r="147" spans="1:15" x14ac:dyDescent="0.25">
      <c r="A147" t="s">
        <v>516</v>
      </c>
      <c r="B147" t="s">
        <v>57</v>
      </c>
      <c r="C147" t="s">
        <v>418</v>
      </c>
      <c r="D147" t="s">
        <v>8</v>
      </c>
      <c r="E147">
        <v>2022</v>
      </c>
      <c r="F147" t="s">
        <v>148</v>
      </c>
      <c r="G147" t="s">
        <v>576</v>
      </c>
      <c r="I147" t="s">
        <v>429</v>
      </c>
      <c r="J147" t="s">
        <v>33</v>
      </c>
      <c r="K147" t="s">
        <v>568</v>
      </c>
      <c r="L147" t="s">
        <v>558</v>
      </c>
      <c r="M147" t="s">
        <v>523</v>
      </c>
      <c r="N147" t="s">
        <v>522</v>
      </c>
      <c r="O147" t="s">
        <v>402</v>
      </c>
    </row>
    <row r="148" spans="1:15" x14ac:dyDescent="0.25">
      <c r="A148" t="s">
        <v>516</v>
      </c>
      <c r="B148" t="s">
        <v>57</v>
      </c>
      <c r="C148" t="s">
        <v>418</v>
      </c>
      <c r="D148" t="s">
        <v>8</v>
      </c>
      <c r="E148">
        <v>2022</v>
      </c>
      <c r="F148" t="s">
        <v>148</v>
      </c>
      <c r="G148" t="s">
        <v>576</v>
      </c>
      <c r="I148" t="s">
        <v>429</v>
      </c>
      <c r="J148" t="s">
        <v>33</v>
      </c>
      <c r="K148" t="s">
        <v>568</v>
      </c>
      <c r="L148" t="s">
        <v>558</v>
      </c>
      <c r="M148" t="s">
        <v>523</v>
      </c>
      <c r="N148" t="s">
        <v>370</v>
      </c>
      <c r="O148" t="s">
        <v>67</v>
      </c>
    </row>
    <row r="149" spans="1:15" x14ac:dyDescent="0.25">
      <c r="A149" t="s">
        <v>516</v>
      </c>
      <c r="B149" t="s">
        <v>57</v>
      </c>
      <c r="C149" t="s">
        <v>418</v>
      </c>
      <c r="D149" t="s">
        <v>8</v>
      </c>
      <c r="E149">
        <v>2022</v>
      </c>
      <c r="F149" t="s">
        <v>148</v>
      </c>
      <c r="G149" t="s">
        <v>576</v>
      </c>
      <c r="I149" t="s">
        <v>429</v>
      </c>
      <c r="J149" t="s">
        <v>33</v>
      </c>
      <c r="K149" t="s">
        <v>568</v>
      </c>
      <c r="L149" t="s">
        <v>558</v>
      </c>
      <c r="M149" t="s">
        <v>524</v>
      </c>
      <c r="N149" t="s">
        <v>522</v>
      </c>
      <c r="O149" t="s">
        <v>402</v>
      </c>
    </row>
    <row r="150" spans="1:15" x14ac:dyDescent="0.25">
      <c r="A150" t="s">
        <v>516</v>
      </c>
      <c r="B150" t="s">
        <v>57</v>
      </c>
      <c r="C150" t="s">
        <v>418</v>
      </c>
      <c r="D150" t="s">
        <v>8</v>
      </c>
      <c r="E150">
        <v>2022</v>
      </c>
      <c r="F150" t="s">
        <v>148</v>
      </c>
      <c r="G150" t="s">
        <v>576</v>
      </c>
      <c r="I150" t="s">
        <v>429</v>
      </c>
      <c r="J150" t="s">
        <v>33</v>
      </c>
      <c r="K150" t="s">
        <v>568</v>
      </c>
      <c r="L150" t="s">
        <v>558</v>
      </c>
      <c r="M150" t="s">
        <v>524</v>
      </c>
      <c r="N150" t="s">
        <v>370</v>
      </c>
      <c r="O150" t="s">
        <v>67</v>
      </c>
    </row>
    <row r="151" spans="1:15" x14ac:dyDescent="0.25">
      <c r="A151" t="s">
        <v>516</v>
      </c>
      <c r="B151" t="s">
        <v>57</v>
      </c>
      <c r="C151" t="s">
        <v>418</v>
      </c>
      <c r="D151" t="s">
        <v>8</v>
      </c>
      <c r="E151">
        <v>2022</v>
      </c>
      <c r="F151" t="s">
        <v>148</v>
      </c>
      <c r="G151" t="s">
        <v>576</v>
      </c>
      <c r="I151" t="s">
        <v>429</v>
      </c>
      <c r="J151" t="s">
        <v>33</v>
      </c>
      <c r="K151" t="s">
        <v>568</v>
      </c>
      <c r="L151" t="s">
        <v>558</v>
      </c>
      <c r="M151" t="s">
        <v>6</v>
      </c>
      <c r="N151" t="s">
        <v>522</v>
      </c>
      <c r="O151" t="s">
        <v>402</v>
      </c>
    </row>
    <row r="152" spans="1:15" x14ac:dyDescent="0.25">
      <c r="A152" t="s">
        <v>516</v>
      </c>
      <c r="B152" t="s">
        <v>57</v>
      </c>
      <c r="C152" t="s">
        <v>418</v>
      </c>
      <c r="D152" t="s">
        <v>8</v>
      </c>
      <c r="E152">
        <v>2022</v>
      </c>
      <c r="F152" t="s">
        <v>148</v>
      </c>
      <c r="G152" t="s">
        <v>576</v>
      </c>
      <c r="I152" t="s">
        <v>429</v>
      </c>
      <c r="J152" t="s">
        <v>33</v>
      </c>
      <c r="K152" t="s">
        <v>568</v>
      </c>
      <c r="L152" t="s">
        <v>558</v>
      </c>
      <c r="M152" t="s">
        <v>6</v>
      </c>
      <c r="N152" t="s">
        <v>370</v>
      </c>
      <c r="O152" t="s">
        <v>67</v>
      </c>
    </row>
    <row r="153" spans="1:15" x14ac:dyDescent="0.25">
      <c r="A153" t="s">
        <v>517</v>
      </c>
      <c r="B153" t="s">
        <v>57</v>
      </c>
      <c r="C153" t="s">
        <v>419</v>
      </c>
      <c r="D153" t="s">
        <v>8</v>
      </c>
      <c r="E153">
        <v>2020</v>
      </c>
      <c r="F153" t="s">
        <v>148</v>
      </c>
      <c r="G153" t="s">
        <v>577</v>
      </c>
      <c r="I153" t="s">
        <v>426</v>
      </c>
      <c r="J153" t="s">
        <v>33</v>
      </c>
      <c r="K153" t="s">
        <v>568</v>
      </c>
      <c r="L153" t="s">
        <v>558</v>
      </c>
      <c r="M153" t="s">
        <v>524</v>
      </c>
      <c r="N153" t="s">
        <v>531</v>
      </c>
      <c r="O153" t="s">
        <v>32</v>
      </c>
    </row>
    <row r="154" spans="1:15" x14ac:dyDescent="0.25">
      <c r="A154" t="s">
        <v>517</v>
      </c>
      <c r="B154" t="s">
        <v>57</v>
      </c>
      <c r="C154" t="s">
        <v>419</v>
      </c>
      <c r="D154" t="s">
        <v>8</v>
      </c>
      <c r="E154">
        <v>2020</v>
      </c>
      <c r="F154" t="s">
        <v>148</v>
      </c>
      <c r="G154" t="s">
        <v>577</v>
      </c>
      <c r="I154" t="s">
        <v>426</v>
      </c>
      <c r="J154" t="s">
        <v>33</v>
      </c>
      <c r="K154" t="s">
        <v>568</v>
      </c>
      <c r="L154" t="s">
        <v>558</v>
      </c>
      <c r="M154" t="s">
        <v>523</v>
      </c>
      <c r="N154" t="s">
        <v>531</v>
      </c>
      <c r="O154" t="s">
        <v>32</v>
      </c>
    </row>
    <row r="155" spans="1:15" x14ac:dyDescent="0.25">
      <c r="A155" t="s">
        <v>517</v>
      </c>
      <c r="B155" t="s">
        <v>57</v>
      </c>
      <c r="C155" t="s">
        <v>419</v>
      </c>
      <c r="D155" t="s">
        <v>8</v>
      </c>
      <c r="E155">
        <v>2020</v>
      </c>
      <c r="F155" t="s">
        <v>148</v>
      </c>
      <c r="G155" t="s">
        <v>577</v>
      </c>
      <c r="I155" t="s">
        <v>426</v>
      </c>
      <c r="J155" t="s">
        <v>33</v>
      </c>
      <c r="K155" t="s">
        <v>568</v>
      </c>
      <c r="L155" t="s">
        <v>558</v>
      </c>
      <c r="M155" t="s">
        <v>18</v>
      </c>
      <c r="N155" t="s">
        <v>531</v>
      </c>
      <c r="O155" t="s">
        <v>32</v>
      </c>
    </row>
    <row r="156" spans="1:15" x14ac:dyDescent="0.25">
      <c r="A156" t="s">
        <v>518</v>
      </c>
      <c r="B156" t="s">
        <v>57</v>
      </c>
      <c r="C156" t="s">
        <v>503</v>
      </c>
      <c r="D156" t="s">
        <v>8</v>
      </c>
      <c r="E156">
        <v>2020</v>
      </c>
      <c r="F156" t="s">
        <v>148</v>
      </c>
      <c r="G156" t="s">
        <v>420</v>
      </c>
      <c r="I156" t="s">
        <v>426</v>
      </c>
      <c r="J156" t="s">
        <v>33</v>
      </c>
      <c r="K156" t="s">
        <v>568</v>
      </c>
      <c r="L156" t="s">
        <v>558</v>
      </c>
      <c r="M156" t="s">
        <v>523</v>
      </c>
      <c r="N156" t="s">
        <v>522</v>
      </c>
      <c r="O156" t="s">
        <v>402</v>
      </c>
    </row>
    <row r="157" spans="1:15" x14ac:dyDescent="0.25">
      <c r="A157" t="s">
        <v>518</v>
      </c>
      <c r="B157" t="s">
        <v>57</v>
      </c>
      <c r="C157" t="s">
        <v>503</v>
      </c>
      <c r="D157" t="s">
        <v>8</v>
      </c>
      <c r="E157">
        <v>2020</v>
      </c>
      <c r="F157" t="s">
        <v>148</v>
      </c>
      <c r="G157" t="s">
        <v>420</v>
      </c>
      <c r="I157" t="s">
        <v>426</v>
      </c>
      <c r="J157" t="s">
        <v>33</v>
      </c>
      <c r="K157" t="s">
        <v>568</v>
      </c>
      <c r="L157" t="s">
        <v>558</v>
      </c>
      <c r="M157" t="s">
        <v>524</v>
      </c>
      <c r="N157" t="s">
        <v>522</v>
      </c>
      <c r="O157" t="s">
        <v>402</v>
      </c>
    </row>
    <row r="158" spans="1:15" x14ac:dyDescent="0.25">
      <c r="A158" t="s">
        <v>519</v>
      </c>
      <c r="B158" t="s">
        <v>57</v>
      </c>
      <c r="C158" t="s">
        <v>421</v>
      </c>
      <c r="D158" t="s">
        <v>8</v>
      </c>
      <c r="E158">
        <v>2019</v>
      </c>
      <c r="F158" t="s">
        <v>148</v>
      </c>
      <c r="G158" t="s">
        <v>422</v>
      </c>
      <c r="I158" t="s">
        <v>426</v>
      </c>
      <c r="J158" t="s">
        <v>33</v>
      </c>
      <c r="K158" t="s">
        <v>568</v>
      </c>
      <c r="L158" t="s">
        <v>558</v>
      </c>
      <c r="M158" t="s">
        <v>18</v>
      </c>
      <c r="N158" t="s">
        <v>538</v>
      </c>
      <c r="O158" t="s">
        <v>29</v>
      </c>
    </row>
    <row r="159" spans="1:15" x14ac:dyDescent="0.25">
      <c r="A159" t="s">
        <v>519</v>
      </c>
      <c r="B159" t="s">
        <v>57</v>
      </c>
      <c r="C159" t="s">
        <v>421</v>
      </c>
      <c r="D159" t="s">
        <v>8</v>
      </c>
      <c r="E159">
        <v>2019</v>
      </c>
      <c r="F159" t="s">
        <v>148</v>
      </c>
      <c r="G159" t="s">
        <v>422</v>
      </c>
      <c r="I159" t="s">
        <v>426</v>
      </c>
      <c r="J159" t="s">
        <v>33</v>
      </c>
      <c r="K159" t="s">
        <v>568</v>
      </c>
      <c r="L159" t="s">
        <v>558</v>
      </c>
      <c r="M159" t="s">
        <v>18</v>
      </c>
      <c r="N159" t="s">
        <v>370</v>
      </c>
      <c r="O159" t="s">
        <v>67</v>
      </c>
    </row>
    <row r="160" spans="1:15" x14ac:dyDescent="0.25">
      <c r="A160" t="s">
        <v>837</v>
      </c>
      <c r="B160" t="s">
        <v>57</v>
      </c>
      <c r="C160" t="s">
        <v>578</v>
      </c>
      <c r="D160" t="s">
        <v>8</v>
      </c>
      <c r="E160">
        <v>2023</v>
      </c>
      <c r="F160" t="s">
        <v>174</v>
      </c>
      <c r="G160" t="s">
        <v>579</v>
      </c>
      <c r="H160" t="s">
        <v>582</v>
      </c>
      <c r="I160" t="s">
        <v>581</v>
      </c>
      <c r="J160" t="s">
        <v>33</v>
      </c>
      <c r="K160" t="s">
        <v>58</v>
      </c>
      <c r="L160" t="s">
        <v>7</v>
      </c>
      <c r="M160" t="s">
        <v>18</v>
      </c>
      <c r="N160" t="s">
        <v>534</v>
      </c>
      <c r="O160" t="s">
        <v>30</v>
      </c>
    </row>
    <row r="161" spans="1:15" x14ac:dyDescent="0.25">
      <c r="A161" t="s">
        <v>838</v>
      </c>
      <c r="B161" t="s">
        <v>57</v>
      </c>
      <c r="C161" t="s">
        <v>583</v>
      </c>
      <c r="D161" t="s">
        <v>8</v>
      </c>
      <c r="E161">
        <v>2016</v>
      </c>
      <c r="F161" t="s">
        <v>80</v>
      </c>
      <c r="G161" t="s">
        <v>584</v>
      </c>
      <c r="H161" t="s">
        <v>587</v>
      </c>
      <c r="I161" t="s">
        <v>586</v>
      </c>
      <c r="J161" t="s">
        <v>33</v>
      </c>
      <c r="K161" t="s">
        <v>58</v>
      </c>
      <c r="L161" t="s">
        <v>203</v>
      </c>
      <c r="M161" t="s">
        <v>524</v>
      </c>
      <c r="N161" t="s">
        <v>546</v>
      </c>
    </row>
    <row r="162" spans="1:15" x14ac:dyDescent="0.25">
      <c r="A162" t="s">
        <v>838</v>
      </c>
      <c r="B162" t="s">
        <v>57</v>
      </c>
      <c r="C162" t="s">
        <v>583</v>
      </c>
      <c r="D162" t="s">
        <v>8</v>
      </c>
      <c r="E162">
        <v>2016</v>
      </c>
      <c r="F162" t="s">
        <v>80</v>
      </c>
      <c r="G162" t="s">
        <v>584</v>
      </c>
      <c r="H162" t="s">
        <v>587</v>
      </c>
      <c r="I162" t="s">
        <v>586</v>
      </c>
      <c r="J162" t="s">
        <v>33</v>
      </c>
      <c r="K162" t="s">
        <v>58</v>
      </c>
      <c r="L162" t="s">
        <v>203</v>
      </c>
      <c r="M162" t="s">
        <v>524</v>
      </c>
      <c r="N162" t="s">
        <v>534</v>
      </c>
      <c r="O162" t="s">
        <v>30</v>
      </c>
    </row>
    <row r="163" spans="1:15" x14ac:dyDescent="0.25">
      <c r="A163" t="s">
        <v>838</v>
      </c>
      <c r="B163" t="s">
        <v>57</v>
      </c>
      <c r="C163" t="s">
        <v>583</v>
      </c>
      <c r="D163" t="s">
        <v>8</v>
      </c>
      <c r="E163">
        <v>2016</v>
      </c>
      <c r="F163" t="s">
        <v>80</v>
      </c>
      <c r="G163" t="s">
        <v>584</v>
      </c>
      <c r="H163" t="s">
        <v>587</v>
      </c>
      <c r="I163" t="s">
        <v>586</v>
      </c>
      <c r="J163" t="s">
        <v>33</v>
      </c>
      <c r="K163" t="s">
        <v>58</v>
      </c>
      <c r="L163" t="s">
        <v>203</v>
      </c>
      <c r="M163" t="s">
        <v>18</v>
      </c>
      <c r="N163" t="s">
        <v>546</v>
      </c>
    </row>
    <row r="164" spans="1:15" x14ac:dyDescent="0.25">
      <c r="A164" t="s">
        <v>838</v>
      </c>
      <c r="B164" t="s">
        <v>57</v>
      </c>
      <c r="C164" t="s">
        <v>583</v>
      </c>
      <c r="D164" t="s">
        <v>8</v>
      </c>
      <c r="E164">
        <v>2016</v>
      </c>
      <c r="F164" t="s">
        <v>80</v>
      </c>
      <c r="G164" t="s">
        <v>584</v>
      </c>
      <c r="H164" t="s">
        <v>587</v>
      </c>
      <c r="I164" t="s">
        <v>586</v>
      </c>
      <c r="J164" t="s">
        <v>33</v>
      </c>
      <c r="K164" t="s">
        <v>58</v>
      </c>
      <c r="L164" t="s">
        <v>203</v>
      </c>
      <c r="M164" t="s">
        <v>18</v>
      </c>
      <c r="N164" t="s">
        <v>534</v>
      </c>
      <c r="O164" t="s">
        <v>30</v>
      </c>
    </row>
    <row r="165" spans="1:15" x14ac:dyDescent="0.25">
      <c r="A165" t="s">
        <v>839</v>
      </c>
      <c r="B165" t="s">
        <v>57</v>
      </c>
      <c r="C165" t="s">
        <v>588</v>
      </c>
      <c r="D165" t="s">
        <v>8</v>
      </c>
      <c r="E165">
        <v>2019</v>
      </c>
      <c r="F165" t="s">
        <v>589</v>
      </c>
      <c r="G165" t="s">
        <v>590</v>
      </c>
      <c r="H165" t="s">
        <v>587</v>
      </c>
      <c r="I165" t="s">
        <v>592</v>
      </c>
      <c r="J165" t="s">
        <v>33</v>
      </c>
      <c r="K165" t="s">
        <v>58</v>
      </c>
      <c r="L165" t="s">
        <v>7</v>
      </c>
      <c r="M165" t="s">
        <v>18</v>
      </c>
      <c r="N165" t="s">
        <v>529</v>
      </c>
      <c r="O165" t="s">
        <v>386</v>
      </c>
    </row>
    <row r="166" spans="1:15" x14ac:dyDescent="0.25">
      <c r="A166" t="s">
        <v>839</v>
      </c>
      <c r="B166" t="s">
        <v>57</v>
      </c>
      <c r="C166" t="s">
        <v>588</v>
      </c>
      <c r="D166" t="s">
        <v>8</v>
      </c>
      <c r="E166">
        <v>2019</v>
      </c>
      <c r="F166" t="s">
        <v>589</v>
      </c>
      <c r="G166" t="s">
        <v>590</v>
      </c>
      <c r="H166" t="s">
        <v>587</v>
      </c>
      <c r="I166" t="s">
        <v>592</v>
      </c>
      <c r="J166" t="s">
        <v>33</v>
      </c>
      <c r="K166" t="s">
        <v>58</v>
      </c>
      <c r="L166" t="s">
        <v>7</v>
      </c>
      <c r="M166" t="s">
        <v>18</v>
      </c>
      <c r="N166" t="s">
        <v>534</v>
      </c>
      <c r="O166" t="s">
        <v>30</v>
      </c>
    </row>
    <row r="167" spans="1:15" x14ac:dyDescent="0.25">
      <c r="A167" t="s">
        <v>839</v>
      </c>
      <c r="B167" t="s">
        <v>57</v>
      </c>
      <c r="C167" t="s">
        <v>588</v>
      </c>
      <c r="D167" t="s">
        <v>8</v>
      </c>
      <c r="E167">
        <v>2019</v>
      </c>
      <c r="F167" t="s">
        <v>589</v>
      </c>
      <c r="G167" t="s">
        <v>590</v>
      </c>
      <c r="H167" t="s">
        <v>587</v>
      </c>
      <c r="I167" t="s">
        <v>592</v>
      </c>
      <c r="J167" t="s">
        <v>33</v>
      </c>
      <c r="K167" t="s">
        <v>58</v>
      </c>
      <c r="L167" t="s">
        <v>7</v>
      </c>
      <c r="M167" t="s">
        <v>524</v>
      </c>
      <c r="N167" t="s">
        <v>529</v>
      </c>
      <c r="O167" t="s">
        <v>386</v>
      </c>
    </row>
    <row r="168" spans="1:15" x14ac:dyDescent="0.25">
      <c r="A168" t="s">
        <v>839</v>
      </c>
      <c r="B168" t="s">
        <v>57</v>
      </c>
      <c r="C168" t="s">
        <v>588</v>
      </c>
      <c r="D168" t="s">
        <v>8</v>
      </c>
      <c r="E168">
        <v>2019</v>
      </c>
      <c r="F168" t="s">
        <v>589</v>
      </c>
      <c r="G168" t="s">
        <v>590</v>
      </c>
      <c r="H168" t="s">
        <v>587</v>
      </c>
      <c r="I168" t="s">
        <v>592</v>
      </c>
      <c r="J168" t="s">
        <v>33</v>
      </c>
      <c r="K168" t="s">
        <v>58</v>
      </c>
      <c r="L168" t="s">
        <v>7</v>
      </c>
      <c r="M168" t="s">
        <v>524</v>
      </c>
      <c r="N168" t="s">
        <v>534</v>
      </c>
      <c r="O168" t="s">
        <v>30</v>
      </c>
    </row>
    <row r="169" spans="1:15" x14ac:dyDescent="0.25">
      <c r="A169" t="s">
        <v>840</v>
      </c>
      <c r="B169" t="s">
        <v>57</v>
      </c>
      <c r="C169" t="s">
        <v>593</v>
      </c>
      <c r="D169" t="s">
        <v>8</v>
      </c>
      <c r="E169">
        <v>2020</v>
      </c>
      <c r="F169" t="s">
        <v>820</v>
      </c>
      <c r="G169" t="s">
        <v>594</v>
      </c>
      <c r="H169" t="s">
        <v>587</v>
      </c>
      <c r="I169" t="s">
        <v>596</v>
      </c>
      <c r="J169" t="s">
        <v>33</v>
      </c>
      <c r="K169" t="s">
        <v>58</v>
      </c>
      <c r="L169" t="s">
        <v>7</v>
      </c>
      <c r="M169" t="s">
        <v>524</v>
      </c>
      <c r="N169" t="s">
        <v>538</v>
      </c>
      <c r="O169" t="s">
        <v>29</v>
      </c>
    </row>
    <row r="170" spans="1:15" x14ac:dyDescent="0.25">
      <c r="A170" t="s">
        <v>840</v>
      </c>
      <c r="B170" t="s">
        <v>57</v>
      </c>
      <c r="C170" t="s">
        <v>593</v>
      </c>
      <c r="D170" t="s">
        <v>8</v>
      </c>
      <c r="E170">
        <v>2020</v>
      </c>
      <c r="F170" t="s">
        <v>820</v>
      </c>
      <c r="G170" t="s">
        <v>594</v>
      </c>
      <c r="H170" t="s">
        <v>587</v>
      </c>
      <c r="I170" t="s">
        <v>596</v>
      </c>
      <c r="J170" t="s">
        <v>33</v>
      </c>
      <c r="K170" t="s">
        <v>58</v>
      </c>
      <c r="L170" t="s">
        <v>7</v>
      </c>
      <c r="M170" t="s">
        <v>523</v>
      </c>
      <c r="N170" t="s">
        <v>538</v>
      </c>
      <c r="O170" t="s">
        <v>29</v>
      </c>
    </row>
    <row r="171" spans="1:15" x14ac:dyDescent="0.25">
      <c r="A171" t="s">
        <v>840</v>
      </c>
      <c r="B171" t="s">
        <v>57</v>
      </c>
      <c r="C171" t="s">
        <v>593</v>
      </c>
      <c r="D171" t="s">
        <v>8</v>
      </c>
      <c r="E171">
        <v>2020</v>
      </c>
      <c r="F171" t="s">
        <v>820</v>
      </c>
      <c r="G171" t="s">
        <v>594</v>
      </c>
      <c r="H171" t="s">
        <v>587</v>
      </c>
      <c r="I171" t="s">
        <v>596</v>
      </c>
      <c r="J171" t="s">
        <v>33</v>
      </c>
      <c r="K171" t="s">
        <v>58</v>
      </c>
      <c r="L171" t="s">
        <v>7</v>
      </c>
      <c r="M171" t="s">
        <v>18</v>
      </c>
      <c r="N171" t="s">
        <v>538</v>
      </c>
      <c r="O171" t="s">
        <v>29</v>
      </c>
    </row>
    <row r="172" spans="1:15" x14ac:dyDescent="0.25">
      <c r="A172" t="s">
        <v>841</v>
      </c>
      <c r="B172" t="s">
        <v>57</v>
      </c>
      <c r="C172" t="s">
        <v>597</v>
      </c>
      <c r="D172" t="s">
        <v>8</v>
      </c>
      <c r="E172">
        <v>2021</v>
      </c>
      <c r="F172" t="s">
        <v>589</v>
      </c>
      <c r="G172" t="s">
        <v>598</v>
      </c>
      <c r="H172" t="s">
        <v>587</v>
      </c>
      <c r="I172" t="s">
        <v>600</v>
      </c>
      <c r="J172" t="s">
        <v>33</v>
      </c>
      <c r="K172" t="s">
        <v>568</v>
      </c>
      <c r="L172" t="s">
        <v>203</v>
      </c>
      <c r="M172" t="s">
        <v>523</v>
      </c>
      <c r="N172" t="s">
        <v>370</v>
      </c>
      <c r="O172" t="s">
        <v>67</v>
      </c>
    </row>
    <row r="173" spans="1:15" x14ac:dyDescent="0.25">
      <c r="A173" t="s">
        <v>841</v>
      </c>
      <c r="B173" t="s">
        <v>57</v>
      </c>
      <c r="C173" t="s">
        <v>597</v>
      </c>
      <c r="D173" t="s">
        <v>8</v>
      </c>
      <c r="E173">
        <v>2021</v>
      </c>
      <c r="F173" t="s">
        <v>589</v>
      </c>
      <c r="G173" t="s">
        <v>598</v>
      </c>
      <c r="H173" t="s">
        <v>587</v>
      </c>
      <c r="I173" t="s">
        <v>600</v>
      </c>
      <c r="J173" t="s">
        <v>33</v>
      </c>
      <c r="K173" t="s">
        <v>568</v>
      </c>
      <c r="L173" t="s">
        <v>203</v>
      </c>
      <c r="M173" t="s">
        <v>523</v>
      </c>
      <c r="N173" t="s">
        <v>534</v>
      </c>
      <c r="O173" t="s">
        <v>30</v>
      </c>
    </row>
    <row r="174" spans="1:15" x14ac:dyDescent="0.25">
      <c r="A174" t="s">
        <v>842</v>
      </c>
      <c r="B174" t="s">
        <v>57</v>
      </c>
      <c r="C174" t="s">
        <v>602</v>
      </c>
      <c r="D174" t="s">
        <v>491</v>
      </c>
      <c r="E174">
        <v>2004</v>
      </c>
      <c r="F174" t="s">
        <v>79</v>
      </c>
      <c r="G174" t="s">
        <v>603</v>
      </c>
      <c r="H174" t="s">
        <v>606</v>
      </c>
      <c r="I174" t="s">
        <v>605</v>
      </c>
      <c r="J174" t="s">
        <v>33</v>
      </c>
      <c r="K174" t="s">
        <v>58</v>
      </c>
      <c r="L174" t="s">
        <v>7</v>
      </c>
      <c r="M174" t="s">
        <v>524</v>
      </c>
      <c r="N174" t="s">
        <v>531</v>
      </c>
      <c r="O174" t="s">
        <v>32</v>
      </c>
    </row>
    <row r="175" spans="1:15" x14ac:dyDescent="0.25">
      <c r="A175" t="s">
        <v>843</v>
      </c>
      <c r="B175" t="s">
        <v>57</v>
      </c>
      <c r="C175" t="s">
        <v>608</v>
      </c>
      <c r="D175" t="s">
        <v>60</v>
      </c>
      <c r="E175">
        <v>2022</v>
      </c>
      <c r="F175" t="s">
        <v>148</v>
      </c>
      <c r="G175" t="s">
        <v>609</v>
      </c>
      <c r="I175" t="s">
        <v>611</v>
      </c>
      <c r="J175" t="s">
        <v>33</v>
      </c>
      <c r="K175" t="s">
        <v>58</v>
      </c>
      <c r="L175" t="s">
        <v>203</v>
      </c>
      <c r="M175" t="s">
        <v>523</v>
      </c>
      <c r="N175" t="s">
        <v>370</v>
      </c>
      <c r="O175" t="s">
        <v>67</v>
      </c>
    </row>
    <row r="176" spans="1:15" x14ac:dyDescent="0.25">
      <c r="A176" t="s">
        <v>843</v>
      </c>
      <c r="B176" t="s">
        <v>57</v>
      </c>
      <c r="C176" t="s">
        <v>608</v>
      </c>
      <c r="D176" t="s">
        <v>60</v>
      </c>
      <c r="E176">
        <v>2022</v>
      </c>
      <c r="F176" t="s">
        <v>148</v>
      </c>
      <c r="G176" t="s">
        <v>609</v>
      </c>
      <c r="I176" t="s">
        <v>611</v>
      </c>
      <c r="J176" t="s">
        <v>33</v>
      </c>
      <c r="K176" t="s">
        <v>58</v>
      </c>
      <c r="L176" t="s">
        <v>203</v>
      </c>
      <c r="M176" t="s">
        <v>523</v>
      </c>
      <c r="N176" t="s">
        <v>522</v>
      </c>
      <c r="O176" t="s">
        <v>402</v>
      </c>
    </row>
    <row r="177" spans="1:15" x14ac:dyDescent="0.25">
      <c r="A177" t="s">
        <v>844</v>
      </c>
      <c r="B177" t="s">
        <v>57</v>
      </c>
      <c r="C177" t="s">
        <v>612</v>
      </c>
      <c r="D177" t="s">
        <v>8</v>
      </c>
      <c r="E177">
        <v>2023</v>
      </c>
      <c r="F177" t="s">
        <v>181</v>
      </c>
      <c r="G177" t="s">
        <v>613</v>
      </c>
      <c r="J177" t="s">
        <v>33</v>
      </c>
      <c r="K177" t="s">
        <v>568</v>
      </c>
      <c r="L177" t="s">
        <v>7</v>
      </c>
      <c r="M177" t="s">
        <v>524</v>
      </c>
      <c r="N177" t="s">
        <v>522</v>
      </c>
      <c r="O177" t="s">
        <v>402</v>
      </c>
    </row>
    <row r="178" spans="1:15" x14ac:dyDescent="0.25">
      <c r="A178" t="s">
        <v>844</v>
      </c>
      <c r="B178" t="s">
        <v>57</v>
      </c>
      <c r="C178" t="s">
        <v>612</v>
      </c>
      <c r="D178" t="s">
        <v>8</v>
      </c>
      <c r="E178">
        <v>2023</v>
      </c>
      <c r="F178" t="s">
        <v>181</v>
      </c>
      <c r="G178" t="s">
        <v>613</v>
      </c>
      <c r="J178" t="s">
        <v>33</v>
      </c>
      <c r="K178" t="s">
        <v>568</v>
      </c>
      <c r="L178" t="s">
        <v>7</v>
      </c>
      <c r="M178" t="s">
        <v>524</v>
      </c>
      <c r="N178" t="s">
        <v>538</v>
      </c>
      <c r="O178" t="s">
        <v>29</v>
      </c>
    </row>
    <row r="179" spans="1:15" x14ac:dyDescent="0.25">
      <c r="A179" t="s">
        <v>844</v>
      </c>
      <c r="B179" t="s">
        <v>57</v>
      </c>
      <c r="C179" t="s">
        <v>612</v>
      </c>
      <c r="D179" t="s">
        <v>8</v>
      </c>
      <c r="E179">
        <v>2023</v>
      </c>
      <c r="F179" t="s">
        <v>181</v>
      </c>
      <c r="G179" t="s">
        <v>613</v>
      </c>
      <c r="J179" t="s">
        <v>33</v>
      </c>
      <c r="K179" t="s">
        <v>568</v>
      </c>
      <c r="L179" t="s">
        <v>7</v>
      </c>
      <c r="M179" t="s">
        <v>523</v>
      </c>
      <c r="N179" t="s">
        <v>522</v>
      </c>
      <c r="O179" t="s">
        <v>402</v>
      </c>
    </row>
    <row r="180" spans="1:15" x14ac:dyDescent="0.25">
      <c r="A180" t="s">
        <v>844</v>
      </c>
      <c r="B180" t="s">
        <v>57</v>
      </c>
      <c r="C180" t="s">
        <v>612</v>
      </c>
      <c r="D180" t="s">
        <v>8</v>
      </c>
      <c r="E180">
        <v>2023</v>
      </c>
      <c r="F180" t="s">
        <v>181</v>
      </c>
      <c r="G180" t="s">
        <v>613</v>
      </c>
      <c r="J180" t="s">
        <v>33</v>
      </c>
      <c r="K180" t="s">
        <v>568</v>
      </c>
      <c r="L180" t="s">
        <v>7</v>
      </c>
      <c r="M180" t="s">
        <v>523</v>
      </c>
      <c r="N180" t="s">
        <v>538</v>
      </c>
      <c r="O180" t="s">
        <v>29</v>
      </c>
    </row>
    <row r="181" spans="1:15" x14ac:dyDescent="0.25">
      <c r="A181" t="s">
        <v>845</v>
      </c>
      <c r="B181" t="s">
        <v>57</v>
      </c>
      <c r="C181" t="s">
        <v>615</v>
      </c>
      <c r="D181" t="s">
        <v>8</v>
      </c>
      <c r="E181">
        <v>2022</v>
      </c>
      <c r="F181" t="s">
        <v>148</v>
      </c>
      <c r="G181" t="s">
        <v>616</v>
      </c>
      <c r="I181" t="s">
        <v>618</v>
      </c>
      <c r="J181" t="s">
        <v>33</v>
      </c>
      <c r="K181" t="s">
        <v>568</v>
      </c>
      <c r="M181" t="s">
        <v>523</v>
      </c>
      <c r="N181" t="s">
        <v>538</v>
      </c>
      <c r="O181" t="s">
        <v>29</v>
      </c>
    </row>
    <row r="182" spans="1:15" x14ac:dyDescent="0.25">
      <c r="A182" t="s">
        <v>846</v>
      </c>
      <c r="B182" t="s">
        <v>57</v>
      </c>
      <c r="C182" t="s">
        <v>619</v>
      </c>
      <c r="D182" t="s">
        <v>8</v>
      </c>
      <c r="E182">
        <v>2022</v>
      </c>
      <c r="F182" t="s">
        <v>174</v>
      </c>
      <c r="G182" t="s">
        <v>620</v>
      </c>
      <c r="I182" t="s">
        <v>622</v>
      </c>
      <c r="J182" t="s">
        <v>33</v>
      </c>
      <c r="K182" t="s">
        <v>568</v>
      </c>
      <c r="L182" t="s">
        <v>7</v>
      </c>
      <c r="M182" t="s">
        <v>523</v>
      </c>
      <c r="N182" t="s">
        <v>531</v>
      </c>
      <c r="O182" t="s">
        <v>32</v>
      </c>
    </row>
    <row r="183" spans="1:15" x14ac:dyDescent="0.25">
      <c r="A183" t="s">
        <v>846</v>
      </c>
      <c r="B183" t="s">
        <v>57</v>
      </c>
      <c r="C183" t="s">
        <v>619</v>
      </c>
      <c r="D183" t="s">
        <v>8</v>
      </c>
      <c r="E183">
        <v>2022</v>
      </c>
      <c r="F183" t="s">
        <v>174</v>
      </c>
      <c r="G183" t="s">
        <v>620</v>
      </c>
      <c r="I183" t="s">
        <v>622</v>
      </c>
      <c r="J183" t="s">
        <v>33</v>
      </c>
      <c r="K183" t="s">
        <v>568</v>
      </c>
      <c r="L183" t="s">
        <v>7</v>
      </c>
      <c r="M183" t="s">
        <v>523</v>
      </c>
      <c r="N183" t="s">
        <v>370</v>
      </c>
      <c r="O183" t="s">
        <v>67</v>
      </c>
    </row>
    <row r="184" spans="1:15" x14ac:dyDescent="0.25">
      <c r="A184" t="s">
        <v>846</v>
      </c>
      <c r="B184" t="s">
        <v>57</v>
      </c>
      <c r="C184" t="s">
        <v>619</v>
      </c>
      <c r="D184" t="s">
        <v>8</v>
      </c>
      <c r="E184">
        <v>2022</v>
      </c>
      <c r="F184" t="s">
        <v>174</v>
      </c>
      <c r="G184" t="s">
        <v>620</v>
      </c>
      <c r="I184" t="s">
        <v>622</v>
      </c>
      <c r="J184" t="s">
        <v>33</v>
      </c>
      <c r="K184" t="s">
        <v>568</v>
      </c>
      <c r="L184" t="s">
        <v>7</v>
      </c>
      <c r="M184" t="s">
        <v>527</v>
      </c>
      <c r="N184" t="s">
        <v>531</v>
      </c>
      <c r="O184" t="s">
        <v>32</v>
      </c>
    </row>
    <row r="185" spans="1:15" x14ac:dyDescent="0.25">
      <c r="A185" t="s">
        <v>846</v>
      </c>
      <c r="B185" t="s">
        <v>57</v>
      </c>
      <c r="C185" t="s">
        <v>619</v>
      </c>
      <c r="D185" t="s">
        <v>8</v>
      </c>
      <c r="E185">
        <v>2022</v>
      </c>
      <c r="F185" t="s">
        <v>174</v>
      </c>
      <c r="G185" t="s">
        <v>620</v>
      </c>
      <c r="I185" t="s">
        <v>622</v>
      </c>
      <c r="J185" t="s">
        <v>33</v>
      </c>
      <c r="K185" t="s">
        <v>568</v>
      </c>
      <c r="L185" t="s">
        <v>7</v>
      </c>
      <c r="M185" t="s">
        <v>527</v>
      </c>
      <c r="N185" t="s">
        <v>370</v>
      </c>
      <c r="O185" t="s">
        <v>67</v>
      </c>
    </row>
    <row r="186" spans="1:15" x14ac:dyDescent="0.25">
      <c r="A186" t="s">
        <v>846</v>
      </c>
      <c r="B186" t="s">
        <v>57</v>
      </c>
      <c r="C186" t="s">
        <v>619</v>
      </c>
      <c r="D186" t="s">
        <v>8</v>
      </c>
      <c r="E186">
        <v>2022</v>
      </c>
      <c r="F186" t="s">
        <v>174</v>
      </c>
      <c r="G186" t="s">
        <v>620</v>
      </c>
      <c r="I186" t="s">
        <v>622</v>
      </c>
      <c r="J186" t="s">
        <v>33</v>
      </c>
      <c r="K186" t="s">
        <v>568</v>
      </c>
      <c r="L186" t="s">
        <v>7</v>
      </c>
      <c r="M186" t="s">
        <v>6</v>
      </c>
      <c r="N186" t="s">
        <v>531</v>
      </c>
      <c r="O186" t="s">
        <v>32</v>
      </c>
    </row>
    <row r="187" spans="1:15" x14ac:dyDescent="0.25">
      <c r="A187" t="s">
        <v>846</v>
      </c>
      <c r="B187" t="s">
        <v>57</v>
      </c>
      <c r="C187" t="s">
        <v>619</v>
      </c>
      <c r="D187" t="s">
        <v>8</v>
      </c>
      <c r="E187">
        <v>2022</v>
      </c>
      <c r="F187" t="s">
        <v>174</v>
      </c>
      <c r="G187" t="s">
        <v>620</v>
      </c>
      <c r="I187" t="s">
        <v>622</v>
      </c>
      <c r="J187" t="s">
        <v>33</v>
      </c>
      <c r="K187" t="s">
        <v>568</v>
      </c>
      <c r="L187" t="s">
        <v>7</v>
      </c>
      <c r="M187" t="s">
        <v>6</v>
      </c>
      <c r="N187" t="s">
        <v>370</v>
      </c>
      <c r="O187" t="s">
        <v>67</v>
      </c>
    </row>
    <row r="188" spans="1:15" x14ac:dyDescent="0.25">
      <c r="A188" t="s">
        <v>846</v>
      </c>
      <c r="B188" t="s">
        <v>57</v>
      </c>
      <c r="C188" t="s">
        <v>619</v>
      </c>
      <c r="D188" t="s">
        <v>8</v>
      </c>
      <c r="E188">
        <v>2022</v>
      </c>
      <c r="F188" t="s">
        <v>174</v>
      </c>
      <c r="G188" t="s">
        <v>620</v>
      </c>
      <c r="I188" t="s">
        <v>622</v>
      </c>
      <c r="J188" t="s">
        <v>33</v>
      </c>
      <c r="K188" t="s">
        <v>568</v>
      </c>
      <c r="L188" t="s">
        <v>7</v>
      </c>
      <c r="M188" t="s">
        <v>18</v>
      </c>
      <c r="N188" t="s">
        <v>531</v>
      </c>
      <c r="O188" t="s">
        <v>32</v>
      </c>
    </row>
    <row r="189" spans="1:15" x14ac:dyDescent="0.25">
      <c r="A189" t="s">
        <v>846</v>
      </c>
      <c r="B189" t="s">
        <v>57</v>
      </c>
      <c r="C189" t="s">
        <v>619</v>
      </c>
      <c r="D189" t="s">
        <v>8</v>
      </c>
      <c r="E189">
        <v>2022</v>
      </c>
      <c r="F189" t="s">
        <v>174</v>
      </c>
      <c r="G189" t="s">
        <v>620</v>
      </c>
      <c r="I189" t="s">
        <v>622</v>
      </c>
      <c r="J189" t="s">
        <v>33</v>
      </c>
      <c r="K189" t="s">
        <v>568</v>
      </c>
      <c r="L189" t="s">
        <v>7</v>
      </c>
      <c r="M189" t="s">
        <v>18</v>
      </c>
      <c r="N189" t="s">
        <v>370</v>
      </c>
      <c r="O189" t="s">
        <v>67</v>
      </c>
    </row>
    <row r="190" spans="1:15" x14ac:dyDescent="0.25">
      <c r="A190" t="s">
        <v>847</v>
      </c>
      <c r="B190" t="s">
        <v>57</v>
      </c>
      <c r="C190" t="s">
        <v>623</v>
      </c>
      <c r="D190" t="s">
        <v>8</v>
      </c>
      <c r="E190">
        <v>2023</v>
      </c>
      <c r="F190" t="s">
        <v>185</v>
      </c>
      <c r="G190" t="s">
        <v>624</v>
      </c>
      <c r="I190" t="s">
        <v>1373</v>
      </c>
      <c r="J190" t="s">
        <v>33</v>
      </c>
      <c r="K190" t="s">
        <v>568</v>
      </c>
      <c r="L190" t="s">
        <v>7</v>
      </c>
      <c r="M190" t="s">
        <v>18</v>
      </c>
      <c r="N190" t="s">
        <v>531</v>
      </c>
      <c r="O190" t="s">
        <v>32</v>
      </c>
    </row>
    <row r="191" spans="1:15" x14ac:dyDescent="0.25">
      <c r="A191" t="s">
        <v>847</v>
      </c>
      <c r="B191" t="s">
        <v>57</v>
      </c>
      <c r="C191" t="s">
        <v>623</v>
      </c>
      <c r="D191" t="s">
        <v>8</v>
      </c>
      <c r="E191">
        <v>2023</v>
      </c>
      <c r="F191" t="s">
        <v>185</v>
      </c>
      <c r="G191" t="s">
        <v>624</v>
      </c>
      <c r="I191" t="s">
        <v>1373</v>
      </c>
      <c r="J191" t="s">
        <v>33</v>
      </c>
      <c r="K191" t="s">
        <v>568</v>
      </c>
      <c r="L191" t="s">
        <v>7</v>
      </c>
      <c r="M191" t="s">
        <v>6</v>
      </c>
      <c r="N191" t="s">
        <v>531</v>
      </c>
      <c r="O191" t="s">
        <v>32</v>
      </c>
    </row>
    <row r="192" spans="1:15" x14ac:dyDescent="0.25">
      <c r="A192" t="s">
        <v>847</v>
      </c>
      <c r="B192" t="s">
        <v>57</v>
      </c>
      <c r="C192" t="s">
        <v>623</v>
      </c>
      <c r="D192" t="s">
        <v>8</v>
      </c>
      <c r="E192">
        <v>2023</v>
      </c>
      <c r="F192" t="s">
        <v>185</v>
      </c>
      <c r="G192" t="s">
        <v>624</v>
      </c>
      <c r="I192" t="s">
        <v>1373</v>
      </c>
      <c r="J192" t="s">
        <v>33</v>
      </c>
      <c r="K192" t="s">
        <v>568</v>
      </c>
      <c r="L192" t="s">
        <v>7</v>
      </c>
      <c r="M192" t="s">
        <v>523</v>
      </c>
      <c r="N192" t="s">
        <v>531</v>
      </c>
      <c r="O192" t="s">
        <v>32</v>
      </c>
    </row>
    <row r="193" spans="1:15" x14ac:dyDescent="0.25">
      <c r="A193" t="s">
        <v>848</v>
      </c>
      <c r="B193" t="s">
        <v>57</v>
      </c>
      <c r="C193" t="s">
        <v>626</v>
      </c>
      <c r="D193" t="s">
        <v>8</v>
      </c>
      <c r="E193">
        <v>2023</v>
      </c>
      <c r="F193" t="s">
        <v>185</v>
      </c>
      <c r="G193" t="s">
        <v>627</v>
      </c>
      <c r="I193" t="s">
        <v>1373</v>
      </c>
      <c r="J193" t="s">
        <v>33</v>
      </c>
      <c r="K193" t="s">
        <v>568</v>
      </c>
      <c r="L193" t="s">
        <v>7</v>
      </c>
      <c r="M193" t="s">
        <v>523</v>
      </c>
      <c r="N193" t="s">
        <v>370</v>
      </c>
      <c r="O193" t="s">
        <v>67</v>
      </c>
    </row>
    <row r="194" spans="1:15" x14ac:dyDescent="0.25">
      <c r="A194" t="s">
        <v>849</v>
      </c>
      <c r="B194" t="s">
        <v>57</v>
      </c>
      <c r="C194" t="s">
        <v>629</v>
      </c>
      <c r="D194" t="s">
        <v>8</v>
      </c>
      <c r="E194">
        <v>2023</v>
      </c>
      <c r="F194" t="s">
        <v>183</v>
      </c>
      <c r="G194" t="s">
        <v>630</v>
      </c>
      <c r="I194" t="s">
        <v>1373</v>
      </c>
      <c r="J194" t="s">
        <v>33</v>
      </c>
      <c r="K194" t="s">
        <v>58</v>
      </c>
      <c r="M194" t="s">
        <v>524</v>
      </c>
      <c r="N194" t="s">
        <v>529</v>
      </c>
      <c r="O194" t="s">
        <v>386</v>
      </c>
    </row>
    <row r="195" spans="1:15" x14ac:dyDescent="0.25">
      <c r="A195" t="s">
        <v>849</v>
      </c>
      <c r="B195" t="s">
        <v>57</v>
      </c>
      <c r="C195" t="s">
        <v>629</v>
      </c>
      <c r="D195" t="s">
        <v>8</v>
      </c>
      <c r="E195">
        <v>2023</v>
      </c>
      <c r="F195" t="s">
        <v>183</v>
      </c>
      <c r="G195" t="s">
        <v>630</v>
      </c>
      <c r="I195" t="s">
        <v>1373</v>
      </c>
      <c r="J195" t="s">
        <v>33</v>
      </c>
      <c r="K195" t="s">
        <v>58</v>
      </c>
      <c r="M195" t="s">
        <v>524</v>
      </c>
      <c r="N195" t="s">
        <v>538</v>
      </c>
      <c r="O195" t="s">
        <v>29</v>
      </c>
    </row>
    <row r="196" spans="1:15" x14ac:dyDescent="0.25">
      <c r="A196" t="s">
        <v>849</v>
      </c>
      <c r="B196" t="s">
        <v>57</v>
      </c>
      <c r="C196" t="s">
        <v>629</v>
      </c>
      <c r="D196" t="s">
        <v>8</v>
      </c>
      <c r="E196">
        <v>2023</v>
      </c>
      <c r="F196" t="s">
        <v>183</v>
      </c>
      <c r="G196" t="s">
        <v>630</v>
      </c>
      <c r="I196" t="s">
        <v>1373</v>
      </c>
      <c r="J196" t="s">
        <v>33</v>
      </c>
      <c r="K196" t="s">
        <v>58</v>
      </c>
      <c r="M196" t="s">
        <v>523</v>
      </c>
      <c r="N196" t="s">
        <v>529</v>
      </c>
      <c r="O196" t="s">
        <v>386</v>
      </c>
    </row>
    <row r="197" spans="1:15" x14ac:dyDescent="0.25">
      <c r="A197" t="s">
        <v>849</v>
      </c>
      <c r="B197" t="s">
        <v>57</v>
      </c>
      <c r="C197" t="s">
        <v>629</v>
      </c>
      <c r="D197" t="s">
        <v>8</v>
      </c>
      <c r="E197">
        <v>2023</v>
      </c>
      <c r="F197" t="s">
        <v>183</v>
      </c>
      <c r="G197" t="s">
        <v>630</v>
      </c>
      <c r="I197" t="s">
        <v>1373</v>
      </c>
      <c r="J197" t="s">
        <v>33</v>
      </c>
      <c r="K197" t="s">
        <v>58</v>
      </c>
      <c r="M197" t="s">
        <v>523</v>
      </c>
      <c r="N197" t="s">
        <v>538</v>
      </c>
      <c r="O197" t="s">
        <v>29</v>
      </c>
    </row>
    <row r="198" spans="1:15" x14ac:dyDescent="0.25">
      <c r="A198" t="s">
        <v>850</v>
      </c>
      <c r="B198" t="s">
        <v>57</v>
      </c>
      <c r="C198" t="s">
        <v>633</v>
      </c>
      <c r="D198" t="s">
        <v>8</v>
      </c>
      <c r="E198">
        <v>2023</v>
      </c>
      <c r="F198" t="s">
        <v>183</v>
      </c>
      <c r="G198" t="s">
        <v>634</v>
      </c>
      <c r="I198" t="s">
        <v>1373</v>
      </c>
      <c r="J198" t="s">
        <v>33</v>
      </c>
      <c r="K198" t="s">
        <v>58</v>
      </c>
      <c r="M198" t="s">
        <v>523</v>
      </c>
      <c r="N198" t="s">
        <v>529</v>
      </c>
      <c r="O198" t="s">
        <v>386</v>
      </c>
    </row>
    <row r="199" spans="1:15" x14ac:dyDescent="0.25">
      <c r="A199" t="s">
        <v>850</v>
      </c>
      <c r="B199" t="s">
        <v>57</v>
      </c>
      <c r="C199" t="s">
        <v>633</v>
      </c>
      <c r="D199" t="s">
        <v>8</v>
      </c>
      <c r="E199">
        <v>2023</v>
      </c>
      <c r="F199" t="s">
        <v>183</v>
      </c>
      <c r="G199" t="s">
        <v>634</v>
      </c>
      <c r="I199" t="s">
        <v>1373</v>
      </c>
      <c r="J199" t="s">
        <v>33</v>
      </c>
      <c r="K199" t="s">
        <v>58</v>
      </c>
      <c r="M199" t="s">
        <v>527</v>
      </c>
      <c r="N199" t="s">
        <v>529</v>
      </c>
      <c r="O199" t="s">
        <v>386</v>
      </c>
    </row>
    <row r="200" spans="1:15" x14ac:dyDescent="0.25">
      <c r="A200" t="s">
        <v>850</v>
      </c>
      <c r="B200" t="s">
        <v>57</v>
      </c>
      <c r="C200" t="s">
        <v>633</v>
      </c>
      <c r="D200" t="s">
        <v>8</v>
      </c>
      <c r="E200">
        <v>2023</v>
      </c>
      <c r="F200" t="s">
        <v>183</v>
      </c>
      <c r="G200" t="s">
        <v>634</v>
      </c>
      <c r="I200" t="s">
        <v>1373</v>
      </c>
      <c r="J200" t="s">
        <v>33</v>
      </c>
      <c r="K200" t="s">
        <v>58</v>
      </c>
      <c r="M200" t="s">
        <v>524</v>
      </c>
      <c r="N200" t="s">
        <v>529</v>
      </c>
      <c r="O200" t="s">
        <v>386</v>
      </c>
    </row>
    <row r="201" spans="1:15" x14ac:dyDescent="0.25">
      <c r="A201" t="s">
        <v>855</v>
      </c>
      <c r="B201" t="s">
        <v>57</v>
      </c>
      <c r="C201" t="s">
        <v>647</v>
      </c>
      <c r="D201" t="s">
        <v>8</v>
      </c>
      <c r="E201">
        <v>2023</v>
      </c>
      <c r="F201" t="s">
        <v>183</v>
      </c>
      <c r="G201" t="s">
        <v>648</v>
      </c>
      <c r="I201" t="s">
        <v>1373</v>
      </c>
      <c r="J201" t="s">
        <v>33</v>
      </c>
      <c r="K201" t="s">
        <v>58</v>
      </c>
      <c r="M201" t="s">
        <v>527</v>
      </c>
      <c r="N201" t="s">
        <v>370</v>
      </c>
      <c r="O201" t="s">
        <v>67</v>
      </c>
    </row>
    <row r="202" spans="1:15" x14ac:dyDescent="0.25">
      <c r="A202" t="s">
        <v>855</v>
      </c>
      <c r="B202" t="s">
        <v>57</v>
      </c>
      <c r="C202" t="s">
        <v>647</v>
      </c>
      <c r="D202" t="s">
        <v>8</v>
      </c>
      <c r="E202">
        <v>2023</v>
      </c>
      <c r="F202" t="s">
        <v>183</v>
      </c>
      <c r="G202" t="s">
        <v>648</v>
      </c>
      <c r="I202" t="s">
        <v>1373</v>
      </c>
      <c r="J202" t="s">
        <v>33</v>
      </c>
      <c r="K202" t="s">
        <v>58</v>
      </c>
      <c r="M202" t="s">
        <v>527</v>
      </c>
      <c r="N202" t="s">
        <v>538</v>
      </c>
      <c r="O202" t="s">
        <v>29</v>
      </c>
    </row>
    <row r="203" spans="1:15" x14ac:dyDescent="0.25">
      <c r="A203" t="s">
        <v>857</v>
      </c>
      <c r="B203" t="s">
        <v>57</v>
      </c>
      <c r="C203" t="s">
        <v>653</v>
      </c>
      <c r="D203" t="s">
        <v>8</v>
      </c>
      <c r="E203">
        <v>2022</v>
      </c>
      <c r="F203" t="s">
        <v>190</v>
      </c>
      <c r="G203" t="s">
        <v>654</v>
      </c>
      <c r="I203" t="s">
        <v>1373</v>
      </c>
      <c r="J203" t="s">
        <v>33</v>
      </c>
      <c r="K203" t="s">
        <v>58</v>
      </c>
      <c r="L203" t="s">
        <v>7</v>
      </c>
      <c r="M203" t="s">
        <v>18</v>
      </c>
      <c r="N203" t="s">
        <v>522</v>
      </c>
      <c r="O203" t="s">
        <v>402</v>
      </c>
    </row>
    <row r="204" spans="1:15" x14ac:dyDescent="0.25">
      <c r="A204" t="s">
        <v>858</v>
      </c>
      <c r="B204" t="s">
        <v>57</v>
      </c>
      <c r="C204" t="s">
        <v>656</v>
      </c>
      <c r="D204" t="s">
        <v>8</v>
      </c>
      <c r="E204">
        <v>2022</v>
      </c>
      <c r="F204" t="s">
        <v>190</v>
      </c>
      <c r="G204" t="s">
        <v>657</v>
      </c>
      <c r="I204" t="s">
        <v>1373</v>
      </c>
      <c r="J204" t="s">
        <v>33</v>
      </c>
      <c r="K204" t="s">
        <v>58</v>
      </c>
      <c r="L204" t="s">
        <v>7</v>
      </c>
      <c r="M204" t="s">
        <v>18</v>
      </c>
      <c r="N204" t="s">
        <v>522</v>
      </c>
      <c r="O204" t="s">
        <v>402</v>
      </c>
    </row>
    <row r="205" spans="1:15" x14ac:dyDescent="0.25">
      <c r="A205" t="s">
        <v>859</v>
      </c>
      <c r="B205" t="s">
        <v>57</v>
      </c>
      <c r="C205" t="s">
        <v>659</v>
      </c>
      <c r="D205" t="s">
        <v>8</v>
      </c>
      <c r="E205">
        <v>2023</v>
      </c>
      <c r="F205" t="s">
        <v>190</v>
      </c>
      <c r="G205" t="s">
        <v>660</v>
      </c>
      <c r="I205" t="s">
        <v>1373</v>
      </c>
      <c r="J205" t="s">
        <v>33</v>
      </c>
      <c r="K205" t="s">
        <v>568</v>
      </c>
      <c r="L205" t="s">
        <v>7</v>
      </c>
      <c r="M205" t="s">
        <v>18</v>
      </c>
      <c r="N205" t="s">
        <v>538</v>
      </c>
      <c r="O205" t="s">
        <v>29</v>
      </c>
    </row>
    <row r="206" spans="1:15" x14ac:dyDescent="0.25">
      <c r="A206" t="s">
        <v>860</v>
      </c>
      <c r="B206" t="s">
        <v>57</v>
      </c>
      <c r="C206" t="s">
        <v>662</v>
      </c>
      <c r="D206" t="s">
        <v>8</v>
      </c>
      <c r="E206">
        <v>2022</v>
      </c>
      <c r="F206" t="s">
        <v>190</v>
      </c>
      <c r="G206" t="s">
        <v>861</v>
      </c>
      <c r="I206" t="s">
        <v>1373</v>
      </c>
      <c r="J206" t="s">
        <v>33</v>
      </c>
      <c r="K206" t="s">
        <v>58</v>
      </c>
      <c r="L206" t="s">
        <v>7</v>
      </c>
      <c r="M206" t="s">
        <v>18</v>
      </c>
      <c r="N206" t="s">
        <v>370</v>
      </c>
      <c r="O206" t="s">
        <v>67</v>
      </c>
    </row>
    <row r="207" spans="1:15" x14ac:dyDescent="0.25">
      <c r="A207" t="s">
        <v>860</v>
      </c>
      <c r="B207" t="s">
        <v>57</v>
      </c>
      <c r="C207" t="s">
        <v>662</v>
      </c>
      <c r="D207" t="s">
        <v>8</v>
      </c>
      <c r="E207">
        <v>2022</v>
      </c>
      <c r="F207" t="s">
        <v>190</v>
      </c>
      <c r="G207" t="s">
        <v>861</v>
      </c>
      <c r="I207" t="s">
        <v>1373</v>
      </c>
      <c r="J207" t="s">
        <v>33</v>
      </c>
      <c r="K207" t="s">
        <v>58</v>
      </c>
      <c r="L207" t="s">
        <v>7</v>
      </c>
      <c r="M207" t="s">
        <v>18</v>
      </c>
      <c r="N207" t="s">
        <v>538</v>
      </c>
      <c r="O207" t="s">
        <v>29</v>
      </c>
    </row>
    <row r="208" spans="1:15" x14ac:dyDescent="0.25">
      <c r="A208" t="s">
        <v>862</v>
      </c>
      <c r="B208" t="s">
        <v>57</v>
      </c>
      <c r="C208" t="s">
        <v>665</v>
      </c>
      <c r="D208" t="s">
        <v>8</v>
      </c>
      <c r="E208">
        <v>2022</v>
      </c>
      <c r="F208" t="s">
        <v>190</v>
      </c>
      <c r="G208" t="s">
        <v>666</v>
      </c>
      <c r="I208" t="s">
        <v>1373</v>
      </c>
      <c r="J208" t="s">
        <v>33</v>
      </c>
      <c r="K208" t="s">
        <v>58</v>
      </c>
      <c r="L208" t="s">
        <v>7</v>
      </c>
      <c r="M208" t="s">
        <v>18</v>
      </c>
      <c r="N208" t="s">
        <v>370</v>
      </c>
      <c r="O208" t="s">
        <v>67</v>
      </c>
    </row>
    <row r="209" spans="1:15" x14ac:dyDescent="0.25">
      <c r="A209" t="s">
        <v>863</v>
      </c>
      <c r="B209" t="s">
        <v>57</v>
      </c>
      <c r="C209" t="s">
        <v>668</v>
      </c>
      <c r="D209" t="s">
        <v>8</v>
      </c>
      <c r="E209">
        <v>2021</v>
      </c>
      <c r="F209" t="s">
        <v>190</v>
      </c>
      <c r="G209" t="s">
        <v>864</v>
      </c>
      <c r="I209" t="s">
        <v>1373</v>
      </c>
      <c r="J209" t="s">
        <v>33</v>
      </c>
      <c r="K209" t="s">
        <v>58</v>
      </c>
      <c r="L209" t="s">
        <v>7</v>
      </c>
      <c r="M209" t="s">
        <v>18</v>
      </c>
      <c r="N209" t="s">
        <v>534</v>
      </c>
      <c r="O209" t="s">
        <v>30</v>
      </c>
    </row>
    <row r="210" spans="1:15" x14ac:dyDescent="0.25">
      <c r="A210" t="s">
        <v>865</v>
      </c>
      <c r="B210" t="s">
        <v>57</v>
      </c>
      <c r="C210" t="s">
        <v>671</v>
      </c>
      <c r="D210" t="s">
        <v>8</v>
      </c>
      <c r="E210">
        <v>2023</v>
      </c>
      <c r="F210" t="s">
        <v>190</v>
      </c>
      <c r="G210" t="s">
        <v>672</v>
      </c>
      <c r="I210" t="s">
        <v>1373</v>
      </c>
      <c r="J210" t="s">
        <v>33</v>
      </c>
      <c r="K210" t="s">
        <v>568</v>
      </c>
      <c r="L210" t="s">
        <v>7</v>
      </c>
      <c r="M210" t="s">
        <v>18</v>
      </c>
      <c r="N210" t="s">
        <v>522</v>
      </c>
      <c r="O210" t="s">
        <v>402</v>
      </c>
    </row>
    <row r="211" spans="1:15" x14ac:dyDescent="0.25">
      <c r="A211" t="s">
        <v>866</v>
      </c>
      <c r="B211" t="s">
        <v>57</v>
      </c>
      <c r="C211" t="s">
        <v>674</v>
      </c>
      <c r="D211" t="s">
        <v>8</v>
      </c>
      <c r="E211">
        <v>2022</v>
      </c>
      <c r="F211" t="s">
        <v>190</v>
      </c>
      <c r="G211" t="s">
        <v>675</v>
      </c>
      <c r="I211" t="s">
        <v>1373</v>
      </c>
      <c r="J211" t="s">
        <v>33</v>
      </c>
      <c r="K211" t="s">
        <v>568</v>
      </c>
      <c r="L211" t="s">
        <v>7</v>
      </c>
      <c r="M211" t="s">
        <v>527</v>
      </c>
      <c r="N211" t="s">
        <v>529</v>
      </c>
      <c r="O211" t="s">
        <v>386</v>
      </c>
    </row>
    <row r="212" spans="1:15" x14ac:dyDescent="0.25">
      <c r="A212" t="s">
        <v>866</v>
      </c>
      <c r="B212" t="s">
        <v>57</v>
      </c>
      <c r="C212" t="s">
        <v>674</v>
      </c>
      <c r="D212" t="s">
        <v>8</v>
      </c>
      <c r="E212">
        <v>2022</v>
      </c>
      <c r="F212" t="s">
        <v>190</v>
      </c>
      <c r="G212" t="s">
        <v>675</v>
      </c>
      <c r="I212" t="s">
        <v>1373</v>
      </c>
      <c r="J212" t="s">
        <v>33</v>
      </c>
      <c r="K212" t="s">
        <v>568</v>
      </c>
      <c r="L212" t="s">
        <v>7</v>
      </c>
      <c r="M212" t="s">
        <v>523</v>
      </c>
      <c r="N212" t="s">
        <v>529</v>
      </c>
      <c r="O212" t="s">
        <v>386</v>
      </c>
    </row>
    <row r="213" spans="1:15" x14ac:dyDescent="0.25">
      <c r="A213" t="s">
        <v>866</v>
      </c>
      <c r="B213" t="s">
        <v>57</v>
      </c>
      <c r="C213" t="s">
        <v>674</v>
      </c>
      <c r="D213" t="s">
        <v>8</v>
      </c>
      <c r="E213">
        <v>2022</v>
      </c>
      <c r="F213" t="s">
        <v>190</v>
      </c>
      <c r="G213" t="s">
        <v>675</v>
      </c>
      <c r="I213" t="s">
        <v>1373</v>
      </c>
      <c r="J213" t="s">
        <v>33</v>
      </c>
      <c r="K213" t="s">
        <v>568</v>
      </c>
      <c r="L213" t="s">
        <v>7</v>
      </c>
      <c r="M213" t="s">
        <v>18</v>
      </c>
      <c r="N213" t="s">
        <v>529</v>
      </c>
      <c r="O213" t="s">
        <v>386</v>
      </c>
    </row>
    <row r="214" spans="1:15" x14ac:dyDescent="0.25">
      <c r="A214" t="s">
        <v>867</v>
      </c>
      <c r="B214" t="s">
        <v>57</v>
      </c>
      <c r="C214" t="s">
        <v>677</v>
      </c>
      <c r="D214" t="s">
        <v>8</v>
      </c>
      <c r="E214">
        <v>2022</v>
      </c>
      <c r="F214" t="s">
        <v>190</v>
      </c>
      <c r="G214" t="s">
        <v>678</v>
      </c>
      <c r="I214" t="s">
        <v>1373</v>
      </c>
      <c r="J214" t="s">
        <v>33</v>
      </c>
      <c r="K214" t="s">
        <v>568</v>
      </c>
      <c r="L214" t="s">
        <v>7</v>
      </c>
      <c r="M214" t="s">
        <v>524</v>
      </c>
      <c r="N214" t="s">
        <v>370</v>
      </c>
      <c r="O214" t="s">
        <v>67</v>
      </c>
    </row>
    <row r="215" spans="1:15" x14ac:dyDescent="0.25">
      <c r="A215" t="s">
        <v>867</v>
      </c>
      <c r="B215" t="s">
        <v>57</v>
      </c>
      <c r="C215" t="s">
        <v>677</v>
      </c>
      <c r="D215" t="s">
        <v>8</v>
      </c>
      <c r="E215">
        <v>2022</v>
      </c>
      <c r="F215" t="s">
        <v>190</v>
      </c>
      <c r="G215" t="s">
        <v>678</v>
      </c>
      <c r="I215" t="s">
        <v>1373</v>
      </c>
      <c r="J215" t="s">
        <v>33</v>
      </c>
      <c r="K215" t="s">
        <v>568</v>
      </c>
      <c r="L215" t="s">
        <v>7</v>
      </c>
      <c r="M215" t="s">
        <v>524</v>
      </c>
      <c r="N215" t="s">
        <v>538</v>
      </c>
      <c r="O215" t="s">
        <v>29</v>
      </c>
    </row>
    <row r="216" spans="1:15" x14ac:dyDescent="0.25">
      <c r="A216" t="s">
        <v>867</v>
      </c>
      <c r="B216" t="s">
        <v>57</v>
      </c>
      <c r="C216" t="s">
        <v>677</v>
      </c>
      <c r="D216" t="s">
        <v>8</v>
      </c>
      <c r="E216">
        <v>2022</v>
      </c>
      <c r="F216" t="s">
        <v>190</v>
      </c>
      <c r="G216" t="s">
        <v>678</v>
      </c>
      <c r="I216" t="s">
        <v>1373</v>
      </c>
      <c r="J216" t="s">
        <v>33</v>
      </c>
      <c r="K216" t="s">
        <v>568</v>
      </c>
      <c r="L216" t="s">
        <v>7</v>
      </c>
      <c r="M216" t="s">
        <v>6</v>
      </c>
      <c r="N216" t="s">
        <v>370</v>
      </c>
      <c r="O216" t="s">
        <v>67</v>
      </c>
    </row>
    <row r="217" spans="1:15" x14ac:dyDescent="0.25">
      <c r="A217" t="s">
        <v>867</v>
      </c>
      <c r="B217" t="s">
        <v>57</v>
      </c>
      <c r="C217" t="s">
        <v>677</v>
      </c>
      <c r="D217" t="s">
        <v>8</v>
      </c>
      <c r="E217">
        <v>2022</v>
      </c>
      <c r="F217" t="s">
        <v>190</v>
      </c>
      <c r="G217" t="s">
        <v>678</v>
      </c>
      <c r="I217" t="s">
        <v>1373</v>
      </c>
      <c r="J217" t="s">
        <v>33</v>
      </c>
      <c r="K217" t="s">
        <v>568</v>
      </c>
      <c r="L217" t="s">
        <v>7</v>
      </c>
      <c r="M217" t="s">
        <v>6</v>
      </c>
      <c r="N217" t="s">
        <v>538</v>
      </c>
      <c r="O217" t="s">
        <v>29</v>
      </c>
    </row>
    <row r="218" spans="1:15" x14ac:dyDescent="0.25">
      <c r="A218" t="s">
        <v>867</v>
      </c>
      <c r="B218" t="s">
        <v>57</v>
      </c>
      <c r="C218" t="s">
        <v>677</v>
      </c>
      <c r="D218" t="s">
        <v>8</v>
      </c>
      <c r="E218">
        <v>2022</v>
      </c>
      <c r="F218" t="s">
        <v>190</v>
      </c>
      <c r="G218" t="s">
        <v>678</v>
      </c>
      <c r="I218" t="s">
        <v>1373</v>
      </c>
      <c r="J218" t="s">
        <v>33</v>
      </c>
      <c r="K218" t="s">
        <v>568</v>
      </c>
      <c r="L218" t="s">
        <v>7</v>
      </c>
      <c r="M218" t="s">
        <v>18</v>
      </c>
      <c r="N218" t="s">
        <v>370</v>
      </c>
      <c r="O218" t="s">
        <v>67</v>
      </c>
    </row>
    <row r="219" spans="1:15" x14ac:dyDescent="0.25">
      <c r="A219" t="s">
        <v>867</v>
      </c>
      <c r="B219" t="s">
        <v>57</v>
      </c>
      <c r="C219" t="s">
        <v>677</v>
      </c>
      <c r="D219" t="s">
        <v>8</v>
      </c>
      <c r="E219">
        <v>2022</v>
      </c>
      <c r="F219" t="s">
        <v>190</v>
      </c>
      <c r="G219" t="s">
        <v>678</v>
      </c>
      <c r="I219" t="s">
        <v>1373</v>
      </c>
      <c r="J219" t="s">
        <v>33</v>
      </c>
      <c r="K219" t="s">
        <v>568</v>
      </c>
      <c r="L219" t="s">
        <v>7</v>
      </c>
      <c r="M219" t="s">
        <v>18</v>
      </c>
      <c r="N219" t="s">
        <v>538</v>
      </c>
      <c r="O219" t="s">
        <v>29</v>
      </c>
    </row>
    <row r="220" spans="1:15" x14ac:dyDescent="0.25">
      <c r="A220" t="s">
        <v>868</v>
      </c>
      <c r="B220" t="s">
        <v>57</v>
      </c>
      <c r="C220" t="s">
        <v>680</v>
      </c>
      <c r="D220" t="s">
        <v>8</v>
      </c>
      <c r="E220">
        <v>2022</v>
      </c>
      <c r="F220" t="s">
        <v>190</v>
      </c>
      <c r="G220" t="s">
        <v>681</v>
      </c>
      <c r="I220" t="s">
        <v>1373</v>
      </c>
      <c r="J220" t="s">
        <v>33</v>
      </c>
      <c r="K220" t="s">
        <v>568</v>
      </c>
      <c r="L220" t="s">
        <v>7</v>
      </c>
      <c r="M220" t="s">
        <v>527</v>
      </c>
      <c r="N220" t="s">
        <v>538</v>
      </c>
      <c r="O220" t="s">
        <v>29</v>
      </c>
    </row>
    <row r="221" spans="1:15" x14ac:dyDescent="0.25">
      <c r="A221" t="s">
        <v>868</v>
      </c>
      <c r="B221" t="s">
        <v>57</v>
      </c>
      <c r="C221" t="s">
        <v>680</v>
      </c>
      <c r="D221" t="s">
        <v>8</v>
      </c>
      <c r="E221">
        <v>2022</v>
      </c>
      <c r="F221" t="s">
        <v>190</v>
      </c>
      <c r="G221" t="s">
        <v>681</v>
      </c>
      <c r="I221" t="s">
        <v>1373</v>
      </c>
      <c r="J221" t="s">
        <v>33</v>
      </c>
      <c r="K221" t="s">
        <v>568</v>
      </c>
      <c r="L221" t="s">
        <v>7</v>
      </c>
      <c r="M221" t="s">
        <v>527</v>
      </c>
      <c r="N221" t="s">
        <v>370</v>
      </c>
      <c r="O221" t="s">
        <v>67</v>
      </c>
    </row>
    <row r="222" spans="1:15" x14ac:dyDescent="0.25">
      <c r="A222" t="s">
        <v>869</v>
      </c>
      <c r="B222" t="s">
        <v>57</v>
      </c>
      <c r="C222" t="s">
        <v>683</v>
      </c>
      <c r="D222" t="s">
        <v>8</v>
      </c>
      <c r="E222">
        <v>2022</v>
      </c>
      <c r="F222" t="s">
        <v>190</v>
      </c>
      <c r="G222" t="s">
        <v>870</v>
      </c>
      <c r="I222" t="s">
        <v>1373</v>
      </c>
      <c r="J222" t="s">
        <v>33</v>
      </c>
      <c r="K222" t="s">
        <v>568</v>
      </c>
      <c r="L222" t="s">
        <v>7</v>
      </c>
      <c r="M222" t="s">
        <v>523</v>
      </c>
      <c r="N222" t="s">
        <v>538</v>
      </c>
      <c r="O222" t="s">
        <v>29</v>
      </c>
    </row>
    <row r="223" spans="1:15" x14ac:dyDescent="0.25">
      <c r="A223" t="s">
        <v>869</v>
      </c>
      <c r="B223" t="s">
        <v>57</v>
      </c>
      <c r="C223" t="s">
        <v>683</v>
      </c>
      <c r="D223" t="s">
        <v>8</v>
      </c>
      <c r="E223">
        <v>2022</v>
      </c>
      <c r="F223" t="s">
        <v>190</v>
      </c>
      <c r="G223" t="s">
        <v>870</v>
      </c>
      <c r="I223" t="s">
        <v>1373</v>
      </c>
      <c r="J223" t="s">
        <v>33</v>
      </c>
      <c r="K223" t="s">
        <v>568</v>
      </c>
      <c r="L223" t="s">
        <v>7</v>
      </c>
      <c r="M223" t="s">
        <v>523</v>
      </c>
      <c r="N223" t="s">
        <v>370</v>
      </c>
      <c r="O223" t="s">
        <v>67</v>
      </c>
    </row>
    <row r="224" spans="1:15" x14ac:dyDescent="0.25">
      <c r="A224" t="s">
        <v>871</v>
      </c>
      <c r="B224" t="s">
        <v>57</v>
      </c>
      <c r="C224" t="s">
        <v>686</v>
      </c>
      <c r="D224" t="s">
        <v>8</v>
      </c>
      <c r="E224">
        <v>2023</v>
      </c>
      <c r="F224" t="s">
        <v>687</v>
      </c>
      <c r="G224" t="s">
        <v>688</v>
      </c>
      <c r="I224" t="s">
        <v>690</v>
      </c>
      <c r="J224" t="s">
        <v>33</v>
      </c>
      <c r="K224" t="s">
        <v>568</v>
      </c>
      <c r="L224" t="s">
        <v>7</v>
      </c>
      <c r="M224" t="s">
        <v>18</v>
      </c>
      <c r="N224" t="s">
        <v>546</v>
      </c>
    </row>
    <row r="225" spans="1:15" x14ac:dyDescent="0.25">
      <c r="A225" t="s">
        <v>871</v>
      </c>
      <c r="B225" t="s">
        <v>57</v>
      </c>
      <c r="C225" t="s">
        <v>686</v>
      </c>
      <c r="D225" t="s">
        <v>8</v>
      </c>
      <c r="E225">
        <v>2023</v>
      </c>
      <c r="F225" t="s">
        <v>687</v>
      </c>
      <c r="G225" t="s">
        <v>688</v>
      </c>
      <c r="I225" t="s">
        <v>690</v>
      </c>
      <c r="J225" t="s">
        <v>33</v>
      </c>
      <c r="K225" t="s">
        <v>568</v>
      </c>
      <c r="L225" t="s">
        <v>7</v>
      </c>
      <c r="M225" t="s">
        <v>18</v>
      </c>
      <c r="N225" t="s">
        <v>534</v>
      </c>
      <c r="O225" t="s">
        <v>30</v>
      </c>
    </row>
    <row r="226" spans="1:15" x14ac:dyDescent="0.25">
      <c r="A226" t="s">
        <v>872</v>
      </c>
      <c r="B226" t="s">
        <v>57</v>
      </c>
      <c r="C226" t="s">
        <v>692</v>
      </c>
      <c r="D226" t="s">
        <v>439</v>
      </c>
      <c r="E226">
        <v>2023</v>
      </c>
      <c r="F226" t="s">
        <v>687</v>
      </c>
      <c r="G226" t="s">
        <v>693</v>
      </c>
      <c r="I226" t="s">
        <v>695</v>
      </c>
      <c r="J226" t="s">
        <v>33</v>
      </c>
      <c r="K226" t="s">
        <v>568</v>
      </c>
      <c r="M226" t="s">
        <v>18</v>
      </c>
      <c r="N226" t="s">
        <v>534</v>
      </c>
      <c r="O226" t="s">
        <v>30</v>
      </c>
    </row>
    <row r="227" spans="1:15" x14ac:dyDescent="0.25">
      <c r="A227" t="s">
        <v>872</v>
      </c>
      <c r="B227" t="s">
        <v>57</v>
      </c>
      <c r="C227" t="s">
        <v>692</v>
      </c>
      <c r="D227" t="s">
        <v>439</v>
      </c>
      <c r="E227">
        <v>2023</v>
      </c>
      <c r="F227" t="s">
        <v>687</v>
      </c>
      <c r="G227" t="s">
        <v>693</v>
      </c>
      <c r="I227" t="s">
        <v>695</v>
      </c>
      <c r="J227" t="s">
        <v>33</v>
      </c>
      <c r="K227" t="s">
        <v>568</v>
      </c>
      <c r="M227" t="s">
        <v>18</v>
      </c>
      <c r="N227" t="s">
        <v>546</v>
      </c>
    </row>
    <row r="228" spans="1:15" x14ac:dyDescent="0.25">
      <c r="A228" t="s">
        <v>873</v>
      </c>
      <c r="B228" t="s">
        <v>57</v>
      </c>
      <c r="C228" t="s">
        <v>696</v>
      </c>
      <c r="D228" t="s">
        <v>439</v>
      </c>
      <c r="E228">
        <v>2023</v>
      </c>
      <c r="F228" t="s">
        <v>687</v>
      </c>
      <c r="G228" t="s">
        <v>697</v>
      </c>
      <c r="I228" t="s">
        <v>699</v>
      </c>
      <c r="J228" t="s">
        <v>33</v>
      </c>
      <c r="K228" t="s">
        <v>568</v>
      </c>
      <c r="M228" t="s">
        <v>18</v>
      </c>
      <c r="N228" t="s">
        <v>534</v>
      </c>
      <c r="O228" t="s">
        <v>30</v>
      </c>
    </row>
    <row r="229" spans="1:15" x14ac:dyDescent="0.25">
      <c r="A229" t="s">
        <v>873</v>
      </c>
      <c r="B229" t="s">
        <v>57</v>
      </c>
      <c r="C229" t="s">
        <v>696</v>
      </c>
      <c r="D229" t="s">
        <v>439</v>
      </c>
      <c r="E229">
        <v>2023</v>
      </c>
      <c r="F229" t="s">
        <v>687</v>
      </c>
      <c r="G229" t="s">
        <v>697</v>
      </c>
      <c r="I229" t="s">
        <v>699</v>
      </c>
      <c r="J229" t="s">
        <v>33</v>
      </c>
      <c r="K229" t="s">
        <v>568</v>
      </c>
      <c r="M229" t="s">
        <v>18</v>
      </c>
      <c r="N229" t="s">
        <v>546</v>
      </c>
    </row>
    <row r="230" spans="1:15" x14ac:dyDescent="0.25">
      <c r="A230" t="s">
        <v>874</v>
      </c>
      <c r="B230" t="s">
        <v>57</v>
      </c>
      <c r="C230" t="s">
        <v>700</v>
      </c>
      <c r="D230" t="s">
        <v>8</v>
      </c>
      <c r="E230">
        <v>2023</v>
      </c>
      <c r="F230" t="s">
        <v>687</v>
      </c>
      <c r="G230" t="s">
        <v>701</v>
      </c>
      <c r="I230" t="s">
        <v>703</v>
      </c>
      <c r="J230" t="s">
        <v>33</v>
      </c>
      <c r="K230" t="s">
        <v>568</v>
      </c>
      <c r="M230" t="s">
        <v>18</v>
      </c>
      <c r="N230" t="s">
        <v>534</v>
      </c>
      <c r="O230" t="s">
        <v>30</v>
      </c>
    </row>
    <row r="231" spans="1:15" x14ac:dyDescent="0.25">
      <c r="A231" t="s">
        <v>874</v>
      </c>
      <c r="B231" t="s">
        <v>57</v>
      </c>
      <c r="C231" t="s">
        <v>700</v>
      </c>
      <c r="D231" t="s">
        <v>8</v>
      </c>
      <c r="E231">
        <v>2023</v>
      </c>
      <c r="F231" t="s">
        <v>687</v>
      </c>
      <c r="G231" t="s">
        <v>701</v>
      </c>
      <c r="I231" t="s">
        <v>703</v>
      </c>
      <c r="J231" t="s">
        <v>33</v>
      </c>
      <c r="K231" t="s">
        <v>568</v>
      </c>
      <c r="M231" t="s">
        <v>18</v>
      </c>
      <c r="N231" t="s">
        <v>546</v>
      </c>
    </row>
    <row r="232" spans="1:15" x14ac:dyDescent="0.25">
      <c r="A232" t="s">
        <v>875</v>
      </c>
      <c r="B232" t="s">
        <v>57</v>
      </c>
      <c r="C232" t="s">
        <v>704</v>
      </c>
      <c r="D232" t="s">
        <v>8</v>
      </c>
      <c r="E232">
        <v>2024</v>
      </c>
      <c r="F232" t="s">
        <v>148</v>
      </c>
      <c r="G232" t="s">
        <v>705</v>
      </c>
      <c r="J232" t="s">
        <v>33</v>
      </c>
      <c r="K232" t="s">
        <v>707</v>
      </c>
      <c r="L232" t="s">
        <v>558</v>
      </c>
      <c r="M232" t="s">
        <v>523</v>
      </c>
      <c r="N232" t="s">
        <v>538</v>
      </c>
      <c r="O232" t="s">
        <v>29</v>
      </c>
    </row>
    <row r="233" spans="1:15" x14ac:dyDescent="0.25">
      <c r="A233" t="s">
        <v>876</v>
      </c>
      <c r="B233" t="s">
        <v>57</v>
      </c>
      <c r="C233" t="s">
        <v>708</v>
      </c>
      <c r="D233" t="s">
        <v>8</v>
      </c>
      <c r="E233">
        <v>2024</v>
      </c>
      <c r="F233" t="s">
        <v>148</v>
      </c>
      <c r="G233" t="s">
        <v>709</v>
      </c>
      <c r="J233" t="s">
        <v>33</v>
      </c>
      <c r="K233" t="s">
        <v>568</v>
      </c>
      <c r="M233" t="s">
        <v>523</v>
      </c>
      <c r="N233" t="s">
        <v>531</v>
      </c>
      <c r="O233" t="s">
        <v>32</v>
      </c>
    </row>
    <row r="234" spans="1:15" x14ac:dyDescent="0.25">
      <c r="A234" t="s">
        <v>876</v>
      </c>
      <c r="B234" t="s">
        <v>57</v>
      </c>
      <c r="C234" t="s">
        <v>708</v>
      </c>
      <c r="D234" t="s">
        <v>8</v>
      </c>
      <c r="E234">
        <v>2024</v>
      </c>
      <c r="F234" t="s">
        <v>148</v>
      </c>
      <c r="G234" t="s">
        <v>709</v>
      </c>
      <c r="J234" t="s">
        <v>33</v>
      </c>
      <c r="K234" t="s">
        <v>568</v>
      </c>
      <c r="M234" t="s">
        <v>524</v>
      </c>
      <c r="N234" t="s">
        <v>531</v>
      </c>
      <c r="O234" t="s">
        <v>32</v>
      </c>
    </row>
    <row r="235" spans="1:15" x14ac:dyDescent="0.25">
      <c r="A235" t="s">
        <v>877</v>
      </c>
      <c r="B235" t="s">
        <v>57</v>
      </c>
      <c r="C235" t="s">
        <v>711</v>
      </c>
      <c r="D235" t="s">
        <v>8</v>
      </c>
      <c r="E235">
        <v>2024</v>
      </c>
      <c r="F235" t="s">
        <v>148</v>
      </c>
      <c r="G235" t="s">
        <v>712</v>
      </c>
      <c r="J235" t="s">
        <v>273</v>
      </c>
      <c r="K235" t="s">
        <v>707</v>
      </c>
      <c r="M235" t="s">
        <v>18</v>
      </c>
      <c r="N235" t="s">
        <v>546</v>
      </c>
    </row>
    <row r="236" spans="1:15" x14ac:dyDescent="0.25">
      <c r="A236" t="s">
        <v>877</v>
      </c>
      <c r="B236" t="s">
        <v>57</v>
      </c>
      <c r="C236" t="s">
        <v>711</v>
      </c>
      <c r="D236" t="s">
        <v>8</v>
      </c>
      <c r="E236">
        <v>2024</v>
      </c>
      <c r="F236" t="s">
        <v>148</v>
      </c>
      <c r="G236" t="s">
        <v>712</v>
      </c>
      <c r="J236" t="s">
        <v>273</v>
      </c>
      <c r="K236" t="s">
        <v>707</v>
      </c>
      <c r="M236" t="s">
        <v>18</v>
      </c>
      <c r="N236" t="s">
        <v>522</v>
      </c>
      <c r="O236" t="s">
        <v>402</v>
      </c>
    </row>
    <row r="237" spans="1:15" x14ac:dyDescent="0.25">
      <c r="A237" t="s">
        <v>877</v>
      </c>
      <c r="B237" t="s">
        <v>57</v>
      </c>
      <c r="C237" t="s">
        <v>711</v>
      </c>
      <c r="D237" t="s">
        <v>8</v>
      </c>
      <c r="E237">
        <v>2024</v>
      </c>
      <c r="F237" t="s">
        <v>148</v>
      </c>
      <c r="G237" t="s">
        <v>712</v>
      </c>
      <c r="J237" t="s">
        <v>273</v>
      </c>
      <c r="K237" t="s">
        <v>707</v>
      </c>
      <c r="M237" t="s">
        <v>523</v>
      </c>
      <c r="N237" t="s">
        <v>546</v>
      </c>
    </row>
    <row r="238" spans="1:15" x14ac:dyDescent="0.25">
      <c r="A238" t="s">
        <v>877</v>
      </c>
      <c r="B238" t="s">
        <v>57</v>
      </c>
      <c r="C238" t="s">
        <v>711</v>
      </c>
      <c r="D238" t="s">
        <v>8</v>
      </c>
      <c r="E238">
        <v>2024</v>
      </c>
      <c r="F238" t="s">
        <v>148</v>
      </c>
      <c r="G238" t="s">
        <v>712</v>
      </c>
      <c r="J238" t="s">
        <v>273</v>
      </c>
      <c r="K238" t="s">
        <v>707</v>
      </c>
      <c r="M238" t="s">
        <v>523</v>
      </c>
      <c r="N238" t="s">
        <v>522</v>
      </c>
      <c r="O238" t="s">
        <v>402</v>
      </c>
    </row>
    <row r="239" spans="1:15" x14ac:dyDescent="0.25">
      <c r="A239" t="s">
        <v>877</v>
      </c>
      <c r="B239" t="s">
        <v>57</v>
      </c>
      <c r="C239" t="s">
        <v>711</v>
      </c>
      <c r="D239" t="s">
        <v>8</v>
      </c>
      <c r="E239">
        <v>2024</v>
      </c>
      <c r="F239" t="s">
        <v>148</v>
      </c>
      <c r="G239" t="s">
        <v>712</v>
      </c>
      <c r="J239" t="s">
        <v>273</v>
      </c>
      <c r="K239" t="s">
        <v>707</v>
      </c>
      <c r="M239" t="s">
        <v>6</v>
      </c>
      <c r="N239" t="s">
        <v>546</v>
      </c>
    </row>
    <row r="240" spans="1:15" x14ac:dyDescent="0.25">
      <c r="A240" t="s">
        <v>877</v>
      </c>
      <c r="B240" t="s">
        <v>57</v>
      </c>
      <c r="C240" t="s">
        <v>711</v>
      </c>
      <c r="D240" t="s">
        <v>8</v>
      </c>
      <c r="E240">
        <v>2024</v>
      </c>
      <c r="F240" t="s">
        <v>148</v>
      </c>
      <c r="G240" t="s">
        <v>712</v>
      </c>
      <c r="J240" t="s">
        <v>273</v>
      </c>
      <c r="K240" t="s">
        <v>707</v>
      </c>
      <c r="M240" t="s">
        <v>6</v>
      </c>
      <c r="N240" t="s">
        <v>522</v>
      </c>
      <c r="O240" t="s">
        <v>402</v>
      </c>
    </row>
    <row r="241" spans="1:15" x14ac:dyDescent="0.25">
      <c r="A241" t="s">
        <v>878</v>
      </c>
      <c r="B241" t="s">
        <v>57</v>
      </c>
      <c r="C241" t="s">
        <v>714</v>
      </c>
      <c r="D241" t="s">
        <v>8</v>
      </c>
      <c r="E241">
        <v>2024</v>
      </c>
      <c r="F241" t="s">
        <v>148</v>
      </c>
      <c r="G241" t="s">
        <v>715</v>
      </c>
      <c r="J241" t="s">
        <v>33</v>
      </c>
      <c r="K241" t="s">
        <v>568</v>
      </c>
      <c r="L241" t="s">
        <v>558</v>
      </c>
      <c r="M241" t="s">
        <v>523</v>
      </c>
      <c r="N241" t="s">
        <v>538</v>
      </c>
      <c r="O241" t="s">
        <v>29</v>
      </c>
    </row>
    <row r="242" spans="1:15" x14ac:dyDescent="0.25">
      <c r="A242" t="s">
        <v>878</v>
      </c>
      <c r="B242" t="s">
        <v>57</v>
      </c>
      <c r="C242" t="s">
        <v>714</v>
      </c>
      <c r="D242" t="s">
        <v>8</v>
      </c>
      <c r="E242">
        <v>2024</v>
      </c>
      <c r="F242" t="s">
        <v>148</v>
      </c>
      <c r="G242" t="s">
        <v>715</v>
      </c>
      <c r="J242" t="s">
        <v>33</v>
      </c>
      <c r="K242" t="s">
        <v>568</v>
      </c>
      <c r="L242" t="s">
        <v>558</v>
      </c>
      <c r="M242" t="s">
        <v>523</v>
      </c>
      <c r="N242" t="s">
        <v>522</v>
      </c>
      <c r="O242" t="s">
        <v>402</v>
      </c>
    </row>
    <row r="243" spans="1:15" x14ac:dyDescent="0.25">
      <c r="A243" t="s">
        <v>879</v>
      </c>
      <c r="B243" t="s">
        <v>57</v>
      </c>
      <c r="C243" t="s">
        <v>717</v>
      </c>
      <c r="D243" t="s">
        <v>8</v>
      </c>
      <c r="E243">
        <v>2024</v>
      </c>
      <c r="F243" t="s">
        <v>148</v>
      </c>
      <c r="G243" t="s">
        <v>718</v>
      </c>
      <c r="J243" t="s">
        <v>33</v>
      </c>
      <c r="K243" t="s">
        <v>568</v>
      </c>
      <c r="L243" t="s">
        <v>558</v>
      </c>
      <c r="M243" t="s">
        <v>523</v>
      </c>
      <c r="N243" t="s">
        <v>538</v>
      </c>
      <c r="O243" t="s">
        <v>29</v>
      </c>
    </row>
    <row r="244" spans="1:15" x14ac:dyDescent="0.25">
      <c r="A244" t="s">
        <v>879</v>
      </c>
      <c r="B244" t="s">
        <v>57</v>
      </c>
      <c r="C244" t="s">
        <v>717</v>
      </c>
      <c r="D244" t="s">
        <v>8</v>
      </c>
      <c r="E244">
        <v>2024</v>
      </c>
      <c r="F244" t="s">
        <v>148</v>
      </c>
      <c r="G244" t="s">
        <v>718</v>
      </c>
      <c r="J244" t="s">
        <v>33</v>
      </c>
      <c r="K244" t="s">
        <v>568</v>
      </c>
      <c r="L244" t="s">
        <v>558</v>
      </c>
      <c r="M244" t="s">
        <v>523</v>
      </c>
      <c r="N244" t="s">
        <v>522</v>
      </c>
      <c r="O244" t="s">
        <v>402</v>
      </c>
    </row>
    <row r="245" spans="1:15" x14ac:dyDescent="0.25">
      <c r="A245" t="s">
        <v>880</v>
      </c>
      <c r="B245" t="s">
        <v>57</v>
      </c>
      <c r="C245" t="s">
        <v>720</v>
      </c>
      <c r="D245" t="s">
        <v>8</v>
      </c>
      <c r="E245">
        <v>2024</v>
      </c>
      <c r="F245" t="s">
        <v>148</v>
      </c>
      <c r="G245" t="s">
        <v>721</v>
      </c>
      <c r="J245" t="s">
        <v>33</v>
      </c>
      <c r="K245" t="s">
        <v>707</v>
      </c>
      <c r="L245" t="s">
        <v>558</v>
      </c>
      <c r="M245" t="s">
        <v>523</v>
      </c>
      <c r="N245" t="s">
        <v>538</v>
      </c>
      <c r="O245" t="s">
        <v>29</v>
      </c>
    </row>
    <row r="246" spans="1:15" x14ac:dyDescent="0.25">
      <c r="A246" t="s">
        <v>880</v>
      </c>
      <c r="B246" t="s">
        <v>57</v>
      </c>
      <c r="C246" t="s">
        <v>720</v>
      </c>
      <c r="D246" t="s">
        <v>8</v>
      </c>
      <c r="E246">
        <v>2024</v>
      </c>
      <c r="F246" t="s">
        <v>148</v>
      </c>
      <c r="G246" t="s">
        <v>721</v>
      </c>
      <c r="J246" t="s">
        <v>33</v>
      </c>
      <c r="K246" t="s">
        <v>707</v>
      </c>
      <c r="L246" t="s">
        <v>558</v>
      </c>
      <c r="M246" t="s">
        <v>523</v>
      </c>
      <c r="N246" t="s">
        <v>522</v>
      </c>
      <c r="O246" t="s">
        <v>402</v>
      </c>
    </row>
    <row r="247" spans="1:15" x14ac:dyDescent="0.25">
      <c r="A247" t="s">
        <v>881</v>
      </c>
      <c r="B247" t="s">
        <v>57</v>
      </c>
      <c r="C247" t="s">
        <v>723</v>
      </c>
      <c r="D247" t="s">
        <v>8</v>
      </c>
      <c r="E247">
        <v>2024</v>
      </c>
      <c r="F247" t="s">
        <v>148</v>
      </c>
      <c r="G247" t="s">
        <v>724</v>
      </c>
      <c r="J247" t="s">
        <v>33</v>
      </c>
      <c r="K247" t="s">
        <v>568</v>
      </c>
      <c r="L247" t="s">
        <v>558</v>
      </c>
      <c r="M247" t="s">
        <v>527</v>
      </c>
      <c r="N247" t="s">
        <v>370</v>
      </c>
      <c r="O247" t="s">
        <v>67</v>
      </c>
    </row>
    <row r="248" spans="1:15" x14ac:dyDescent="0.25">
      <c r="A248" t="s">
        <v>882</v>
      </c>
      <c r="B248" t="s">
        <v>57</v>
      </c>
      <c r="C248" t="s">
        <v>726</v>
      </c>
      <c r="D248" t="s">
        <v>8</v>
      </c>
      <c r="E248">
        <v>2024</v>
      </c>
      <c r="F248" t="s">
        <v>148</v>
      </c>
      <c r="G248" t="s">
        <v>727</v>
      </c>
      <c r="J248" t="s">
        <v>33</v>
      </c>
      <c r="K248" t="s">
        <v>568</v>
      </c>
      <c r="L248" t="s">
        <v>558</v>
      </c>
      <c r="M248" t="s">
        <v>527</v>
      </c>
      <c r="N248" t="s">
        <v>370</v>
      </c>
      <c r="O248" t="s">
        <v>67</v>
      </c>
    </row>
    <row r="249" spans="1:15" x14ac:dyDescent="0.25">
      <c r="A249" t="s">
        <v>883</v>
      </c>
      <c r="B249" t="s">
        <v>57</v>
      </c>
      <c r="C249" t="s">
        <v>729</v>
      </c>
      <c r="D249" t="s">
        <v>8</v>
      </c>
      <c r="E249">
        <v>2024</v>
      </c>
      <c r="F249" t="s">
        <v>148</v>
      </c>
      <c r="G249" t="s">
        <v>730</v>
      </c>
      <c r="J249" t="s">
        <v>33</v>
      </c>
      <c r="K249" t="s">
        <v>568</v>
      </c>
      <c r="L249" t="s">
        <v>558</v>
      </c>
      <c r="M249" t="s">
        <v>523</v>
      </c>
      <c r="N249" t="s">
        <v>370</v>
      </c>
      <c r="O249" t="s">
        <v>67</v>
      </c>
    </row>
    <row r="250" spans="1:15" x14ac:dyDescent="0.25">
      <c r="A250" t="s">
        <v>883</v>
      </c>
      <c r="B250" t="s">
        <v>57</v>
      </c>
      <c r="C250" t="s">
        <v>729</v>
      </c>
      <c r="D250" t="s">
        <v>8</v>
      </c>
      <c r="E250">
        <v>2024</v>
      </c>
      <c r="F250" t="s">
        <v>148</v>
      </c>
      <c r="G250" t="s">
        <v>730</v>
      </c>
      <c r="J250" t="s">
        <v>33</v>
      </c>
      <c r="K250" t="s">
        <v>568</v>
      </c>
      <c r="L250" t="s">
        <v>558</v>
      </c>
      <c r="M250" t="s">
        <v>523</v>
      </c>
      <c r="N250" t="s">
        <v>522</v>
      </c>
      <c r="O250" t="s">
        <v>402</v>
      </c>
    </row>
    <row r="251" spans="1:15" x14ac:dyDescent="0.25">
      <c r="A251" t="s">
        <v>884</v>
      </c>
      <c r="B251" t="s">
        <v>57</v>
      </c>
      <c r="C251" t="s">
        <v>732</v>
      </c>
      <c r="D251" t="s">
        <v>8</v>
      </c>
      <c r="E251">
        <v>2024</v>
      </c>
      <c r="F251" t="s">
        <v>148</v>
      </c>
      <c r="G251" t="s">
        <v>733</v>
      </c>
      <c r="J251" t="s">
        <v>33</v>
      </c>
      <c r="K251" t="s">
        <v>58</v>
      </c>
      <c r="L251" t="s">
        <v>558</v>
      </c>
      <c r="M251" t="s">
        <v>523</v>
      </c>
      <c r="N251" t="s">
        <v>529</v>
      </c>
      <c r="O251" t="s">
        <v>386</v>
      </c>
    </row>
    <row r="252" spans="1:15" x14ac:dyDescent="0.25">
      <c r="A252" t="s">
        <v>884</v>
      </c>
      <c r="B252" t="s">
        <v>57</v>
      </c>
      <c r="C252" t="s">
        <v>732</v>
      </c>
      <c r="D252" t="s">
        <v>8</v>
      </c>
      <c r="E252">
        <v>2024</v>
      </c>
      <c r="F252" t="s">
        <v>148</v>
      </c>
      <c r="G252" t="s">
        <v>733</v>
      </c>
      <c r="J252" t="s">
        <v>33</v>
      </c>
      <c r="K252" t="s">
        <v>58</v>
      </c>
      <c r="L252" t="s">
        <v>558</v>
      </c>
      <c r="M252" t="s">
        <v>524</v>
      </c>
      <c r="N252" t="s">
        <v>529</v>
      </c>
      <c r="O252" t="s">
        <v>386</v>
      </c>
    </row>
    <row r="253" spans="1:15" x14ac:dyDescent="0.25">
      <c r="A253" t="s">
        <v>885</v>
      </c>
      <c r="B253" t="s">
        <v>57</v>
      </c>
      <c r="C253" t="s">
        <v>735</v>
      </c>
      <c r="D253" t="s">
        <v>8</v>
      </c>
      <c r="E253">
        <v>2024</v>
      </c>
      <c r="F253" t="s">
        <v>148</v>
      </c>
      <c r="G253" t="s">
        <v>736</v>
      </c>
      <c r="J253" t="s">
        <v>33</v>
      </c>
      <c r="K253" t="s">
        <v>568</v>
      </c>
      <c r="L253" t="s">
        <v>558</v>
      </c>
      <c r="M253" t="s">
        <v>523</v>
      </c>
      <c r="N253" t="s">
        <v>538</v>
      </c>
      <c r="O253" t="s">
        <v>29</v>
      </c>
    </row>
    <row r="254" spans="1:15" x14ac:dyDescent="0.25">
      <c r="A254" t="s">
        <v>885</v>
      </c>
      <c r="B254" t="s">
        <v>57</v>
      </c>
      <c r="C254" t="s">
        <v>735</v>
      </c>
      <c r="D254" t="s">
        <v>8</v>
      </c>
      <c r="E254">
        <v>2024</v>
      </c>
      <c r="F254" t="s">
        <v>148</v>
      </c>
      <c r="G254" t="s">
        <v>736</v>
      </c>
      <c r="J254" t="s">
        <v>33</v>
      </c>
      <c r="K254" t="s">
        <v>568</v>
      </c>
      <c r="L254" t="s">
        <v>558</v>
      </c>
      <c r="M254" t="s">
        <v>523</v>
      </c>
      <c r="N254" t="s">
        <v>522</v>
      </c>
      <c r="O254" t="s">
        <v>402</v>
      </c>
    </row>
    <row r="255" spans="1:15" x14ac:dyDescent="0.25">
      <c r="A255" t="s">
        <v>885</v>
      </c>
      <c r="B255" t="s">
        <v>57</v>
      </c>
      <c r="C255" t="s">
        <v>735</v>
      </c>
      <c r="D255" t="s">
        <v>8</v>
      </c>
      <c r="E255">
        <v>2024</v>
      </c>
      <c r="F255" t="s">
        <v>148</v>
      </c>
      <c r="G255" t="s">
        <v>736</v>
      </c>
      <c r="J255" t="s">
        <v>33</v>
      </c>
      <c r="K255" t="s">
        <v>568</v>
      </c>
      <c r="L255" t="s">
        <v>558</v>
      </c>
      <c r="M255" t="s">
        <v>524</v>
      </c>
      <c r="N255" t="s">
        <v>538</v>
      </c>
      <c r="O255" t="s">
        <v>29</v>
      </c>
    </row>
    <row r="256" spans="1:15" x14ac:dyDescent="0.25">
      <c r="A256" t="s">
        <v>885</v>
      </c>
      <c r="B256" t="s">
        <v>57</v>
      </c>
      <c r="C256" t="s">
        <v>735</v>
      </c>
      <c r="D256" t="s">
        <v>8</v>
      </c>
      <c r="E256">
        <v>2024</v>
      </c>
      <c r="F256" t="s">
        <v>148</v>
      </c>
      <c r="G256" t="s">
        <v>736</v>
      </c>
      <c r="J256" t="s">
        <v>33</v>
      </c>
      <c r="K256" t="s">
        <v>568</v>
      </c>
      <c r="L256" t="s">
        <v>558</v>
      </c>
      <c r="M256" t="s">
        <v>524</v>
      </c>
      <c r="N256" t="s">
        <v>522</v>
      </c>
      <c r="O256" t="s">
        <v>402</v>
      </c>
    </row>
    <row r="257" spans="1:15" x14ac:dyDescent="0.25">
      <c r="A257" t="s">
        <v>886</v>
      </c>
      <c r="B257" t="s">
        <v>57</v>
      </c>
      <c r="C257" t="s">
        <v>738</v>
      </c>
      <c r="D257" t="s">
        <v>8</v>
      </c>
      <c r="E257">
        <v>2024</v>
      </c>
      <c r="F257" t="s">
        <v>148</v>
      </c>
      <c r="G257" t="s">
        <v>739</v>
      </c>
      <c r="J257" t="s">
        <v>33</v>
      </c>
      <c r="K257" t="s">
        <v>568</v>
      </c>
      <c r="L257" t="s">
        <v>558</v>
      </c>
      <c r="M257" t="s">
        <v>523</v>
      </c>
      <c r="N257" t="s">
        <v>538</v>
      </c>
      <c r="O257" t="s">
        <v>29</v>
      </c>
    </row>
    <row r="258" spans="1:15" x14ac:dyDescent="0.25">
      <c r="A258" t="s">
        <v>886</v>
      </c>
      <c r="B258" t="s">
        <v>57</v>
      </c>
      <c r="C258" t="s">
        <v>738</v>
      </c>
      <c r="D258" t="s">
        <v>8</v>
      </c>
      <c r="E258">
        <v>2024</v>
      </c>
      <c r="F258" t="s">
        <v>148</v>
      </c>
      <c r="G258" t="s">
        <v>739</v>
      </c>
      <c r="J258" t="s">
        <v>33</v>
      </c>
      <c r="K258" t="s">
        <v>568</v>
      </c>
      <c r="L258" t="s">
        <v>558</v>
      </c>
      <c r="M258" t="s">
        <v>523</v>
      </c>
      <c r="N258" t="s">
        <v>522</v>
      </c>
      <c r="O258" t="s">
        <v>402</v>
      </c>
    </row>
    <row r="259" spans="1:15" x14ac:dyDescent="0.25">
      <c r="A259" t="s">
        <v>886</v>
      </c>
      <c r="B259" t="s">
        <v>57</v>
      </c>
      <c r="C259" t="s">
        <v>738</v>
      </c>
      <c r="D259" t="s">
        <v>8</v>
      </c>
      <c r="E259">
        <v>2024</v>
      </c>
      <c r="F259" t="s">
        <v>148</v>
      </c>
      <c r="G259" t="s">
        <v>739</v>
      </c>
      <c r="J259" t="s">
        <v>33</v>
      </c>
      <c r="K259" t="s">
        <v>568</v>
      </c>
      <c r="L259" t="s">
        <v>558</v>
      </c>
      <c r="M259" t="s">
        <v>524</v>
      </c>
      <c r="N259" t="s">
        <v>538</v>
      </c>
      <c r="O259" t="s">
        <v>29</v>
      </c>
    </row>
    <row r="260" spans="1:15" x14ac:dyDescent="0.25">
      <c r="A260" t="s">
        <v>886</v>
      </c>
      <c r="B260" t="s">
        <v>57</v>
      </c>
      <c r="C260" t="s">
        <v>738</v>
      </c>
      <c r="D260" t="s">
        <v>8</v>
      </c>
      <c r="E260">
        <v>2024</v>
      </c>
      <c r="F260" t="s">
        <v>148</v>
      </c>
      <c r="G260" t="s">
        <v>739</v>
      </c>
      <c r="J260" t="s">
        <v>33</v>
      </c>
      <c r="K260" t="s">
        <v>568</v>
      </c>
      <c r="L260" t="s">
        <v>558</v>
      </c>
      <c r="M260" t="s">
        <v>524</v>
      </c>
      <c r="N260" t="s">
        <v>522</v>
      </c>
      <c r="O260" t="s">
        <v>402</v>
      </c>
    </row>
    <row r="261" spans="1:15" x14ac:dyDescent="0.25">
      <c r="A261" t="s">
        <v>887</v>
      </c>
      <c r="B261" t="s">
        <v>57</v>
      </c>
      <c r="C261" t="s">
        <v>741</v>
      </c>
      <c r="D261" t="s">
        <v>8</v>
      </c>
      <c r="E261">
        <v>2024</v>
      </c>
      <c r="F261" t="s">
        <v>148</v>
      </c>
      <c r="G261" t="s">
        <v>742</v>
      </c>
      <c r="J261" t="s">
        <v>33</v>
      </c>
      <c r="K261" t="s">
        <v>568</v>
      </c>
      <c r="L261" t="s">
        <v>558</v>
      </c>
      <c r="M261" t="s">
        <v>523</v>
      </c>
      <c r="N261" t="s">
        <v>531</v>
      </c>
      <c r="O261" t="s">
        <v>32</v>
      </c>
    </row>
    <row r="262" spans="1:15" x14ac:dyDescent="0.25">
      <c r="A262" t="s">
        <v>887</v>
      </c>
      <c r="B262" t="s">
        <v>57</v>
      </c>
      <c r="C262" t="s">
        <v>741</v>
      </c>
      <c r="D262" t="s">
        <v>8</v>
      </c>
      <c r="E262">
        <v>2024</v>
      </c>
      <c r="F262" t="s">
        <v>148</v>
      </c>
      <c r="G262" t="s">
        <v>742</v>
      </c>
      <c r="J262" t="s">
        <v>33</v>
      </c>
      <c r="K262" t="s">
        <v>568</v>
      </c>
      <c r="L262" t="s">
        <v>558</v>
      </c>
      <c r="M262" t="s">
        <v>524</v>
      </c>
      <c r="N262" t="s">
        <v>531</v>
      </c>
      <c r="O262" t="s">
        <v>32</v>
      </c>
    </row>
    <row r="263" spans="1:15" x14ac:dyDescent="0.25">
      <c r="A263" t="s">
        <v>888</v>
      </c>
      <c r="B263" t="s">
        <v>57</v>
      </c>
      <c r="C263" t="s">
        <v>744</v>
      </c>
      <c r="D263" t="s">
        <v>8</v>
      </c>
      <c r="E263">
        <v>2024</v>
      </c>
      <c r="F263" t="s">
        <v>148</v>
      </c>
      <c r="G263" t="s">
        <v>745</v>
      </c>
      <c r="J263" t="s">
        <v>33</v>
      </c>
      <c r="K263" t="s">
        <v>58</v>
      </c>
      <c r="L263" t="s">
        <v>558</v>
      </c>
      <c r="M263" t="s">
        <v>18</v>
      </c>
      <c r="N263" t="s">
        <v>534</v>
      </c>
      <c r="O263" t="s">
        <v>30</v>
      </c>
    </row>
    <row r="264" spans="1:15" x14ac:dyDescent="0.25">
      <c r="A264" t="s">
        <v>888</v>
      </c>
      <c r="B264" t="s">
        <v>57</v>
      </c>
      <c r="C264" t="s">
        <v>744</v>
      </c>
      <c r="D264" t="s">
        <v>8</v>
      </c>
      <c r="E264">
        <v>2024</v>
      </c>
      <c r="F264" t="s">
        <v>148</v>
      </c>
      <c r="G264" t="s">
        <v>745</v>
      </c>
      <c r="J264" t="s">
        <v>33</v>
      </c>
      <c r="K264" t="s">
        <v>58</v>
      </c>
      <c r="L264" t="s">
        <v>558</v>
      </c>
      <c r="M264" t="s">
        <v>524</v>
      </c>
      <c r="N264" t="s">
        <v>534</v>
      </c>
      <c r="O264" t="s">
        <v>30</v>
      </c>
    </row>
    <row r="265" spans="1:15" x14ac:dyDescent="0.25">
      <c r="A265" t="s">
        <v>889</v>
      </c>
      <c r="B265" t="s">
        <v>57</v>
      </c>
      <c r="C265" t="s">
        <v>747</v>
      </c>
      <c r="D265" t="s">
        <v>8</v>
      </c>
      <c r="E265">
        <v>2024</v>
      </c>
      <c r="F265" t="s">
        <v>148</v>
      </c>
      <c r="G265" t="s">
        <v>748</v>
      </c>
      <c r="J265" t="s">
        <v>33</v>
      </c>
      <c r="K265" t="s">
        <v>707</v>
      </c>
      <c r="L265" t="s">
        <v>558</v>
      </c>
      <c r="M265" t="s">
        <v>523</v>
      </c>
      <c r="N265" t="s">
        <v>522</v>
      </c>
      <c r="O265" t="s">
        <v>402</v>
      </c>
    </row>
    <row r="266" spans="1:15" x14ac:dyDescent="0.25">
      <c r="A266" t="s">
        <v>889</v>
      </c>
      <c r="B266" t="s">
        <v>57</v>
      </c>
      <c r="C266" t="s">
        <v>747</v>
      </c>
      <c r="D266" t="s">
        <v>8</v>
      </c>
      <c r="E266">
        <v>2024</v>
      </c>
      <c r="F266" t="s">
        <v>148</v>
      </c>
      <c r="G266" t="s">
        <v>748</v>
      </c>
      <c r="J266" t="s">
        <v>33</v>
      </c>
      <c r="K266" t="s">
        <v>707</v>
      </c>
      <c r="L266" t="s">
        <v>558</v>
      </c>
      <c r="M266" t="s">
        <v>750</v>
      </c>
      <c r="N266" t="s">
        <v>522</v>
      </c>
      <c r="O266" t="s">
        <v>402</v>
      </c>
    </row>
    <row r="267" spans="1:15" x14ac:dyDescent="0.25">
      <c r="A267" t="s">
        <v>890</v>
      </c>
      <c r="B267" t="s">
        <v>57</v>
      </c>
      <c r="C267" t="s">
        <v>418</v>
      </c>
      <c r="D267" t="s">
        <v>439</v>
      </c>
      <c r="E267">
        <v>2024</v>
      </c>
      <c r="F267" t="s">
        <v>148</v>
      </c>
      <c r="G267" t="s">
        <v>751</v>
      </c>
      <c r="J267" t="s">
        <v>33</v>
      </c>
      <c r="K267" t="s">
        <v>568</v>
      </c>
      <c r="L267" t="s">
        <v>558</v>
      </c>
      <c r="M267" t="s">
        <v>523</v>
      </c>
      <c r="N267" t="s">
        <v>538</v>
      </c>
      <c r="O267" t="s">
        <v>29</v>
      </c>
    </row>
    <row r="268" spans="1:15" x14ac:dyDescent="0.25">
      <c r="A268" t="s">
        <v>890</v>
      </c>
      <c r="B268" t="s">
        <v>57</v>
      </c>
      <c r="C268" t="s">
        <v>418</v>
      </c>
      <c r="D268" t="s">
        <v>439</v>
      </c>
      <c r="E268">
        <v>2024</v>
      </c>
      <c r="F268" t="s">
        <v>148</v>
      </c>
      <c r="G268" t="s">
        <v>751</v>
      </c>
      <c r="J268" t="s">
        <v>33</v>
      </c>
      <c r="K268" t="s">
        <v>568</v>
      </c>
      <c r="L268" t="s">
        <v>558</v>
      </c>
      <c r="M268" t="s">
        <v>523</v>
      </c>
      <c r="N268" t="s">
        <v>522</v>
      </c>
      <c r="O268" t="s">
        <v>402</v>
      </c>
    </row>
    <row r="269" spans="1:15" x14ac:dyDescent="0.25">
      <c r="A269" t="s">
        <v>890</v>
      </c>
      <c r="B269" t="s">
        <v>57</v>
      </c>
      <c r="C269" t="s">
        <v>418</v>
      </c>
      <c r="D269" t="s">
        <v>439</v>
      </c>
      <c r="E269">
        <v>2024</v>
      </c>
      <c r="F269" t="s">
        <v>148</v>
      </c>
      <c r="G269" t="s">
        <v>751</v>
      </c>
      <c r="J269" t="s">
        <v>33</v>
      </c>
      <c r="K269" t="s">
        <v>568</v>
      </c>
      <c r="L269" t="s">
        <v>558</v>
      </c>
      <c r="M269" t="s">
        <v>524</v>
      </c>
      <c r="N269" t="s">
        <v>538</v>
      </c>
      <c r="O269" t="s">
        <v>29</v>
      </c>
    </row>
    <row r="270" spans="1:15" x14ac:dyDescent="0.25">
      <c r="A270" t="s">
        <v>890</v>
      </c>
      <c r="B270" t="s">
        <v>57</v>
      </c>
      <c r="C270" t="s">
        <v>418</v>
      </c>
      <c r="D270" t="s">
        <v>439</v>
      </c>
      <c r="E270">
        <v>2024</v>
      </c>
      <c r="F270" t="s">
        <v>148</v>
      </c>
      <c r="G270" t="s">
        <v>751</v>
      </c>
      <c r="J270" t="s">
        <v>33</v>
      </c>
      <c r="K270" t="s">
        <v>568</v>
      </c>
      <c r="L270" t="s">
        <v>558</v>
      </c>
      <c r="M270" t="s">
        <v>524</v>
      </c>
      <c r="N270" t="s">
        <v>522</v>
      </c>
      <c r="O270" t="s">
        <v>402</v>
      </c>
    </row>
    <row r="271" spans="1:15" x14ac:dyDescent="0.25">
      <c r="A271" t="s">
        <v>891</v>
      </c>
      <c r="B271" t="s">
        <v>57</v>
      </c>
      <c r="C271" t="s">
        <v>753</v>
      </c>
      <c r="D271" t="s">
        <v>8</v>
      </c>
      <c r="E271">
        <v>2024</v>
      </c>
      <c r="F271" t="s">
        <v>148</v>
      </c>
      <c r="G271" t="s">
        <v>754</v>
      </c>
      <c r="J271" t="s">
        <v>33</v>
      </c>
      <c r="K271" t="s">
        <v>707</v>
      </c>
      <c r="L271" t="s">
        <v>558</v>
      </c>
      <c r="M271" t="s">
        <v>523</v>
      </c>
      <c r="N271" t="s">
        <v>538</v>
      </c>
      <c r="O271" t="s">
        <v>29</v>
      </c>
    </row>
    <row r="272" spans="1:15" x14ac:dyDescent="0.25">
      <c r="A272" t="s">
        <v>891</v>
      </c>
      <c r="B272" t="s">
        <v>57</v>
      </c>
      <c r="C272" t="s">
        <v>753</v>
      </c>
      <c r="D272" t="s">
        <v>8</v>
      </c>
      <c r="E272">
        <v>2024</v>
      </c>
      <c r="F272" t="s">
        <v>148</v>
      </c>
      <c r="G272" t="s">
        <v>754</v>
      </c>
      <c r="J272" t="s">
        <v>33</v>
      </c>
      <c r="K272" t="s">
        <v>707</v>
      </c>
      <c r="L272" t="s">
        <v>558</v>
      </c>
      <c r="M272" t="s">
        <v>523</v>
      </c>
      <c r="N272" t="s">
        <v>522</v>
      </c>
      <c r="O272" t="s">
        <v>402</v>
      </c>
    </row>
    <row r="273" spans="1:15" x14ac:dyDescent="0.25">
      <c r="A273" t="s">
        <v>891</v>
      </c>
      <c r="B273" t="s">
        <v>57</v>
      </c>
      <c r="C273" t="s">
        <v>753</v>
      </c>
      <c r="D273" t="s">
        <v>8</v>
      </c>
      <c r="E273">
        <v>2024</v>
      </c>
      <c r="F273" t="s">
        <v>148</v>
      </c>
      <c r="G273" t="s">
        <v>754</v>
      </c>
      <c r="J273" t="s">
        <v>33</v>
      </c>
      <c r="K273" t="s">
        <v>707</v>
      </c>
      <c r="L273" t="s">
        <v>558</v>
      </c>
      <c r="M273" t="s">
        <v>524</v>
      </c>
      <c r="N273" t="s">
        <v>538</v>
      </c>
      <c r="O273" t="s">
        <v>29</v>
      </c>
    </row>
    <row r="274" spans="1:15" x14ac:dyDescent="0.25">
      <c r="A274" t="s">
        <v>891</v>
      </c>
      <c r="B274" t="s">
        <v>57</v>
      </c>
      <c r="C274" t="s">
        <v>753</v>
      </c>
      <c r="D274" t="s">
        <v>8</v>
      </c>
      <c r="E274">
        <v>2024</v>
      </c>
      <c r="F274" t="s">
        <v>148</v>
      </c>
      <c r="G274" t="s">
        <v>754</v>
      </c>
      <c r="J274" t="s">
        <v>33</v>
      </c>
      <c r="K274" t="s">
        <v>707</v>
      </c>
      <c r="L274" t="s">
        <v>558</v>
      </c>
      <c r="M274" t="s">
        <v>524</v>
      </c>
      <c r="N274" t="s">
        <v>522</v>
      </c>
      <c r="O274" t="s">
        <v>402</v>
      </c>
    </row>
    <row r="275" spans="1:15" x14ac:dyDescent="0.25">
      <c r="A275" t="s">
        <v>892</v>
      </c>
      <c r="B275" t="s">
        <v>57</v>
      </c>
      <c r="C275" t="s">
        <v>756</v>
      </c>
      <c r="D275" t="s">
        <v>439</v>
      </c>
      <c r="E275">
        <v>2024</v>
      </c>
      <c r="F275" t="s">
        <v>148</v>
      </c>
      <c r="G275" t="s">
        <v>757</v>
      </c>
      <c r="J275" t="s">
        <v>33</v>
      </c>
      <c r="K275" t="s">
        <v>707</v>
      </c>
      <c r="L275" t="s">
        <v>558</v>
      </c>
      <c r="M275" t="s">
        <v>18</v>
      </c>
      <c r="N275" t="s">
        <v>534</v>
      </c>
      <c r="O275" t="s">
        <v>30</v>
      </c>
    </row>
    <row r="276" spans="1:15" x14ac:dyDescent="0.25">
      <c r="A276" t="s">
        <v>893</v>
      </c>
      <c r="B276" t="s">
        <v>57</v>
      </c>
      <c r="C276" t="s">
        <v>759</v>
      </c>
      <c r="D276" t="s">
        <v>439</v>
      </c>
      <c r="E276">
        <v>2024</v>
      </c>
      <c r="F276" t="s">
        <v>148</v>
      </c>
      <c r="G276" t="s">
        <v>760</v>
      </c>
      <c r="J276" t="s">
        <v>33</v>
      </c>
      <c r="K276" t="s">
        <v>707</v>
      </c>
      <c r="L276" t="s">
        <v>558</v>
      </c>
      <c r="M276" t="s">
        <v>523</v>
      </c>
      <c r="N276" t="s">
        <v>531</v>
      </c>
      <c r="O276" t="s">
        <v>32</v>
      </c>
    </row>
    <row r="277" spans="1:15" x14ac:dyDescent="0.25">
      <c r="A277" t="s">
        <v>893</v>
      </c>
      <c r="B277" t="s">
        <v>57</v>
      </c>
      <c r="C277" t="s">
        <v>759</v>
      </c>
      <c r="D277" t="s">
        <v>439</v>
      </c>
      <c r="E277">
        <v>2024</v>
      </c>
      <c r="F277" t="s">
        <v>148</v>
      </c>
      <c r="G277" t="s">
        <v>760</v>
      </c>
      <c r="J277" t="s">
        <v>33</v>
      </c>
      <c r="K277" t="s">
        <v>707</v>
      </c>
      <c r="L277" t="s">
        <v>558</v>
      </c>
      <c r="M277" t="s">
        <v>524</v>
      </c>
      <c r="N277" t="s">
        <v>531</v>
      </c>
      <c r="O277" t="s">
        <v>32</v>
      </c>
    </row>
    <row r="278" spans="1:15" x14ac:dyDescent="0.25">
      <c r="A278" t="s">
        <v>894</v>
      </c>
      <c r="B278" t="s">
        <v>57</v>
      </c>
      <c r="C278" t="s">
        <v>762</v>
      </c>
      <c r="D278" t="s">
        <v>439</v>
      </c>
      <c r="E278">
        <v>2024</v>
      </c>
      <c r="F278" t="s">
        <v>148</v>
      </c>
      <c r="G278" t="s">
        <v>763</v>
      </c>
      <c r="J278" t="s">
        <v>33</v>
      </c>
      <c r="K278" t="s">
        <v>568</v>
      </c>
      <c r="L278" t="s">
        <v>558</v>
      </c>
      <c r="M278" t="s">
        <v>523</v>
      </c>
      <c r="N278" t="s">
        <v>538</v>
      </c>
      <c r="O278" t="s">
        <v>29</v>
      </c>
    </row>
    <row r="279" spans="1:15" x14ac:dyDescent="0.25">
      <c r="A279" t="s">
        <v>894</v>
      </c>
      <c r="B279" t="s">
        <v>57</v>
      </c>
      <c r="C279" t="s">
        <v>762</v>
      </c>
      <c r="D279" t="s">
        <v>439</v>
      </c>
      <c r="E279">
        <v>2024</v>
      </c>
      <c r="F279" t="s">
        <v>148</v>
      </c>
      <c r="G279" t="s">
        <v>763</v>
      </c>
      <c r="J279" t="s">
        <v>33</v>
      </c>
      <c r="K279" t="s">
        <v>568</v>
      </c>
      <c r="L279" t="s">
        <v>558</v>
      </c>
      <c r="M279" t="s">
        <v>523</v>
      </c>
      <c r="N279" t="s">
        <v>522</v>
      </c>
      <c r="O279" t="s">
        <v>402</v>
      </c>
    </row>
    <row r="280" spans="1:15" x14ac:dyDescent="0.25">
      <c r="A280" t="s">
        <v>895</v>
      </c>
      <c r="B280" t="s">
        <v>57</v>
      </c>
      <c r="C280" t="s">
        <v>765</v>
      </c>
      <c r="D280" t="s">
        <v>439</v>
      </c>
      <c r="E280">
        <v>2024</v>
      </c>
      <c r="F280" t="s">
        <v>148</v>
      </c>
      <c r="G280" t="s">
        <v>766</v>
      </c>
      <c r="J280" t="s">
        <v>33</v>
      </c>
      <c r="K280" t="s">
        <v>568</v>
      </c>
      <c r="L280" t="s">
        <v>558</v>
      </c>
      <c r="M280" t="s">
        <v>523</v>
      </c>
      <c r="N280" t="s">
        <v>370</v>
      </c>
      <c r="O280" t="s">
        <v>67</v>
      </c>
    </row>
    <row r="281" spans="1:15" x14ac:dyDescent="0.25">
      <c r="A281" t="s">
        <v>896</v>
      </c>
      <c r="B281" t="s">
        <v>57</v>
      </c>
      <c r="C281" t="s">
        <v>768</v>
      </c>
      <c r="D281" t="s">
        <v>439</v>
      </c>
      <c r="E281">
        <v>2024</v>
      </c>
      <c r="F281" t="s">
        <v>148</v>
      </c>
      <c r="G281" t="s">
        <v>769</v>
      </c>
      <c r="J281" t="s">
        <v>33</v>
      </c>
      <c r="K281" t="s">
        <v>707</v>
      </c>
      <c r="L281" t="s">
        <v>558</v>
      </c>
      <c r="M281" t="s">
        <v>523</v>
      </c>
      <c r="N281" t="s">
        <v>531</v>
      </c>
      <c r="O281" t="s">
        <v>32</v>
      </c>
    </row>
    <row r="282" spans="1:15" x14ac:dyDescent="0.25">
      <c r="A282" t="s">
        <v>897</v>
      </c>
      <c r="B282" t="s">
        <v>57</v>
      </c>
      <c r="C282" t="s">
        <v>771</v>
      </c>
      <c r="D282" t="s">
        <v>439</v>
      </c>
      <c r="E282">
        <v>2024</v>
      </c>
      <c r="F282" t="s">
        <v>148</v>
      </c>
      <c r="G282" t="s">
        <v>772</v>
      </c>
      <c r="J282" t="s">
        <v>33</v>
      </c>
      <c r="K282" t="s">
        <v>58</v>
      </c>
      <c r="L282" t="s">
        <v>558</v>
      </c>
      <c r="M282" t="s">
        <v>523</v>
      </c>
      <c r="N282" t="s">
        <v>529</v>
      </c>
      <c r="O282" t="s">
        <v>386</v>
      </c>
    </row>
    <row r="283" spans="1:15" x14ac:dyDescent="0.25">
      <c r="A283" t="s">
        <v>898</v>
      </c>
      <c r="B283" t="s">
        <v>57</v>
      </c>
      <c r="C283" t="s">
        <v>774</v>
      </c>
      <c r="D283" t="s">
        <v>8</v>
      </c>
      <c r="E283">
        <v>2024</v>
      </c>
      <c r="F283" t="s">
        <v>148</v>
      </c>
      <c r="G283" t="s">
        <v>775</v>
      </c>
      <c r="J283" t="s">
        <v>33</v>
      </c>
      <c r="K283" t="s">
        <v>568</v>
      </c>
      <c r="L283" t="s">
        <v>558</v>
      </c>
      <c r="M283" t="s">
        <v>523</v>
      </c>
      <c r="N283" t="s">
        <v>370</v>
      </c>
      <c r="O283" t="s">
        <v>67</v>
      </c>
    </row>
    <row r="284" spans="1:15" x14ac:dyDescent="0.25">
      <c r="A284" t="s">
        <v>898</v>
      </c>
      <c r="B284" t="s">
        <v>57</v>
      </c>
      <c r="C284" t="s">
        <v>774</v>
      </c>
      <c r="D284" t="s">
        <v>8</v>
      </c>
      <c r="E284">
        <v>2024</v>
      </c>
      <c r="F284" t="s">
        <v>148</v>
      </c>
      <c r="G284" t="s">
        <v>775</v>
      </c>
      <c r="J284" t="s">
        <v>33</v>
      </c>
      <c r="K284" t="s">
        <v>568</v>
      </c>
      <c r="L284" t="s">
        <v>558</v>
      </c>
      <c r="M284" t="s">
        <v>523</v>
      </c>
      <c r="N284" t="s">
        <v>538</v>
      </c>
      <c r="O284" t="s">
        <v>29</v>
      </c>
    </row>
    <row r="285" spans="1:15" x14ac:dyDescent="0.25">
      <c r="A285" t="s">
        <v>899</v>
      </c>
      <c r="B285" t="s">
        <v>57</v>
      </c>
      <c r="C285" t="s">
        <v>777</v>
      </c>
      <c r="D285" t="s">
        <v>439</v>
      </c>
      <c r="E285">
        <v>2024</v>
      </c>
      <c r="F285" t="s">
        <v>148</v>
      </c>
      <c r="G285" t="s">
        <v>778</v>
      </c>
      <c r="J285" t="s">
        <v>33</v>
      </c>
      <c r="K285" t="s">
        <v>707</v>
      </c>
      <c r="L285" t="s">
        <v>558</v>
      </c>
      <c r="M285" t="s">
        <v>523</v>
      </c>
      <c r="N285" t="s">
        <v>534</v>
      </c>
      <c r="O285" t="s">
        <v>30</v>
      </c>
    </row>
    <row r="286" spans="1:15" x14ac:dyDescent="0.25">
      <c r="A286" t="s">
        <v>899</v>
      </c>
      <c r="B286" t="s">
        <v>57</v>
      </c>
      <c r="C286" t="s">
        <v>777</v>
      </c>
      <c r="D286" t="s">
        <v>439</v>
      </c>
      <c r="E286">
        <v>2024</v>
      </c>
      <c r="F286" t="s">
        <v>148</v>
      </c>
      <c r="G286" t="s">
        <v>778</v>
      </c>
      <c r="J286" t="s">
        <v>33</v>
      </c>
      <c r="K286" t="s">
        <v>707</v>
      </c>
      <c r="L286" t="s">
        <v>558</v>
      </c>
      <c r="M286" t="s">
        <v>523</v>
      </c>
      <c r="N286" t="s">
        <v>522</v>
      </c>
      <c r="O286" t="s">
        <v>402</v>
      </c>
    </row>
    <row r="287" spans="1:15" x14ac:dyDescent="0.25">
      <c r="A287" t="s">
        <v>899</v>
      </c>
      <c r="B287" t="s">
        <v>57</v>
      </c>
      <c r="C287" t="s">
        <v>777</v>
      </c>
      <c r="D287" t="s">
        <v>439</v>
      </c>
      <c r="E287">
        <v>2024</v>
      </c>
      <c r="F287" t="s">
        <v>148</v>
      </c>
      <c r="G287" t="s">
        <v>778</v>
      </c>
      <c r="J287" t="s">
        <v>33</v>
      </c>
      <c r="K287" t="s">
        <v>707</v>
      </c>
      <c r="L287" t="s">
        <v>558</v>
      </c>
      <c r="M287" t="s">
        <v>18</v>
      </c>
      <c r="N287" t="s">
        <v>534</v>
      </c>
      <c r="O287" t="s">
        <v>30</v>
      </c>
    </row>
    <row r="288" spans="1:15" x14ac:dyDescent="0.25">
      <c r="A288" t="s">
        <v>899</v>
      </c>
      <c r="B288" t="s">
        <v>57</v>
      </c>
      <c r="C288" t="s">
        <v>777</v>
      </c>
      <c r="D288" t="s">
        <v>439</v>
      </c>
      <c r="E288">
        <v>2024</v>
      </c>
      <c r="F288" t="s">
        <v>148</v>
      </c>
      <c r="G288" t="s">
        <v>778</v>
      </c>
      <c r="J288" t="s">
        <v>33</v>
      </c>
      <c r="K288" t="s">
        <v>707</v>
      </c>
      <c r="L288" t="s">
        <v>558</v>
      </c>
      <c r="M288" t="s">
        <v>18</v>
      </c>
      <c r="N288" t="s">
        <v>522</v>
      </c>
      <c r="O288" t="s">
        <v>402</v>
      </c>
    </row>
    <row r="289" spans="1:15" x14ac:dyDescent="0.25">
      <c r="A289" t="s">
        <v>899</v>
      </c>
      <c r="B289" t="s">
        <v>57</v>
      </c>
      <c r="C289" t="s">
        <v>777</v>
      </c>
      <c r="D289" t="s">
        <v>439</v>
      </c>
      <c r="E289">
        <v>2024</v>
      </c>
      <c r="F289" t="s">
        <v>148</v>
      </c>
      <c r="G289" t="s">
        <v>778</v>
      </c>
      <c r="J289" t="s">
        <v>33</v>
      </c>
      <c r="K289" t="s">
        <v>707</v>
      </c>
      <c r="L289" t="s">
        <v>558</v>
      </c>
      <c r="M289" t="s">
        <v>6</v>
      </c>
      <c r="N289" t="s">
        <v>534</v>
      </c>
      <c r="O289" t="s">
        <v>30</v>
      </c>
    </row>
    <row r="290" spans="1:15" x14ac:dyDescent="0.25">
      <c r="A290" t="s">
        <v>899</v>
      </c>
      <c r="B290" t="s">
        <v>57</v>
      </c>
      <c r="C290" t="s">
        <v>777</v>
      </c>
      <c r="D290" t="s">
        <v>439</v>
      </c>
      <c r="E290">
        <v>2024</v>
      </c>
      <c r="F290" t="s">
        <v>148</v>
      </c>
      <c r="G290" t="s">
        <v>778</v>
      </c>
      <c r="J290" t="s">
        <v>33</v>
      </c>
      <c r="K290" t="s">
        <v>707</v>
      </c>
      <c r="L290" t="s">
        <v>558</v>
      </c>
      <c r="M290" t="s">
        <v>6</v>
      </c>
      <c r="N290" t="s">
        <v>522</v>
      </c>
      <c r="O290" t="s">
        <v>402</v>
      </c>
    </row>
    <row r="291" spans="1:15" x14ac:dyDescent="0.25">
      <c r="A291" t="s">
        <v>900</v>
      </c>
      <c r="B291" t="s">
        <v>57</v>
      </c>
      <c r="C291" t="s">
        <v>780</v>
      </c>
      <c r="D291" t="s">
        <v>8</v>
      </c>
      <c r="E291">
        <v>2024</v>
      </c>
      <c r="F291" t="s">
        <v>148</v>
      </c>
      <c r="G291" t="s">
        <v>781</v>
      </c>
      <c r="J291" t="s">
        <v>33</v>
      </c>
      <c r="K291" t="s">
        <v>707</v>
      </c>
      <c r="L291" t="s">
        <v>558</v>
      </c>
      <c r="M291" t="s">
        <v>523</v>
      </c>
      <c r="N291" t="s">
        <v>538</v>
      </c>
      <c r="O291" t="s">
        <v>29</v>
      </c>
    </row>
    <row r="292" spans="1:15" x14ac:dyDescent="0.25">
      <c r="A292" t="s">
        <v>901</v>
      </c>
      <c r="B292" t="s">
        <v>57</v>
      </c>
      <c r="C292" t="s">
        <v>783</v>
      </c>
      <c r="D292" t="s">
        <v>60</v>
      </c>
      <c r="E292">
        <v>2019</v>
      </c>
      <c r="F292" t="s">
        <v>74</v>
      </c>
      <c r="G292" t="s">
        <v>784</v>
      </c>
      <c r="I292" t="s">
        <v>786</v>
      </c>
      <c r="J292" t="s">
        <v>273</v>
      </c>
      <c r="K292" t="s">
        <v>58</v>
      </c>
      <c r="L292" t="s">
        <v>7</v>
      </c>
      <c r="M292" t="s">
        <v>523</v>
      </c>
      <c r="N292" t="s">
        <v>365</v>
      </c>
    </row>
    <row r="293" spans="1:15" x14ac:dyDescent="0.25">
      <c r="A293" t="s">
        <v>901</v>
      </c>
      <c r="B293" t="s">
        <v>57</v>
      </c>
      <c r="C293" t="s">
        <v>783</v>
      </c>
      <c r="D293" t="s">
        <v>60</v>
      </c>
      <c r="E293">
        <v>2019</v>
      </c>
      <c r="F293" t="s">
        <v>74</v>
      </c>
      <c r="G293" t="s">
        <v>784</v>
      </c>
      <c r="I293" t="s">
        <v>786</v>
      </c>
      <c r="J293" t="s">
        <v>273</v>
      </c>
      <c r="K293" t="s">
        <v>58</v>
      </c>
      <c r="L293" t="s">
        <v>7</v>
      </c>
      <c r="M293" t="s">
        <v>523</v>
      </c>
      <c r="N293" t="s">
        <v>538</v>
      </c>
      <c r="O293" t="s">
        <v>29</v>
      </c>
    </row>
    <row r="294" spans="1:15" x14ac:dyDescent="0.25">
      <c r="A294" t="s">
        <v>901</v>
      </c>
      <c r="B294" t="s">
        <v>57</v>
      </c>
      <c r="C294" t="s">
        <v>783</v>
      </c>
      <c r="D294" t="s">
        <v>60</v>
      </c>
      <c r="E294">
        <v>2019</v>
      </c>
      <c r="F294" t="s">
        <v>74</v>
      </c>
      <c r="G294" t="s">
        <v>784</v>
      </c>
      <c r="I294" t="s">
        <v>786</v>
      </c>
      <c r="J294" t="s">
        <v>273</v>
      </c>
      <c r="K294" t="s">
        <v>58</v>
      </c>
      <c r="L294" t="s">
        <v>7</v>
      </c>
      <c r="M294" t="s">
        <v>18</v>
      </c>
      <c r="N294" t="s">
        <v>365</v>
      </c>
    </row>
    <row r="295" spans="1:15" x14ac:dyDescent="0.25">
      <c r="A295" t="s">
        <v>901</v>
      </c>
      <c r="B295" t="s">
        <v>57</v>
      </c>
      <c r="C295" t="s">
        <v>783</v>
      </c>
      <c r="D295" t="s">
        <v>60</v>
      </c>
      <c r="E295">
        <v>2019</v>
      </c>
      <c r="F295" t="s">
        <v>74</v>
      </c>
      <c r="G295" t="s">
        <v>784</v>
      </c>
      <c r="I295" t="s">
        <v>786</v>
      </c>
      <c r="J295" t="s">
        <v>273</v>
      </c>
      <c r="K295" t="s">
        <v>58</v>
      </c>
      <c r="L295" t="s">
        <v>7</v>
      </c>
      <c r="M295" t="s">
        <v>18</v>
      </c>
      <c r="N295" t="s">
        <v>538</v>
      </c>
      <c r="O295" t="s">
        <v>29</v>
      </c>
    </row>
    <row r="296" spans="1:15" x14ac:dyDescent="0.25">
      <c r="A296" t="s">
        <v>902</v>
      </c>
      <c r="B296" t="s">
        <v>57</v>
      </c>
      <c r="C296" t="s">
        <v>787</v>
      </c>
      <c r="D296" t="s">
        <v>8</v>
      </c>
      <c r="E296">
        <v>2023</v>
      </c>
      <c r="F296" t="s">
        <v>181</v>
      </c>
      <c r="G296" t="s">
        <v>788</v>
      </c>
      <c r="J296" t="s">
        <v>33</v>
      </c>
      <c r="K296" t="s">
        <v>58</v>
      </c>
      <c r="L296" t="s">
        <v>7</v>
      </c>
      <c r="M296" t="s">
        <v>524</v>
      </c>
      <c r="N296" t="s">
        <v>529</v>
      </c>
      <c r="O296" t="s">
        <v>386</v>
      </c>
    </row>
    <row r="297" spans="1:15" x14ac:dyDescent="0.25">
      <c r="A297" t="s">
        <v>902</v>
      </c>
      <c r="B297" t="s">
        <v>57</v>
      </c>
      <c r="C297" t="s">
        <v>787</v>
      </c>
      <c r="D297" t="s">
        <v>8</v>
      </c>
      <c r="E297">
        <v>2023</v>
      </c>
      <c r="F297" t="s">
        <v>181</v>
      </c>
      <c r="G297" t="s">
        <v>788</v>
      </c>
      <c r="J297" t="s">
        <v>33</v>
      </c>
      <c r="K297" t="s">
        <v>58</v>
      </c>
      <c r="L297" t="s">
        <v>7</v>
      </c>
      <c r="M297" t="s">
        <v>18</v>
      </c>
      <c r="N297" t="s">
        <v>529</v>
      </c>
      <c r="O297" t="s">
        <v>386</v>
      </c>
    </row>
    <row r="298" spans="1:15" x14ac:dyDescent="0.25">
      <c r="A298" t="s">
        <v>1183</v>
      </c>
      <c r="B298" t="s">
        <v>57</v>
      </c>
      <c r="C298" t="s">
        <v>790</v>
      </c>
      <c r="D298" t="s">
        <v>8</v>
      </c>
      <c r="E298">
        <v>2018</v>
      </c>
      <c r="F298" t="s">
        <v>193</v>
      </c>
      <c r="G298" t="s">
        <v>1132</v>
      </c>
      <c r="I298" t="s">
        <v>791</v>
      </c>
      <c r="J298" t="s">
        <v>33</v>
      </c>
      <c r="K298" t="s">
        <v>58</v>
      </c>
      <c r="L298" t="s">
        <v>558</v>
      </c>
      <c r="M298" t="s">
        <v>523</v>
      </c>
      <c r="N298" t="s">
        <v>529</v>
      </c>
      <c r="O298" t="s">
        <v>386</v>
      </c>
    </row>
    <row r="299" spans="1:15" x14ac:dyDescent="0.25">
      <c r="A299" t="s">
        <v>1183</v>
      </c>
      <c r="B299" t="s">
        <v>57</v>
      </c>
      <c r="C299" t="s">
        <v>790</v>
      </c>
      <c r="D299" t="s">
        <v>8</v>
      </c>
      <c r="E299">
        <v>2018</v>
      </c>
      <c r="F299" t="s">
        <v>193</v>
      </c>
      <c r="G299" t="s">
        <v>1132</v>
      </c>
      <c r="I299" t="s">
        <v>791</v>
      </c>
      <c r="J299" t="s">
        <v>33</v>
      </c>
      <c r="K299" t="s">
        <v>58</v>
      </c>
      <c r="L299" t="s">
        <v>558</v>
      </c>
      <c r="M299" t="s">
        <v>523</v>
      </c>
      <c r="N299" t="s">
        <v>538</v>
      </c>
      <c r="O299" t="s">
        <v>29</v>
      </c>
    </row>
    <row r="300" spans="1:15" x14ac:dyDescent="0.25">
      <c r="A300" t="s">
        <v>1183</v>
      </c>
      <c r="B300" t="s">
        <v>57</v>
      </c>
      <c r="C300" t="s">
        <v>790</v>
      </c>
      <c r="D300" t="s">
        <v>8</v>
      </c>
      <c r="E300">
        <v>2018</v>
      </c>
      <c r="F300" t="s">
        <v>193</v>
      </c>
      <c r="G300" t="s">
        <v>1132</v>
      </c>
      <c r="I300" t="s">
        <v>791</v>
      </c>
      <c r="J300" t="s">
        <v>33</v>
      </c>
      <c r="K300" t="s">
        <v>58</v>
      </c>
      <c r="L300" t="s">
        <v>558</v>
      </c>
      <c r="M300" t="s">
        <v>524</v>
      </c>
      <c r="N300" t="s">
        <v>529</v>
      </c>
      <c r="O300" t="s">
        <v>386</v>
      </c>
    </row>
    <row r="301" spans="1:15" x14ac:dyDescent="0.25">
      <c r="A301" t="s">
        <v>1183</v>
      </c>
      <c r="B301" t="s">
        <v>57</v>
      </c>
      <c r="C301" t="s">
        <v>790</v>
      </c>
      <c r="D301" t="s">
        <v>8</v>
      </c>
      <c r="E301">
        <v>2018</v>
      </c>
      <c r="F301" t="s">
        <v>193</v>
      </c>
      <c r="G301" t="s">
        <v>1132</v>
      </c>
      <c r="I301" t="s">
        <v>791</v>
      </c>
      <c r="J301" t="s">
        <v>33</v>
      </c>
      <c r="K301" t="s">
        <v>58</v>
      </c>
      <c r="L301" t="s">
        <v>558</v>
      </c>
      <c r="M301" t="s">
        <v>524</v>
      </c>
      <c r="N301" t="s">
        <v>538</v>
      </c>
      <c r="O301" t="s">
        <v>29</v>
      </c>
    </row>
    <row r="302" spans="1:15" x14ac:dyDescent="0.25">
      <c r="A302" t="s">
        <v>1184</v>
      </c>
      <c r="B302" t="s">
        <v>57</v>
      </c>
      <c r="C302" t="s">
        <v>792</v>
      </c>
      <c r="D302" t="s">
        <v>8</v>
      </c>
      <c r="E302">
        <v>2019</v>
      </c>
      <c r="F302" t="s">
        <v>193</v>
      </c>
      <c r="G302" t="s">
        <v>1135</v>
      </c>
      <c r="I302" t="s">
        <v>793</v>
      </c>
      <c r="J302" t="s">
        <v>33</v>
      </c>
      <c r="K302" t="s">
        <v>58</v>
      </c>
      <c r="L302" t="s">
        <v>558</v>
      </c>
      <c r="M302" t="s">
        <v>523</v>
      </c>
      <c r="N302" t="s">
        <v>538</v>
      </c>
      <c r="O302" t="s">
        <v>29</v>
      </c>
    </row>
    <row r="303" spans="1:15" x14ac:dyDescent="0.25">
      <c r="A303" t="s">
        <v>1184</v>
      </c>
      <c r="B303" t="s">
        <v>57</v>
      </c>
      <c r="C303" t="s">
        <v>792</v>
      </c>
      <c r="D303" t="s">
        <v>8</v>
      </c>
      <c r="E303">
        <v>2019</v>
      </c>
      <c r="F303" t="s">
        <v>193</v>
      </c>
      <c r="G303" t="s">
        <v>1135</v>
      </c>
      <c r="I303" t="s">
        <v>793</v>
      </c>
      <c r="J303" t="s">
        <v>33</v>
      </c>
      <c r="K303" t="s">
        <v>58</v>
      </c>
      <c r="L303" t="s">
        <v>558</v>
      </c>
      <c r="M303" t="s">
        <v>523</v>
      </c>
      <c r="N303" t="s">
        <v>365</v>
      </c>
    </row>
    <row r="304" spans="1:15" x14ac:dyDescent="0.25">
      <c r="A304" t="s">
        <v>1185</v>
      </c>
      <c r="B304" t="s">
        <v>57</v>
      </c>
      <c r="C304" t="s">
        <v>794</v>
      </c>
      <c r="D304" t="s">
        <v>60</v>
      </c>
      <c r="E304">
        <v>2021</v>
      </c>
      <c r="F304" t="s">
        <v>193</v>
      </c>
      <c r="G304" t="s">
        <v>795</v>
      </c>
      <c r="I304" t="s">
        <v>796</v>
      </c>
      <c r="J304" t="s">
        <v>33</v>
      </c>
      <c r="K304" t="s">
        <v>58</v>
      </c>
      <c r="L304" t="s">
        <v>7</v>
      </c>
      <c r="M304" t="s">
        <v>18</v>
      </c>
      <c r="N304" t="s">
        <v>546</v>
      </c>
    </row>
    <row r="305" spans="1:15" x14ac:dyDescent="0.25">
      <c r="A305" t="s">
        <v>1185</v>
      </c>
      <c r="B305" t="s">
        <v>57</v>
      </c>
      <c r="C305" t="s">
        <v>794</v>
      </c>
      <c r="D305" t="s">
        <v>60</v>
      </c>
      <c r="E305">
        <v>2021</v>
      </c>
      <c r="F305" t="s">
        <v>193</v>
      </c>
      <c r="G305" t="s">
        <v>795</v>
      </c>
      <c r="I305" t="s">
        <v>796</v>
      </c>
      <c r="J305" t="s">
        <v>33</v>
      </c>
      <c r="K305" t="s">
        <v>58</v>
      </c>
      <c r="L305" t="s">
        <v>7</v>
      </c>
      <c r="M305" t="s">
        <v>524</v>
      </c>
      <c r="N305" t="s">
        <v>546</v>
      </c>
    </row>
    <row r="306" spans="1:15" x14ac:dyDescent="0.25">
      <c r="A306" t="s">
        <v>1186</v>
      </c>
      <c r="B306" t="s">
        <v>57</v>
      </c>
      <c r="C306" t="s">
        <v>797</v>
      </c>
      <c r="D306" t="s">
        <v>8</v>
      </c>
      <c r="E306">
        <v>2017</v>
      </c>
      <c r="F306" t="s">
        <v>193</v>
      </c>
      <c r="G306" t="s">
        <v>1138</v>
      </c>
      <c r="I306" t="s">
        <v>798</v>
      </c>
      <c r="J306" t="s">
        <v>33</v>
      </c>
      <c r="K306" t="s">
        <v>58</v>
      </c>
      <c r="L306" t="s">
        <v>7</v>
      </c>
      <c r="M306" t="s">
        <v>18</v>
      </c>
      <c r="N306" t="s">
        <v>546</v>
      </c>
    </row>
    <row r="307" spans="1:15" x14ac:dyDescent="0.25">
      <c r="A307" t="s">
        <v>1186</v>
      </c>
      <c r="B307" t="s">
        <v>57</v>
      </c>
      <c r="C307" t="s">
        <v>797</v>
      </c>
      <c r="D307" t="s">
        <v>8</v>
      </c>
      <c r="E307">
        <v>2017</v>
      </c>
      <c r="F307" t="s">
        <v>193</v>
      </c>
      <c r="G307" t="s">
        <v>1138</v>
      </c>
      <c r="I307" t="s">
        <v>798</v>
      </c>
      <c r="J307" t="s">
        <v>33</v>
      </c>
      <c r="K307" t="s">
        <v>58</v>
      </c>
      <c r="L307" t="s">
        <v>7</v>
      </c>
      <c r="M307" t="s">
        <v>524</v>
      </c>
      <c r="N307" t="s">
        <v>546</v>
      </c>
    </row>
    <row r="308" spans="1:15" x14ac:dyDescent="0.25">
      <c r="A308" t="s">
        <v>1187</v>
      </c>
      <c r="B308" t="s">
        <v>57</v>
      </c>
      <c r="C308" t="s">
        <v>1140</v>
      </c>
      <c r="D308" t="s">
        <v>8</v>
      </c>
      <c r="E308">
        <v>2023</v>
      </c>
      <c r="F308" t="s">
        <v>80</v>
      </c>
      <c r="G308" t="s">
        <v>1141</v>
      </c>
      <c r="H308" t="s">
        <v>1144</v>
      </c>
      <c r="I308" t="s">
        <v>1143</v>
      </c>
      <c r="J308" t="s">
        <v>22</v>
      </c>
      <c r="K308" t="s">
        <v>58</v>
      </c>
      <c r="L308" t="s">
        <v>5</v>
      </c>
      <c r="M308" t="s">
        <v>18</v>
      </c>
      <c r="N308" t="s">
        <v>534</v>
      </c>
      <c r="O308" t="s">
        <v>30</v>
      </c>
    </row>
    <row r="309" spans="1:15" x14ac:dyDescent="0.25">
      <c r="A309" t="s">
        <v>1187</v>
      </c>
      <c r="B309" t="s">
        <v>57</v>
      </c>
      <c r="C309" t="s">
        <v>1140</v>
      </c>
      <c r="D309" t="s">
        <v>8</v>
      </c>
      <c r="E309">
        <v>2023</v>
      </c>
      <c r="F309" t="s">
        <v>80</v>
      </c>
      <c r="G309" t="s">
        <v>1141</v>
      </c>
      <c r="H309" t="s">
        <v>1144</v>
      </c>
      <c r="I309" t="s">
        <v>1143</v>
      </c>
      <c r="J309" t="s">
        <v>22</v>
      </c>
      <c r="K309" t="s">
        <v>58</v>
      </c>
      <c r="L309" t="s">
        <v>5</v>
      </c>
      <c r="M309" t="s">
        <v>18</v>
      </c>
      <c r="N309" t="s">
        <v>538</v>
      </c>
      <c r="O309" t="s">
        <v>29</v>
      </c>
    </row>
    <row r="310" spans="1:15" x14ac:dyDescent="0.25">
      <c r="A310" t="s">
        <v>1187</v>
      </c>
      <c r="B310" t="s">
        <v>57</v>
      </c>
      <c r="C310" t="s">
        <v>1140</v>
      </c>
      <c r="D310" t="s">
        <v>8</v>
      </c>
      <c r="E310">
        <v>2023</v>
      </c>
      <c r="F310" t="s">
        <v>80</v>
      </c>
      <c r="G310" t="s">
        <v>1141</v>
      </c>
      <c r="H310" t="s">
        <v>1144</v>
      </c>
      <c r="I310" t="s">
        <v>1143</v>
      </c>
      <c r="J310" t="s">
        <v>22</v>
      </c>
      <c r="K310" t="s">
        <v>58</v>
      </c>
      <c r="L310" t="s">
        <v>5</v>
      </c>
      <c r="M310" t="s">
        <v>523</v>
      </c>
      <c r="N310" t="s">
        <v>534</v>
      </c>
      <c r="O310" t="s">
        <v>30</v>
      </c>
    </row>
    <row r="311" spans="1:15" x14ac:dyDescent="0.25">
      <c r="A311" t="s">
        <v>1187</v>
      </c>
      <c r="B311" t="s">
        <v>57</v>
      </c>
      <c r="C311" t="s">
        <v>1140</v>
      </c>
      <c r="D311" t="s">
        <v>8</v>
      </c>
      <c r="E311">
        <v>2023</v>
      </c>
      <c r="F311" t="s">
        <v>80</v>
      </c>
      <c r="G311" t="s">
        <v>1141</v>
      </c>
      <c r="H311" t="s">
        <v>1144</v>
      </c>
      <c r="I311" t="s">
        <v>1143</v>
      </c>
      <c r="J311" t="s">
        <v>22</v>
      </c>
      <c r="K311" t="s">
        <v>58</v>
      </c>
      <c r="L311" t="s">
        <v>5</v>
      </c>
      <c r="M311" t="s">
        <v>523</v>
      </c>
      <c r="N311" t="s">
        <v>538</v>
      </c>
      <c r="O311" t="s">
        <v>29</v>
      </c>
    </row>
    <row r="312" spans="1:15" x14ac:dyDescent="0.25">
      <c r="A312" t="s">
        <v>1187</v>
      </c>
      <c r="B312" t="s">
        <v>57</v>
      </c>
      <c r="C312" t="s">
        <v>1140</v>
      </c>
      <c r="D312" t="s">
        <v>8</v>
      </c>
      <c r="E312">
        <v>2023</v>
      </c>
      <c r="F312" t="s">
        <v>80</v>
      </c>
      <c r="G312" t="s">
        <v>1141</v>
      </c>
      <c r="H312" t="s">
        <v>1144</v>
      </c>
      <c r="I312" t="s">
        <v>1143</v>
      </c>
      <c r="J312" t="s">
        <v>22</v>
      </c>
      <c r="K312" t="s">
        <v>58</v>
      </c>
      <c r="L312" t="s">
        <v>5</v>
      </c>
      <c r="M312" t="s">
        <v>6</v>
      </c>
      <c r="N312" t="s">
        <v>534</v>
      </c>
      <c r="O312" t="s">
        <v>30</v>
      </c>
    </row>
    <row r="313" spans="1:15" x14ac:dyDescent="0.25">
      <c r="A313" t="s">
        <v>1187</v>
      </c>
      <c r="B313" t="s">
        <v>57</v>
      </c>
      <c r="C313" t="s">
        <v>1140</v>
      </c>
      <c r="D313" t="s">
        <v>8</v>
      </c>
      <c r="E313">
        <v>2023</v>
      </c>
      <c r="F313" t="s">
        <v>80</v>
      </c>
      <c r="G313" t="s">
        <v>1141</v>
      </c>
      <c r="H313" t="s">
        <v>1144</v>
      </c>
      <c r="I313" t="s">
        <v>1143</v>
      </c>
      <c r="J313" t="s">
        <v>22</v>
      </c>
      <c r="K313" t="s">
        <v>58</v>
      </c>
      <c r="L313" t="s">
        <v>5</v>
      </c>
      <c r="M313" t="s">
        <v>6</v>
      </c>
      <c r="N313" t="s">
        <v>538</v>
      </c>
      <c r="O313" t="s">
        <v>29</v>
      </c>
    </row>
    <row r="314" spans="1:15" x14ac:dyDescent="0.25">
      <c r="A314" t="s">
        <v>1188</v>
      </c>
      <c r="B314" t="s">
        <v>57</v>
      </c>
      <c r="C314" t="s">
        <v>1145</v>
      </c>
      <c r="D314" t="s">
        <v>8</v>
      </c>
      <c r="E314">
        <v>2023</v>
      </c>
      <c r="F314" t="s">
        <v>80</v>
      </c>
      <c r="G314" t="s">
        <v>1146</v>
      </c>
      <c r="H314" t="s">
        <v>1144</v>
      </c>
      <c r="I314" t="s">
        <v>1148</v>
      </c>
      <c r="J314" t="s">
        <v>22</v>
      </c>
      <c r="K314" t="s">
        <v>58</v>
      </c>
      <c r="L314" t="s">
        <v>5</v>
      </c>
      <c r="M314" t="s">
        <v>18</v>
      </c>
      <c r="N314" t="s">
        <v>534</v>
      </c>
      <c r="O314" t="s">
        <v>30</v>
      </c>
    </row>
    <row r="315" spans="1:15" x14ac:dyDescent="0.25">
      <c r="A315" t="s">
        <v>1188</v>
      </c>
      <c r="B315" t="s">
        <v>57</v>
      </c>
      <c r="C315" t="s">
        <v>1145</v>
      </c>
      <c r="D315" t="s">
        <v>8</v>
      </c>
      <c r="E315">
        <v>2023</v>
      </c>
      <c r="F315" t="s">
        <v>80</v>
      </c>
      <c r="G315" t="s">
        <v>1146</v>
      </c>
      <c r="H315" t="s">
        <v>1144</v>
      </c>
      <c r="I315" t="s">
        <v>1148</v>
      </c>
      <c r="J315" t="s">
        <v>22</v>
      </c>
      <c r="K315" t="s">
        <v>58</v>
      </c>
      <c r="L315" t="s">
        <v>5</v>
      </c>
      <c r="M315" t="s">
        <v>18</v>
      </c>
      <c r="N315" t="s">
        <v>538</v>
      </c>
      <c r="O315" t="s">
        <v>29</v>
      </c>
    </row>
    <row r="316" spans="1:15" x14ac:dyDescent="0.25">
      <c r="A316" t="s">
        <v>1188</v>
      </c>
      <c r="B316" t="s">
        <v>57</v>
      </c>
      <c r="C316" t="s">
        <v>1145</v>
      </c>
      <c r="D316" t="s">
        <v>8</v>
      </c>
      <c r="E316">
        <v>2023</v>
      </c>
      <c r="F316" t="s">
        <v>80</v>
      </c>
      <c r="G316" t="s">
        <v>1146</v>
      </c>
      <c r="H316" t="s">
        <v>1144</v>
      </c>
      <c r="I316" t="s">
        <v>1148</v>
      </c>
      <c r="J316" t="s">
        <v>22</v>
      </c>
      <c r="K316" t="s">
        <v>58</v>
      </c>
      <c r="L316" t="s">
        <v>5</v>
      </c>
      <c r="M316" t="s">
        <v>523</v>
      </c>
      <c r="N316" t="s">
        <v>534</v>
      </c>
      <c r="O316" t="s">
        <v>30</v>
      </c>
    </row>
    <row r="317" spans="1:15" x14ac:dyDescent="0.25">
      <c r="A317" t="s">
        <v>1188</v>
      </c>
      <c r="B317" t="s">
        <v>57</v>
      </c>
      <c r="C317" t="s">
        <v>1145</v>
      </c>
      <c r="D317" t="s">
        <v>8</v>
      </c>
      <c r="E317">
        <v>2023</v>
      </c>
      <c r="F317" t="s">
        <v>80</v>
      </c>
      <c r="G317" t="s">
        <v>1146</v>
      </c>
      <c r="H317" t="s">
        <v>1144</v>
      </c>
      <c r="I317" t="s">
        <v>1148</v>
      </c>
      <c r="J317" t="s">
        <v>22</v>
      </c>
      <c r="K317" t="s">
        <v>58</v>
      </c>
      <c r="L317" t="s">
        <v>5</v>
      </c>
      <c r="M317" t="s">
        <v>523</v>
      </c>
      <c r="N317" t="s">
        <v>538</v>
      </c>
      <c r="O317" t="s">
        <v>29</v>
      </c>
    </row>
    <row r="318" spans="1:15" x14ac:dyDescent="0.25">
      <c r="A318" t="s">
        <v>1188</v>
      </c>
      <c r="B318" t="s">
        <v>57</v>
      </c>
      <c r="C318" t="s">
        <v>1145</v>
      </c>
      <c r="D318" t="s">
        <v>8</v>
      </c>
      <c r="E318">
        <v>2023</v>
      </c>
      <c r="F318" t="s">
        <v>80</v>
      </c>
      <c r="G318" t="s">
        <v>1146</v>
      </c>
      <c r="H318" t="s">
        <v>1144</v>
      </c>
      <c r="I318" t="s">
        <v>1148</v>
      </c>
      <c r="J318" t="s">
        <v>22</v>
      </c>
      <c r="K318" t="s">
        <v>58</v>
      </c>
      <c r="L318" t="s">
        <v>5</v>
      </c>
      <c r="M318" t="s">
        <v>6</v>
      </c>
      <c r="N318" t="s">
        <v>534</v>
      </c>
      <c r="O318" t="s">
        <v>30</v>
      </c>
    </row>
    <row r="319" spans="1:15" x14ac:dyDescent="0.25">
      <c r="A319" t="s">
        <v>1188</v>
      </c>
      <c r="B319" t="s">
        <v>57</v>
      </c>
      <c r="C319" t="s">
        <v>1145</v>
      </c>
      <c r="D319" t="s">
        <v>8</v>
      </c>
      <c r="E319">
        <v>2023</v>
      </c>
      <c r="F319" t="s">
        <v>80</v>
      </c>
      <c r="G319" t="s">
        <v>1146</v>
      </c>
      <c r="H319" t="s">
        <v>1144</v>
      </c>
      <c r="I319" t="s">
        <v>1148</v>
      </c>
      <c r="J319" t="s">
        <v>22</v>
      </c>
      <c r="K319" t="s">
        <v>58</v>
      </c>
      <c r="L319" t="s">
        <v>5</v>
      </c>
      <c r="M319" t="s">
        <v>6</v>
      </c>
      <c r="N319" t="s">
        <v>538</v>
      </c>
      <c r="O319" t="s">
        <v>29</v>
      </c>
    </row>
    <row r="320" spans="1:15" x14ac:dyDescent="0.25">
      <c r="A320" t="s">
        <v>1189</v>
      </c>
      <c r="B320" t="s">
        <v>57</v>
      </c>
      <c r="C320" t="s">
        <v>1149</v>
      </c>
      <c r="D320" t="s">
        <v>8</v>
      </c>
      <c r="E320">
        <v>2023</v>
      </c>
      <c r="F320" t="s">
        <v>80</v>
      </c>
      <c r="G320" t="s">
        <v>1150</v>
      </c>
      <c r="H320" t="s">
        <v>1144</v>
      </c>
      <c r="I320" t="s">
        <v>1152</v>
      </c>
      <c r="J320" t="s">
        <v>22</v>
      </c>
      <c r="K320" t="s">
        <v>58</v>
      </c>
      <c r="L320" t="s">
        <v>5</v>
      </c>
      <c r="M320" t="s">
        <v>18</v>
      </c>
      <c r="N320" t="s">
        <v>534</v>
      </c>
      <c r="O320" t="s">
        <v>30</v>
      </c>
    </row>
    <row r="321" spans="1:15" x14ac:dyDescent="0.25">
      <c r="A321" t="s">
        <v>1189</v>
      </c>
      <c r="B321" t="s">
        <v>57</v>
      </c>
      <c r="C321" t="s">
        <v>1149</v>
      </c>
      <c r="D321" t="s">
        <v>8</v>
      </c>
      <c r="E321">
        <v>2023</v>
      </c>
      <c r="F321" t="s">
        <v>80</v>
      </c>
      <c r="G321" t="s">
        <v>1150</v>
      </c>
      <c r="H321" t="s">
        <v>1144</v>
      </c>
      <c r="I321" t="s">
        <v>1152</v>
      </c>
      <c r="J321" t="s">
        <v>22</v>
      </c>
      <c r="K321" t="s">
        <v>58</v>
      </c>
      <c r="L321" t="s">
        <v>5</v>
      </c>
      <c r="M321" t="s">
        <v>18</v>
      </c>
      <c r="N321" t="s">
        <v>538</v>
      </c>
      <c r="O321" t="s">
        <v>29</v>
      </c>
    </row>
    <row r="322" spans="1:15" x14ac:dyDescent="0.25">
      <c r="A322" t="s">
        <v>1189</v>
      </c>
      <c r="B322" t="s">
        <v>57</v>
      </c>
      <c r="C322" t="s">
        <v>1149</v>
      </c>
      <c r="D322" t="s">
        <v>8</v>
      </c>
      <c r="E322">
        <v>2023</v>
      </c>
      <c r="F322" t="s">
        <v>80</v>
      </c>
      <c r="G322" t="s">
        <v>1150</v>
      </c>
      <c r="H322" t="s">
        <v>1144</v>
      </c>
      <c r="I322" t="s">
        <v>1152</v>
      </c>
      <c r="J322" t="s">
        <v>22</v>
      </c>
      <c r="K322" t="s">
        <v>58</v>
      </c>
      <c r="L322" t="s">
        <v>5</v>
      </c>
      <c r="M322" t="s">
        <v>523</v>
      </c>
      <c r="N322" t="s">
        <v>534</v>
      </c>
      <c r="O322" t="s">
        <v>30</v>
      </c>
    </row>
    <row r="323" spans="1:15" x14ac:dyDescent="0.25">
      <c r="A323" t="s">
        <v>1189</v>
      </c>
      <c r="B323" t="s">
        <v>57</v>
      </c>
      <c r="C323" t="s">
        <v>1149</v>
      </c>
      <c r="D323" t="s">
        <v>8</v>
      </c>
      <c r="E323">
        <v>2023</v>
      </c>
      <c r="F323" t="s">
        <v>80</v>
      </c>
      <c r="G323" t="s">
        <v>1150</v>
      </c>
      <c r="H323" t="s">
        <v>1144</v>
      </c>
      <c r="I323" t="s">
        <v>1152</v>
      </c>
      <c r="J323" t="s">
        <v>22</v>
      </c>
      <c r="K323" t="s">
        <v>58</v>
      </c>
      <c r="L323" t="s">
        <v>5</v>
      </c>
      <c r="M323" t="s">
        <v>523</v>
      </c>
      <c r="N323" t="s">
        <v>538</v>
      </c>
      <c r="O323" t="s">
        <v>29</v>
      </c>
    </row>
    <row r="324" spans="1:15" x14ac:dyDescent="0.25">
      <c r="A324" t="s">
        <v>1189</v>
      </c>
      <c r="B324" t="s">
        <v>57</v>
      </c>
      <c r="C324" t="s">
        <v>1149</v>
      </c>
      <c r="D324" t="s">
        <v>8</v>
      </c>
      <c r="E324">
        <v>2023</v>
      </c>
      <c r="F324" t="s">
        <v>80</v>
      </c>
      <c r="G324" t="s">
        <v>1150</v>
      </c>
      <c r="H324" t="s">
        <v>1144</v>
      </c>
      <c r="I324" t="s">
        <v>1152</v>
      </c>
      <c r="J324" t="s">
        <v>22</v>
      </c>
      <c r="K324" t="s">
        <v>58</v>
      </c>
      <c r="L324" t="s">
        <v>5</v>
      </c>
      <c r="M324" t="s">
        <v>6</v>
      </c>
      <c r="N324" t="s">
        <v>534</v>
      </c>
      <c r="O324" t="s">
        <v>30</v>
      </c>
    </row>
    <row r="325" spans="1:15" x14ac:dyDescent="0.25">
      <c r="A325" t="s">
        <v>1189</v>
      </c>
      <c r="B325" t="s">
        <v>57</v>
      </c>
      <c r="C325" t="s">
        <v>1149</v>
      </c>
      <c r="D325" t="s">
        <v>8</v>
      </c>
      <c r="E325">
        <v>2023</v>
      </c>
      <c r="F325" t="s">
        <v>80</v>
      </c>
      <c r="G325" t="s">
        <v>1150</v>
      </c>
      <c r="H325" t="s">
        <v>1144</v>
      </c>
      <c r="I325" t="s">
        <v>1152</v>
      </c>
      <c r="J325" t="s">
        <v>22</v>
      </c>
      <c r="K325" t="s">
        <v>58</v>
      </c>
      <c r="L325" t="s">
        <v>5</v>
      </c>
      <c r="M325" t="s">
        <v>6</v>
      </c>
      <c r="N325" t="s">
        <v>538</v>
      </c>
      <c r="O325" t="s">
        <v>29</v>
      </c>
    </row>
    <row r="326" spans="1:15" x14ac:dyDescent="0.25">
      <c r="A326" t="s">
        <v>1190</v>
      </c>
      <c r="B326" t="s">
        <v>57</v>
      </c>
      <c r="C326" t="s">
        <v>1153</v>
      </c>
      <c r="D326" t="s">
        <v>8</v>
      </c>
      <c r="E326">
        <v>2023</v>
      </c>
      <c r="F326" t="s">
        <v>80</v>
      </c>
      <c r="G326" t="s">
        <v>1154</v>
      </c>
      <c r="H326" t="s">
        <v>1144</v>
      </c>
      <c r="I326" t="s">
        <v>1156</v>
      </c>
      <c r="J326" t="s">
        <v>22</v>
      </c>
      <c r="K326" t="s">
        <v>58</v>
      </c>
      <c r="L326" t="s">
        <v>5</v>
      </c>
      <c r="M326" t="s">
        <v>18</v>
      </c>
      <c r="N326" t="s">
        <v>534</v>
      </c>
      <c r="O326" t="s">
        <v>30</v>
      </c>
    </row>
    <row r="327" spans="1:15" x14ac:dyDescent="0.25">
      <c r="A327" t="s">
        <v>1190</v>
      </c>
      <c r="B327" t="s">
        <v>57</v>
      </c>
      <c r="C327" t="s">
        <v>1153</v>
      </c>
      <c r="D327" t="s">
        <v>8</v>
      </c>
      <c r="E327">
        <v>2023</v>
      </c>
      <c r="F327" t="s">
        <v>80</v>
      </c>
      <c r="G327" t="s">
        <v>1154</v>
      </c>
      <c r="H327" t="s">
        <v>1144</v>
      </c>
      <c r="I327" t="s">
        <v>1156</v>
      </c>
      <c r="J327" t="s">
        <v>22</v>
      </c>
      <c r="K327" t="s">
        <v>58</v>
      </c>
      <c r="L327" t="s">
        <v>5</v>
      </c>
      <c r="M327" t="s">
        <v>18</v>
      </c>
      <c r="N327" t="s">
        <v>538</v>
      </c>
      <c r="O327" t="s">
        <v>29</v>
      </c>
    </row>
    <row r="328" spans="1:15" x14ac:dyDescent="0.25">
      <c r="A328" t="s">
        <v>1190</v>
      </c>
      <c r="B328" t="s">
        <v>57</v>
      </c>
      <c r="C328" t="s">
        <v>1153</v>
      </c>
      <c r="D328" t="s">
        <v>8</v>
      </c>
      <c r="E328">
        <v>2023</v>
      </c>
      <c r="F328" t="s">
        <v>80</v>
      </c>
      <c r="G328" t="s">
        <v>1154</v>
      </c>
      <c r="H328" t="s">
        <v>1144</v>
      </c>
      <c r="I328" t="s">
        <v>1156</v>
      </c>
      <c r="J328" t="s">
        <v>22</v>
      </c>
      <c r="K328" t="s">
        <v>58</v>
      </c>
      <c r="L328" t="s">
        <v>5</v>
      </c>
      <c r="M328" t="s">
        <v>523</v>
      </c>
      <c r="N328" t="s">
        <v>534</v>
      </c>
      <c r="O328" t="s">
        <v>30</v>
      </c>
    </row>
    <row r="329" spans="1:15" x14ac:dyDescent="0.25">
      <c r="A329" t="s">
        <v>1190</v>
      </c>
      <c r="B329" t="s">
        <v>57</v>
      </c>
      <c r="C329" t="s">
        <v>1153</v>
      </c>
      <c r="D329" t="s">
        <v>8</v>
      </c>
      <c r="E329">
        <v>2023</v>
      </c>
      <c r="F329" t="s">
        <v>80</v>
      </c>
      <c r="G329" t="s">
        <v>1154</v>
      </c>
      <c r="H329" t="s">
        <v>1144</v>
      </c>
      <c r="I329" t="s">
        <v>1156</v>
      </c>
      <c r="J329" t="s">
        <v>22</v>
      </c>
      <c r="K329" t="s">
        <v>58</v>
      </c>
      <c r="L329" t="s">
        <v>5</v>
      </c>
      <c r="M329" t="s">
        <v>523</v>
      </c>
      <c r="N329" t="s">
        <v>538</v>
      </c>
      <c r="O329" t="s">
        <v>29</v>
      </c>
    </row>
    <row r="330" spans="1:15" x14ac:dyDescent="0.25">
      <c r="A330" t="s">
        <v>1190</v>
      </c>
      <c r="B330" t="s">
        <v>57</v>
      </c>
      <c r="C330" t="s">
        <v>1153</v>
      </c>
      <c r="D330" t="s">
        <v>8</v>
      </c>
      <c r="E330">
        <v>2023</v>
      </c>
      <c r="F330" t="s">
        <v>80</v>
      </c>
      <c r="G330" t="s">
        <v>1154</v>
      </c>
      <c r="H330" t="s">
        <v>1144</v>
      </c>
      <c r="I330" t="s">
        <v>1156</v>
      </c>
      <c r="J330" t="s">
        <v>22</v>
      </c>
      <c r="K330" t="s">
        <v>58</v>
      </c>
      <c r="L330" t="s">
        <v>5</v>
      </c>
      <c r="M330" t="s">
        <v>6</v>
      </c>
      <c r="N330" t="s">
        <v>534</v>
      </c>
      <c r="O330" t="s">
        <v>30</v>
      </c>
    </row>
    <row r="331" spans="1:15" x14ac:dyDescent="0.25">
      <c r="A331" t="s">
        <v>1190</v>
      </c>
      <c r="B331" t="s">
        <v>57</v>
      </c>
      <c r="C331" t="s">
        <v>1153</v>
      </c>
      <c r="D331" t="s">
        <v>8</v>
      </c>
      <c r="E331">
        <v>2023</v>
      </c>
      <c r="F331" t="s">
        <v>80</v>
      </c>
      <c r="G331" t="s">
        <v>1154</v>
      </c>
      <c r="H331" t="s">
        <v>1144</v>
      </c>
      <c r="I331" t="s">
        <v>1156</v>
      </c>
      <c r="J331" t="s">
        <v>22</v>
      </c>
      <c r="K331" t="s">
        <v>58</v>
      </c>
      <c r="L331" t="s">
        <v>5</v>
      </c>
      <c r="M331" t="s">
        <v>6</v>
      </c>
      <c r="N331" t="s">
        <v>538</v>
      </c>
      <c r="O331" t="s">
        <v>29</v>
      </c>
    </row>
    <row r="332" spans="1:15" x14ac:dyDescent="0.25">
      <c r="A332" t="s">
        <v>1191</v>
      </c>
      <c r="B332" t="s">
        <v>57</v>
      </c>
      <c r="C332" t="s">
        <v>1157</v>
      </c>
      <c r="D332" t="s">
        <v>8</v>
      </c>
      <c r="E332">
        <v>2022</v>
      </c>
      <c r="F332" t="s">
        <v>80</v>
      </c>
      <c r="G332" t="s">
        <v>1158</v>
      </c>
      <c r="H332" t="s">
        <v>1144</v>
      </c>
      <c r="I332" t="s">
        <v>1160</v>
      </c>
      <c r="J332" t="s">
        <v>22</v>
      </c>
      <c r="K332" t="s">
        <v>58</v>
      </c>
      <c r="L332" t="s">
        <v>5</v>
      </c>
      <c r="M332" t="s">
        <v>18</v>
      </c>
      <c r="N332" t="s">
        <v>534</v>
      </c>
      <c r="O332" t="s">
        <v>30</v>
      </c>
    </row>
    <row r="333" spans="1:15" x14ac:dyDescent="0.25">
      <c r="A333" t="s">
        <v>1191</v>
      </c>
      <c r="B333" t="s">
        <v>57</v>
      </c>
      <c r="C333" t="s">
        <v>1157</v>
      </c>
      <c r="D333" t="s">
        <v>8</v>
      </c>
      <c r="E333">
        <v>2022</v>
      </c>
      <c r="F333" t="s">
        <v>80</v>
      </c>
      <c r="G333" t="s">
        <v>1158</v>
      </c>
      <c r="H333" t="s">
        <v>1144</v>
      </c>
      <c r="I333" t="s">
        <v>1160</v>
      </c>
      <c r="J333" t="s">
        <v>22</v>
      </c>
      <c r="K333" t="s">
        <v>58</v>
      </c>
      <c r="L333" t="s">
        <v>5</v>
      </c>
      <c r="M333" t="s">
        <v>18</v>
      </c>
      <c r="N333" t="s">
        <v>538</v>
      </c>
      <c r="O333" t="s">
        <v>29</v>
      </c>
    </row>
    <row r="334" spans="1:15" x14ac:dyDescent="0.25">
      <c r="A334" t="s">
        <v>1191</v>
      </c>
      <c r="B334" t="s">
        <v>57</v>
      </c>
      <c r="C334" t="s">
        <v>1157</v>
      </c>
      <c r="D334" t="s">
        <v>8</v>
      </c>
      <c r="E334">
        <v>2022</v>
      </c>
      <c r="F334" t="s">
        <v>80</v>
      </c>
      <c r="G334" t="s">
        <v>1158</v>
      </c>
      <c r="H334" t="s">
        <v>1144</v>
      </c>
      <c r="I334" t="s">
        <v>1160</v>
      </c>
      <c r="J334" t="s">
        <v>22</v>
      </c>
      <c r="K334" t="s">
        <v>58</v>
      </c>
      <c r="L334" t="s">
        <v>5</v>
      </c>
      <c r="M334" t="s">
        <v>523</v>
      </c>
      <c r="N334" t="s">
        <v>534</v>
      </c>
      <c r="O334" t="s">
        <v>30</v>
      </c>
    </row>
    <row r="335" spans="1:15" x14ac:dyDescent="0.25">
      <c r="A335" t="s">
        <v>1191</v>
      </c>
      <c r="B335" t="s">
        <v>57</v>
      </c>
      <c r="C335" t="s">
        <v>1157</v>
      </c>
      <c r="D335" t="s">
        <v>8</v>
      </c>
      <c r="E335">
        <v>2022</v>
      </c>
      <c r="F335" t="s">
        <v>80</v>
      </c>
      <c r="G335" t="s">
        <v>1158</v>
      </c>
      <c r="H335" t="s">
        <v>1144</v>
      </c>
      <c r="I335" t="s">
        <v>1160</v>
      </c>
      <c r="J335" t="s">
        <v>22</v>
      </c>
      <c r="K335" t="s">
        <v>58</v>
      </c>
      <c r="L335" t="s">
        <v>5</v>
      </c>
      <c r="M335" t="s">
        <v>523</v>
      </c>
      <c r="N335" t="s">
        <v>538</v>
      </c>
      <c r="O335" t="s">
        <v>29</v>
      </c>
    </row>
    <row r="336" spans="1:15" x14ac:dyDescent="0.25">
      <c r="A336" t="s">
        <v>1191</v>
      </c>
      <c r="B336" t="s">
        <v>57</v>
      </c>
      <c r="C336" t="s">
        <v>1157</v>
      </c>
      <c r="D336" t="s">
        <v>8</v>
      </c>
      <c r="E336">
        <v>2022</v>
      </c>
      <c r="F336" t="s">
        <v>80</v>
      </c>
      <c r="G336" t="s">
        <v>1158</v>
      </c>
      <c r="H336" t="s">
        <v>1144</v>
      </c>
      <c r="I336" t="s">
        <v>1160</v>
      </c>
      <c r="J336" t="s">
        <v>22</v>
      </c>
      <c r="K336" t="s">
        <v>58</v>
      </c>
      <c r="L336" t="s">
        <v>5</v>
      </c>
      <c r="M336" t="s">
        <v>6</v>
      </c>
      <c r="N336" t="s">
        <v>534</v>
      </c>
      <c r="O336" t="s">
        <v>30</v>
      </c>
    </row>
    <row r="337" spans="1:15" x14ac:dyDescent="0.25">
      <c r="A337" t="s">
        <v>1191</v>
      </c>
      <c r="B337" t="s">
        <v>57</v>
      </c>
      <c r="C337" t="s">
        <v>1157</v>
      </c>
      <c r="D337" t="s">
        <v>8</v>
      </c>
      <c r="E337">
        <v>2022</v>
      </c>
      <c r="F337" t="s">
        <v>80</v>
      </c>
      <c r="G337" t="s">
        <v>1158</v>
      </c>
      <c r="H337" t="s">
        <v>1144</v>
      </c>
      <c r="I337" t="s">
        <v>1160</v>
      </c>
      <c r="J337" t="s">
        <v>22</v>
      </c>
      <c r="K337" t="s">
        <v>58</v>
      </c>
      <c r="L337" t="s">
        <v>5</v>
      </c>
      <c r="M337" t="s">
        <v>6</v>
      </c>
      <c r="N337" t="s">
        <v>538</v>
      </c>
      <c r="O337" t="s">
        <v>29</v>
      </c>
    </row>
    <row r="338" spans="1:15" x14ac:dyDescent="0.25">
      <c r="A338" t="s">
        <v>1192</v>
      </c>
      <c r="B338" t="s">
        <v>57</v>
      </c>
      <c r="C338" t="s">
        <v>1161</v>
      </c>
      <c r="D338" t="s">
        <v>8</v>
      </c>
      <c r="E338">
        <v>2024</v>
      </c>
      <c r="F338" t="s">
        <v>76</v>
      </c>
      <c r="G338" t="s">
        <v>1162</v>
      </c>
      <c r="H338" t="s">
        <v>1144</v>
      </c>
      <c r="I338" t="s">
        <v>1164</v>
      </c>
      <c r="J338" t="s">
        <v>22</v>
      </c>
      <c r="K338" t="s">
        <v>58</v>
      </c>
      <c r="L338" t="s">
        <v>5</v>
      </c>
      <c r="M338" t="s">
        <v>18</v>
      </c>
      <c r="N338" t="s">
        <v>534</v>
      </c>
      <c r="O338" t="s">
        <v>30</v>
      </c>
    </row>
    <row r="339" spans="1:15" x14ac:dyDescent="0.25">
      <c r="A339" t="s">
        <v>1192</v>
      </c>
      <c r="B339" t="s">
        <v>57</v>
      </c>
      <c r="C339" t="s">
        <v>1161</v>
      </c>
      <c r="D339" t="s">
        <v>8</v>
      </c>
      <c r="E339">
        <v>2024</v>
      </c>
      <c r="F339" t="s">
        <v>76</v>
      </c>
      <c r="G339" t="s">
        <v>1162</v>
      </c>
      <c r="H339" t="s">
        <v>1144</v>
      </c>
      <c r="I339" t="s">
        <v>1164</v>
      </c>
      <c r="J339" t="s">
        <v>22</v>
      </c>
      <c r="K339" t="s">
        <v>58</v>
      </c>
      <c r="L339" t="s">
        <v>5</v>
      </c>
      <c r="M339" t="s">
        <v>18</v>
      </c>
      <c r="N339" t="s">
        <v>538</v>
      </c>
      <c r="O339" t="s">
        <v>29</v>
      </c>
    </row>
    <row r="340" spans="1:15" x14ac:dyDescent="0.25">
      <c r="A340" t="s">
        <v>1192</v>
      </c>
      <c r="B340" t="s">
        <v>57</v>
      </c>
      <c r="C340" t="s">
        <v>1161</v>
      </c>
      <c r="D340" t="s">
        <v>8</v>
      </c>
      <c r="E340">
        <v>2024</v>
      </c>
      <c r="F340" t="s">
        <v>76</v>
      </c>
      <c r="G340" t="s">
        <v>1162</v>
      </c>
      <c r="H340" t="s">
        <v>1144</v>
      </c>
      <c r="I340" t="s">
        <v>1164</v>
      </c>
      <c r="J340" t="s">
        <v>22</v>
      </c>
      <c r="K340" t="s">
        <v>58</v>
      </c>
      <c r="L340" t="s">
        <v>5</v>
      </c>
      <c r="M340" t="s">
        <v>523</v>
      </c>
      <c r="N340" t="s">
        <v>534</v>
      </c>
      <c r="O340" t="s">
        <v>30</v>
      </c>
    </row>
    <row r="341" spans="1:15" x14ac:dyDescent="0.25">
      <c r="A341" t="s">
        <v>1192</v>
      </c>
      <c r="B341" t="s">
        <v>57</v>
      </c>
      <c r="C341" t="s">
        <v>1161</v>
      </c>
      <c r="D341" t="s">
        <v>8</v>
      </c>
      <c r="E341">
        <v>2024</v>
      </c>
      <c r="F341" t="s">
        <v>76</v>
      </c>
      <c r="G341" t="s">
        <v>1162</v>
      </c>
      <c r="H341" t="s">
        <v>1144</v>
      </c>
      <c r="I341" t="s">
        <v>1164</v>
      </c>
      <c r="J341" t="s">
        <v>22</v>
      </c>
      <c r="K341" t="s">
        <v>58</v>
      </c>
      <c r="L341" t="s">
        <v>5</v>
      </c>
      <c r="M341" t="s">
        <v>523</v>
      </c>
      <c r="N341" t="s">
        <v>538</v>
      </c>
      <c r="O341" t="s">
        <v>29</v>
      </c>
    </row>
    <row r="342" spans="1:15" x14ac:dyDescent="0.25">
      <c r="A342" t="s">
        <v>1192</v>
      </c>
      <c r="B342" t="s">
        <v>57</v>
      </c>
      <c r="C342" t="s">
        <v>1161</v>
      </c>
      <c r="D342" t="s">
        <v>8</v>
      </c>
      <c r="E342">
        <v>2024</v>
      </c>
      <c r="F342" t="s">
        <v>76</v>
      </c>
      <c r="G342" t="s">
        <v>1162</v>
      </c>
      <c r="H342" t="s">
        <v>1144</v>
      </c>
      <c r="I342" t="s">
        <v>1164</v>
      </c>
      <c r="J342" t="s">
        <v>22</v>
      </c>
      <c r="K342" t="s">
        <v>58</v>
      </c>
      <c r="L342" t="s">
        <v>5</v>
      </c>
      <c r="M342" t="s">
        <v>6</v>
      </c>
      <c r="N342" t="s">
        <v>534</v>
      </c>
      <c r="O342" t="s">
        <v>30</v>
      </c>
    </row>
    <row r="343" spans="1:15" x14ac:dyDescent="0.25">
      <c r="A343" t="s">
        <v>1192</v>
      </c>
      <c r="B343" t="s">
        <v>57</v>
      </c>
      <c r="C343" t="s">
        <v>1161</v>
      </c>
      <c r="D343" t="s">
        <v>8</v>
      </c>
      <c r="E343">
        <v>2024</v>
      </c>
      <c r="F343" t="s">
        <v>76</v>
      </c>
      <c r="G343" t="s">
        <v>1162</v>
      </c>
      <c r="H343" t="s">
        <v>1144</v>
      </c>
      <c r="I343" t="s">
        <v>1164</v>
      </c>
      <c r="J343" t="s">
        <v>22</v>
      </c>
      <c r="K343" t="s">
        <v>58</v>
      </c>
      <c r="L343" t="s">
        <v>5</v>
      </c>
      <c r="M343" t="s">
        <v>6</v>
      </c>
      <c r="N343" t="s">
        <v>538</v>
      </c>
      <c r="O343" t="s">
        <v>29</v>
      </c>
    </row>
    <row r="344" spans="1:15" x14ac:dyDescent="0.25">
      <c r="A344" t="s">
        <v>1193</v>
      </c>
      <c r="B344" t="s">
        <v>57</v>
      </c>
      <c r="C344" t="s">
        <v>1165</v>
      </c>
      <c r="D344" t="s">
        <v>8</v>
      </c>
      <c r="E344">
        <v>2024</v>
      </c>
      <c r="F344" t="s">
        <v>193</v>
      </c>
      <c r="G344" t="s">
        <v>1166</v>
      </c>
      <c r="H344" t="s">
        <v>1144</v>
      </c>
      <c r="I344" t="s">
        <v>1168</v>
      </c>
      <c r="J344" t="s">
        <v>22</v>
      </c>
      <c r="K344" t="s">
        <v>58</v>
      </c>
      <c r="L344" t="s">
        <v>5</v>
      </c>
      <c r="M344" t="s">
        <v>18</v>
      </c>
      <c r="N344" t="s">
        <v>534</v>
      </c>
      <c r="O344" t="s">
        <v>30</v>
      </c>
    </row>
    <row r="345" spans="1:15" x14ac:dyDescent="0.25">
      <c r="A345" t="s">
        <v>1193</v>
      </c>
      <c r="B345" t="s">
        <v>57</v>
      </c>
      <c r="C345" t="s">
        <v>1165</v>
      </c>
      <c r="D345" t="s">
        <v>8</v>
      </c>
      <c r="E345">
        <v>2024</v>
      </c>
      <c r="F345" t="s">
        <v>193</v>
      </c>
      <c r="G345" t="s">
        <v>1166</v>
      </c>
      <c r="H345" t="s">
        <v>1144</v>
      </c>
      <c r="I345" t="s">
        <v>1168</v>
      </c>
      <c r="J345" t="s">
        <v>22</v>
      </c>
      <c r="K345" t="s">
        <v>58</v>
      </c>
      <c r="L345" t="s">
        <v>5</v>
      </c>
      <c r="M345" t="s">
        <v>18</v>
      </c>
      <c r="N345" t="s">
        <v>538</v>
      </c>
      <c r="O345" t="s">
        <v>29</v>
      </c>
    </row>
    <row r="346" spans="1:15" x14ac:dyDescent="0.25">
      <c r="A346" t="s">
        <v>1193</v>
      </c>
      <c r="B346" t="s">
        <v>57</v>
      </c>
      <c r="C346" t="s">
        <v>1165</v>
      </c>
      <c r="D346" t="s">
        <v>8</v>
      </c>
      <c r="E346">
        <v>2024</v>
      </c>
      <c r="F346" t="s">
        <v>193</v>
      </c>
      <c r="G346" t="s">
        <v>1166</v>
      </c>
      <c r="H346" t="s">
        <v>1144</v>
      </c>
      <c r="I346" t="s">
        <v>1168</v>
      </c>
      <c r="J346" t="s">
        <v>22</v>
      </c>
      <c r="K346" t="s">
        <v>58</v>
      </c>
      <c r="L346" t="s">
        <v>5</v>
      </c>
      <c r="M346" t="s">
        <v>523</v>
      </c>
      <c r="N346" t="s">
        <v>534</v>
      </c>
      <c r="O346" t="s">
        <v>30</v>
      </c>
    </row>
    <row r="347" spans="1:15" x14ac:dyDescent="0.25">
      <c r="A347" t="s">
        <v>1193</v>
      </c>
      <c r="B347" t="s">
        <v>57</v>
      </c>
      <c r="C347" t="s">
        <v>1165</v>
      </c>
      <c r="D347" t="s">
        <v>8</v>
      </c>
      <c r="E347">
        <v>2024</v>
      </c>
      <c r="F347" t="s">
        <v>193</v>
      </c>
      <c r="G347" t="s">
        <v>1166</v>
      </c>
      <c r="H347" t="s">
        <v>1144</v>
      </c>
      <c r="I347" t="s">
        <v>1168</v>
      </c>
      <c r="J347" t="s">
        <v>22</v>
      </c>
      <c r="K347" t="s">
        <v>58</v>
      </c>
      <c r="L347" t="s">
        <v>5</v>
      </c>
      <c r="M347" t="s">
        <v>523</v>
      </c>
      <c r="N347" t="s">
        <v>538</v>
      </c>
      <c r="O347" t="s">
        <v>29</v>
      </c>
    </row>
    <row r="348" spans="1:15" x14ac:dyDescent="0.25">
      <c r="A348" t="s">
        <v>1193</v>
      </c>
      <c r="B348" t="s">
        <v>57</v>
      </c>
      <c r="C348" t="s">
        <v>1165</v>
      </c>
      <c r="D348" t="s">
        <v>8</v>
      </c>
      <c r="E348">
        <v>2024</v>
      </c>
      <c r="F348" t="s">
        <v>193</v>
      </c>
      <c r="G348" t="s">
        <v>1166</v>
      </c>
      <c r="H348" t="s">
        <v>1144</v>
      </c>
      <c r="I348" t="s">
        <v>1168</v>
      </c>
      <c r="J348" t="s">
        <v>22</v>
      </c>
      <c r="K348" t="s">
        <v>58</v>
      </c>
      <c r="L348" t="s">
        <v>5</v>
      </c>
      <c r="M348" t="s">
        <v>6</v>
      </c>
      <c r="N348" t="s">
        <v>534</v>
      </c>
      <c r="O348" t="s">
        <v>30</v>
      </c>
    </row>
    <row r="349" spans="1:15" x14ac:dyDescent="0.25">
      <c r="A349" t="s">
        <v>1193</v>
      </c>
      <c r="B349" t="s">
        <v>57</v>
      </c>
      <c r="C349" t="s">
        <v>1165</v>
      </c>
      <c r="D349" t="s">
        <v>8</v>
      </c>
      <c r="E349">
        <v>2024</v>
      </c>
      <c r="F349" t="s">
        <v>193</v>
      </c>
      <c r="G349" t="s">
        <v>1166</v>
      </c>
      <c r="H349" t="s">
        <v>1144</v>
      </c>
      <c r="I349" t="s">
        <v>1168</v>
      </c>
      <c r="J349" t="s">
        <v>22</v>
      </c>
      <c r="K349" t="s">
        <v>58</v>
      </c>
      <c r="L349" t="s">
        <v>5</v>
      </c>
      <c r="M349" t="s">
        <v>6</v>
      </c>
      <c r="N349" t="s">
        <v>538</v>
      </c>
      <c r="O349" t="s">
        <v>29</v>
      </c>
    </row>
    <row r="350" spans="1:15" x14ac:dyDescent="0.25">
      <c r="A350" t="s">
        <v>1194</v>
      </c>
      <c r="B350" t="s">
        <v>57</v>
      </c>
      <c r="C350" t="s">
        <v>1169</v>
      </c>
      <c r="D350" t="s">
        <v>8</v>
      </c>
      <c r="E350">
        <v>2025</v>
      </c>
      <c r="F350" t="s">
        <v>80</v>
      </c>
      <c r="G350" t="s">
        <v>1170</v>
      </c>
      <c r="H350" t="s">
        <v>1144</v>
      </c>
      <c r="I350" t="s">
        <v>1172</v>
      </c>
      <c r="J350" t="s">
        <v>22</v>
      </c>
      <c r="K350" t="s">
        <v>58</v>
      </c>
      <c r="L350" t="s">
        <v>5</v>
      </c>
      <c r="M350" t="s">
        <v>18</v>
      </c>
      <c r="N350" t="s">
        <v>534</v>
      </c>
      <c r="O350" t="s">
        <v>30</v>
      </c>
    </row>
    <row r="351" spans="1:15" x14ac:dyDescent="0.25">
      <c r="A351" t="s">
        <v>1194</v>
      </c>
      <c r="B351" t="s">
        <v>57</v>
      </c>
      <c r="C351" t="s">
        <v>1169</v>
      </c>
      <c r="D351" t="s">
        <v>8</v>
      </c>
      <c r="E351">
        <v>2025</v>
      </c>
      <c r="F351" t="s">
        <v>80</v>
      </c>
      <c r="G351" t="s">
        <v>1170</v>
      </c>
      <c r="H351" t="s">
        <v>1144</v>
      </c>
      <c r="I351" t="s">
        <v>1172</v>
      </c>
      <c r="J351" t="s">
        <v>22</v>
      </c>
      <c r="K351" t="s">
        <v>58</v>
      </c>
      <c r="L351" t="s">
        <v>5</v>
      </c>
      <c r="M351" t="s">
        <v>18</v>
      </c>
      <c r="N351" t="s">
        <v>538</v>
      </c>
      <c r="O351" t="s">
        <v>29</v>
      </c>
    </row>
    <row r="352" spans="1:15" x14ac:dyDescent="0.25">
      <c r="A352" t="s">
        <v>1194</v>
      </c>
      <c r="B352" t="s">
        <v>57</v>
      </c>
      <c r="C352" t="s">
        <v>1169</v>
      </c>
      <c r="D352" t="s">
        <v>8</v>
      </c>
      <c r="E352">
        <v>2025</v>
      </c>
      <c r="F352" t="s">
        <v>80</v>
      </c>
      <c r="G352" t="s">
        <v>1170</v>
      </c>
      <c r="H352" t="s">
        <v>1144</v>
      </c>
      <c r="I352" t="s">
        <v>1172</v>
      </c>
      <c r="J352" t="s">
        <v>22</v>
      </c>
      <c r="K352" t="s">
        <v>58</v>
      </c>
      <c r="L352" t="s">
        <v>5</v>
      </c>
      <c r="M352" t="s">
        <v>523</v>
      </c>
      <c r="N352" t="s">
        <v>534</v>
      </c>
      <c r="O352" t="s">
        <v>30</v>
      </c>
    </row>
    <row r="353" spans="1:15" x14ac:dyDescent="0.25">
      <c r="A353" t="s">
        <v>1194</v>
      </c>
      <c r="B353" t="s">
        <v>57</v>
      </c>
      <c r="C353" t="s">
        <v>1169</v>
      </c>
      <c r="D353" t="s">
        <v>8</v>
      </c>
      <c r="E353">
        <v>2025</v>
      </c>
      <c r="F353" t="s">
        <v>80</v>
      </c>
      <c r="G353" t="s">
        <v>1170</v>
      </c>
      <c r="H353" t="s">
        <v>1144</v>
      </c>
      <c r="I353" t="s">
        <v>1172</v>
      </c>
      <c r="J353" t="s">
        <v>22</v>
      </c>
      <c r="K353" t="s">
        <v>58</v>
      </c>
      <c r="L353" t="s">
        <v>5</v>
      </c>
      <c r="M353" t="s">
        <v>523</v>
      </c>
      <c r="N353" t="s">
        <v>538</v>
      </c>
      <c r="O353" t="s">
        <v>29</v>
      </c>
    </row>
    <row r="354" spans="1:15" x14ac:dyDescent="0.25">
      <c r="A354" t="s">
        <v>1194</v>
      </c>
      <c r="B354" t="s">
        <v>57</v>
      </c>
      <c r="C354" t="s">
        <v>1169</v>
      </c>
      <c r="D354" t="s">
        <v>8</v>
      </c>
      <c r="E354">
        <v>2025</v>
      </c>
      <c r="F354" t="s">
        <v>80</v>
      </c>
      <c r="G354" t="s">
        <v>1170</v>
      </c>
      <c r="H354" t="s">
        <v>1144</v>
      </c>
      <c r="I354" t="s">
        <v>1172</v>
      </c>
      <c r="J354" t="s">
        <v>22</v>
      </c>
      <c r="K354" t="s">
        <v>58</v>
      </c>
      <c r="L354" t="s">
        <v>5</v>
      </c>
      <c r="M354" t="s">
        <v>6</v>
      </c>
      <c r="N354" t="s">
        <v>534</v>
      </c>
      <c r="O354" t="s">
        <v>30</v>
      </c>
    </row>
    <row r="355" spans="1:15" x14ac:dyDescent="0.25">
      <c r="A355" t="s">
        <v>1194</v>
      </c>
      <c r="B355" t="s">
        <v>57</v>
      </c>
      <c r="C355" t="s">
        <v>1169</v>
      </c>
      <c r="D355" t="s">
        <v>8</v>
      </c>
      <c r="E355">
        <v>2025</v>
      </c>
      <c r="F355" t="s">
        <v>80</v>
      </c>
      <c r="G355" t="s">
        <v>1170</v>
      </c>
      <c r="H355" t="s">
        <v>1144</v>
      </c>
      <c r="I355" t="s">
        <v>1172</v>
      </c>
      <c r="J355" t="s">
        <v>22</v>
      </c>
      <c r="K355" t="s">
        <v>58</v>
      </c>
      <c r="L355" t="s">
        <v>5</v>
      </c>
      <c r="M355" t="s">
        <v>6</v>
      </c>
      <c r="N355" t="s">
        <v>538</v>
      </c>
      <c r="O355" t="s">
        <v>29</v>
      </c>
    </row>
    <row r="356" spans="1:15" x14ac:dyDescent="0.25">
      <c r="A356" t="s">
        <v>1195</v>
      </c>
      <c r="B356" t="s">
        <v>57</v>
      </c>
      <c r="C356" t="s">
        <v>1173</v>
      </c>
      <c r="D356" t="s">
        <v>8</v>
      </c>
      <c r="E356">
        <v>2025</v>
      </c>
      <c r="F356" t="s">
        <v>148</v>
      </c>
      <c r="G356" t="s">
        <v>1174</v>
      </c>
      <c r="I356" t="s">
        <v>1176</v>
      </c>
      <c r="J356" t="s">
        <v>33</v>
      </c>
      <c r="K356" t="s">
        <v>707</v>
      </c>
      <c r="L356" t="s">
        <v>7</v>
      </c>
      <c r="M356" t="s">
        <v>523</v>
      </c>
      <c r="N356" t="s">
        <v>538</v>
      </c>
      <c r="O356" t="s">
        <v>29</v>
      </c>
    </row>
    <row r="357" spans="1:15" x14ac:dyDescent="0.25">
      <c r="A357" t="s">
        <v>1196</v>
      </c>
      <c r="B357" t="s">
        <v>57</v>
      </c>
      <c r="C357" t="s">
        <v>1178</v>
      </c>
      <c r="D357" t="s">
        <v>8</v>
      </c>
      <c r="E357">
        <v>2025</v>
      </c>
      <c r="F357" t="s">
        <v>410</v>
      </c>
      <c r="G357" t="s">
        <v>1179</v>
      </c>
      <c r="I357" t="s">
        <v>1373</v>
      </c>
      <c r="J357" t="s">
        <v>33</v>
      </c>
      <c r="K357" t="s">
        <v>58</v>
      </c>
      <c r="L357" t="s">
        <v>7</v>
      </c>
      <c r="M357" t="s">
        <v>523</v>
      </c>
      <c r="N357" t="s">
        <v>538</v>
      </c>
      <c r="O357" t="s">
        <v>29</v>
      </c>
    </row>
    <row r="358" spans="1:15" x14ac:dyDescent="0.25">
      <c r="A358" t="s">
        <v>1295</v>
      </c>
      <c r="B358" t="s">
        <v>57</v>
      </c>
      <c r="C358" t="s">
        <v>799</v>
      </c>
      <c r="D358" t="s">
        <v>8</v>
      </c>
      <c r="E358">
        <v>2023</v>
      </c>
      <c r="F358" t="s">
        <v>154</v>
      </c>
      <c r="G358" t="s">
        <v>1208</v>
      </c>
      <c r="I358" t="s">
        <v>1373</v>
      </c>
      <c r="J358" t="s">
        <v>33</v>
      </c>
      <c r="K358" t="s">
        <v>568</v>
      </c>
      <c r="L358" t="s">
        <v>7</v>
      </c>
      <c r="M358" t="s">
        <v>523</v>
      </c>
      <c r="N358" t="s">
        <v>529</v>
      </c>
      <c r="O358" t="s">
        <v>386</v>
      </c>
    </row>
    <row r="359" spans="1:15" x14ac:dyDescent="0.25">
      <c r="A359" t="s">
        <v>1295</v>
      </c>
      <c r="B359" t="s">
        <v>57</v>
      </c>
      <c r="C359" t="s">
        <v>799</v>
      </c>
      <c r="D359" t="s">
        <v>8</v>
      </c>
      <c r="E359">
        <v>2023</v>
      </c>
      <c r="F359" t="s">
        <v>154</v>
      </c>
      <c r="G359" t="s">
        <v>1208</v>
      </c>
      <c r="I359" t="s">
        <v>1373</v>
      </c>
      <c r="J359" t="s">
        <v>33</v>
      </c>
      <c r="K359" t="s">
        <v>568</v>
      </c>
      <c r="L359" t="s">
        <v>7</v>
      </c>
      <c r="M359" t="s">
        <v>524</v>
      </c>
      <c r="N359" t="s">
        <v>529</v>
      </c>
      <c r="O359" t="s">
        <v>386</v>
      </c>
    </row>
    <row r="360" spans="1:15" x14ac:dyDescent="0.25">
      <c r="A360" t="s">
        <v>1296</v>
      </c>
      <c r="B360" t="s">
        <v>57</v>
      </c>
      <c r="C360" t="s">
        <v>1212</v>
      </c>
      <c r="D360" t="s">
        <v>8</v>
      </c>
      <c r="E360">
        <v>2023</v>
      </c>
      <c r="F360" t="s">
        <v>181</v>
      </c>
      <c r="G360" t="s">
        <v>1213</v>
      </c>
      <c r="I360" t="s">
        <v>1373</v>
      </c>
      <c r="J360" t="s">
        <v>33</v>
      </c>
      <c r="K360" t="s">
        <v>568</v>
      </c>
      <c r="L360" t="s">
        <v>7</v>
      </c>
      <c r="M360" t="s">
        <v>523</v>
      </c>
      <c r="N360" t="s">
        <v>531</v>
      </c>
      <c r="O360" t="s">
        <v>32</v>
      </c>
    </row>
    <row r="361" spans="1:15" x14ac:dyDescent="0.25">
      <c r="A361" t="s">
        <v>1296</v>
      </c>
      <c r="B361" t="s">
        <v>57</v>
      </c>
      <c r="C361" t="s">
        <v>1212</v>
      </c>
      <c r="D361" t="s">
        <v>8</v>
      </c>
      <c r="E361">
        <v>2023</v>
      </c>
      <c r="F361" t="s">
        <v>181</v>
      </c>
      <c r="G361" t="s">
        <v>1213</v>
      </c>
      <c r="I361" t="s">
        <v>1373</v>
      </c>
      <c r="J361" t="s">
        <v>33</v>
      </c>
      <c r="K361" t="s">
        <v>568</v>
      </c>
      <c r="L361" t="s">
        <v>7</v>
      </c>
      <c r="M361" t="s">
        <v>524</v>
      </c>
      <c r="N361" t="s">
        <v>531</v>
      </c>
      <c r="O361" t="s">
        <v>32</v>
      </c>
    </row>
    <row r="362" spans="1:15" x14ac:dyDescent="0.25">
      <c r="A362" t="s">
        <v>1297</v>
      </c>
      <c r="B362" t="s">
        <v>57</v>
      </c>
      <c r="C362" t="s">
        <v>1215</v>
      </c>
      <c r="D362" t="s">
        <v>8</v>
      </c>
      <c r="E362">
        <v>2023</v>
      </c>
      <c r="F362" t="s">
        <v>183</v>
      </c>
      <c r="G362" t="s">
        <v>1216</v>
      </c>
      <c r="I362" t="s">
        <v>1373</v>
      </c>
      <c r="J362" t="s">
        <v>33</v>
      </c>
      <c r="L362" t="s">
        <v>7</v>
      </c>
      <c r="M362" t="s">
        <v>523</v>
      </c>
      <c r="N362" t="s">
        <v>531</v>
      </c>
      <c r="O362" t="s">
        <v>32</v>
      </c>
    </row>
    <row r="363" spans="1:15" x14ac:dyDescent="0.25">
      <c r="A363" t="s">
        <v>1297</v>
      </c>
      <c r="B363" t="s">
        <v>57</v>
      </c>
      <c r="C363" t="s">
        <v>1215</v>
      </c>
      <c r="D363" t="s">
        <v>8</v>
      </c>
      <c r="E363">
        <v>2023</v>
      </c>
      <c r="F363" t="s">
        <v>183</v>
      </c>
      <c r="G363" t="s">
        <v>1216</v>
      </c>
      <c r="I363" t="s">
        <v>1373</v>
      </c>
      <c r="J363" t="s">
        <v>33</v>
      </c>
      <c r="L363" t="s">
        <v>7</v>
      </c>
      <c r="M363" t="s">
        <v>524</v>
      </c>
      <c r="N363" t="s">
        <v>531</v>
      </c>
      <c r="O363" t="s">
        <v>32</v>
      </c>
    </row>
    <row r="364" spans="1:15" x14ac:dyDescent="0.25">
      <c r="A364" t="s">
        <v>1298</v>
      </c>
      <c r="B364" t="s">
        <v>57</v>
      </c>
      <c r="C364" t="s">
        <v>1218</v>
      </c>
      <c r="D364" t="s">
        <v>8</v>
      </c>
      <c r="E364">
        <v>2023</v>
      </c>
      <c r="F364" t="s">
        <v>183</v>
      </c>
      <c r="G364" t="s">
        <v>1219</v>
      </c>
      <c r="I364" t="s">
        <v>1373</v>
      </c>
      <c r="J364" t="s">
        <v>33</v>
      </c>
      <c r="L364" t="s">
        <v>7</v>
      </c>
      <c r="M364" t="s">
        <v>523</v>
      </c>
      <c r="N364" t="s">
        <v>531</v>
      </c>
      <c r="O364" t="s">
        <v>32</v>
      </c>
    </row>
    <row r="365" spans="1:15" x14ac:dyDescent="0.25">
      <c r="A365" t="s">
        <v>1298</v>
      </c>
      <c r="B365" t="s">
        <v>57</v>
      </c>
      <c r="C365" t="s">
        <v>1218</v>
      </c>
      <c r="D365" t="s">
        <v>8</v>
      </c>
      <c r="E365">
        <v>2023</v>
      </c>
      <c r="F365" t="s">
        <v>183</v>
      </c>
      <c r="G365" t="s">
        <v>1219</v>
      </c>
      <c r="I365" t="s">
        <v>1373</v>
      </c>
      <c r="J365" t="s">
        <v>33</v>
      </c>
      <c r="L365" t="s">
        <v>7</v>
      </c>
      <c r="M365" t="s">
        <v>524</v>
      </c>
      <c r="N365" t="s">
        <v>531</v>
      </c>
      <c r="O365" t="s">
        <v>32</v>
      </c>
    </row>
    <row r="366" spans="1:15" x14ac:dyDescent="0.25">
      <c r="A366" t="s">
        <v>1299</v>
      </c>
      <c r="B366" t="s">
        <v>57</v>
      </c>
      <c r="C366" t="s">
        <v>1221</v>
      </c>
      <c r="D366" t="s">
        <v>8</v>
      </c>
      <c r="E366">
        <v>2023</v>
      </c>
      <c r="F366" t="s">
        <v>183</v>
      </c>
      <c r="G366" t="s">
        <v>1222</v>
      </c>
      <c r="I366" t="s">
        <v>1373</v>
      </c>
      <c r="J366" t="s">
        <v>33</v>
      </c>
      <c r="L366" t="s">
        <v>7</v>
      </c>
      <c r="M366" t="s">
        <v>523</v>
      </c>
      <c r="N366" t="s">
        <v>531</v>
      </c>
      <c r="O366" t="s">
        <v>32</v>
      </c>
    </row>
    <row r="367" spans="1:15" x14ac:dyDescent="0.25">
      <c r="A367" t="s">
        <v>1299</v>
      </c>
      <c r="B367" t="s">
        <v>57</v>
      </c>
      <c r="C367" t="s">
        <v>1221</v>
      </c>
      <c r="D367" t="s">
        <v>8</v>
      </c>
      <c r="E367">
        <v>2023</v>
      </c>
      <c r="F367" t="s">
        <v>183</v>
      </c>
      <c r="G367" t="s">
        <v>1222</v>
      </c>
      <c r="I367" t="s">
        <v>1373</v>
      </c>
      <c r="J367" t="s">
        <v>33</v>
      </c>
      <c r="L367" t="s">
        <v>7</v>
      </c>
      <c r="M367" t="s">
        <v>524</v>
      </c>
      <c r="N367" t="s">
        <v>531</v>
      </c>
      <c r="O367" t="s">
        <v>32</v>
      </c>
    </row>
    <row r="368" spans="1:15" x14ac:dyDescent="0.25">
      <c r="A368" t="s">
        <v>1300</v>
      </c>
      <c r="B368" t="s">
        <v>57</v>
      </c>
      <c r="C368" t="s">
        <v>1202</v>
      </c>
      <c r="D368" t="s">
        <v>8</v>
      </c>
      <c r="E368">
        <v>2023</v>
      </c>
      <c r="F368" t="s">
        <v>183</v>
      </c>
      <c r="G368" t="s">
        <v>1224</v>
      </c>
      <c r="I368" t="s">
        <v>1373</v>
      </c>
      <c r="J368" t="s">
        <v>33</v>
      </c>
      <c r="L368" t="s">
        <v>7</v>
      </c>
      <c r="M368" t="s">
        <v>523</v>
      </c>
      <c r="N368" t="s">
        <v>370</v>
      </c>
      <c r="O368" t="s">
        <v>67</v>
      </c>
    </row>
    <row r="369" spans="1:15" x14ac:dyDescent="0.25">
      <c r="A369" t="s">
        <v>1300</v>
      </c>
      <c r="B369" t="s">
        <v>57</v>
      </c>
      <c r="C369" t="s">
        <v>1202</v>
      </c>
      <c r="D369" t="s">
        <v>8</v>
      </c>
      <c r="E369">
        <v>2023</v>
      </c>
      <c r="F369" t="s">
        <v>183</v>
      </c>
      <c r="G369" t="s">
        <v>1224</v>
      </c>
      <c r="I369" t="s">
        <v>1373</v>
      </c>
      <c r="J369" t="s">
        <v>33</v>
      </c>
      <c r="L369" t="s">
        <v>7</v>
      </c>
      <c r="M369" t="s">
        <v>523</v>
      </c>
      <c r="N369" t="s">
        <v>538</v>
      </c>
      <c r="O369" t="s">
        <v>29</v>
      </c>
    </row>
    <row r="370" spans="1:15" x14ac:dyDescent="0.25">
      <c r="A370" t="s">
        <v>1300</v>
      </c>
      <c r="B370" t="s">
        <v>57</v>
      </c>
      <c r="C370" t="s">
        <v>1202</v>
      </c>
      <c r="D370" t="s">
        <v>8</v>
      </c>
      <c r="E370">
        <v>2023</v>
      </c>
      <c r="F370" t="s">
        <v>183</v>
      </c>
      <c r="G370" t="s">
        <v>1224</v>
      </c>
      <c r="I370" t="s">
        <v>1373</v>
      </c>
      <c r="J370" t="s">
        <v>33</v>
      </c>
      <c r="L370" t="s">
        <v>7</v>
      </c>
      <c r="M370" t="s">
        <v>524</v>
      </c>
      <c r="N370" t="s">
        <v>370</v>
      </c>
      <c r="O370" t="s">
        <v>67</v>
      </c>
    </row>
    <row r="371" spans="1:15" x14ac:dyDescent="0.25">
      <c r="A371" t="s">
        <v>1300</v>
      </c>
      <c r="B371" t="s">
        <v>57</v>
      </c>
      <c r="C371" t="s">
        <v>1202</v>
      </c>
      <c r="D371" t="s">
        <v>8</v>
      </c>
      <c r="E371">
        <v>2023</v>
      </c>
      <c r="F371" t="s">
        <v>183</v>
      </c>
      <c r="G371" t="s">
        <v>1224</v>
      </c>
      <c r="I371" t="s">
        <v>1373</v>
      </c>
      <c r="J371" t="s">
        <v>33</v>
      </c>
      <c r="L371" t="s">
        <v>7</v>
      </c>
      <c r="M371" t="s">
        <v>524</v>
      </c>
      <c r="N371" t="s">
        <v>538</v>
      </c>
      <c r="O371" t="s">
        <v>29</v>
      </c>
    </row>
    <row r="372" spans="1:15" x14ac:dyDescent="0.25">
      <c r="A372" t="s">
        <v>1301</v>
      </c>
      <c r="B372" t="s">
        <v>57</v>
      </c>
      <c r="C372" t="s">
        <v>1203</v>
      </c>
      <c r="D372" t="s">
        <v>8</v>
      </c>
      <c r="E372">
        <v>2023</v>
      </c>
      <c r="F372" t="s">
        <v>183</v>
      </c>
      <c r="G372" t="s">
        <v>1226</v>
      </c>
      <c r="I372" t="s">
        <v>1373</v>
      </c>
      <c r="J372" t="s">
        <v>33</v>
      </c>
      <c r="L372" t="s">
        <v>7</v>
      </c>
      <c r="M372" t="s">
        <v>523</v>
      </c>
      <c r="N372" t="s">
        <v>370</v>
      </c>
      <c r="O372" t="s">
        <v>67</v>
      </c>
    </row>
    <row r="373" spans="1:15" x14ac:dyDescent="0.25">
      <c r="A373" t="s">
        <v>1301</v>
      </c>
      <c r="B373" t="s">
        <v>57</v>
      </c>
      <c r="C373" t="s">
        <v>1203</v>
      </c>
      <c r="D373" t="s">
        <v>8</v>
      </c>
      <c r="E373">
        <v>2023</v>
      </c>
      <c r="F373" t="s">
        <v>183</v>
      </c>
      <c r="G373" t="s">
        <v>1226</v>
      </c>
      <c r="I373" t="s">
        <v>1373</v>
      </c>
      <c r="J373" t="s">
        <v>33</v>
      </c>
      <c r="L373" t="s">
        <v>7</v>
      </c>
      <c r="M373" t="s">
        <v>523</v>
      </c>
      <c r="N373" t="s">
        <v>538</v>
      </c>
      <c r="O373" t="s">
        <v>29</v>
      </c>
    </row>
    <row r="374" spans="1:15" x14ac:dyDescent="0.25">
      <c r="A374" t="s">
        <v>1302</v>
      </c>
      <c r="B374" t="s">
        <v>57</v>
      </c>
      <c r="C374" t="s">
        <v>1204</v>
      </c>
      <c r="D374" t="s">
        <v>8</v>
      </c>
      <c r="E374">
        <v>2023</v>
      </c>
      <c r="F374" t="s">
        <v>183</v>
      </c>
      <c r="G374" t="s">
        <v>1228</v>
      </c>
      <c r="I374" t="s">
        <v>1373</v>
      </c>
      <c r="J374" t="s">
        <v>33</v>
      </c>
      <c r="L374" t="s">
        <v>7</v>
      </c>
      <c r="M374" t="s">
        <v>523</v>
      </c>
      <c r="N374" t="s">
        <v>370</v>
      </c>
      <c r="O374" t="s">
        <v>67</v>
      </c>
    </row>
    <row r="375" spans="1:15" x14ac:dyDescent="0.25">
      <c r="A375" t="s">
        <v>1302</v>
      </c>
      <c r="B375" t="s">
        <v>57</v>
      </c>
      <c r="C375" t="s">
        <v>1204</v>
      </c>
      <c r="D375" t="s">
        <v>8</v>
      </c>
      <c r="E375">
        <v>2023</v>
      </c>
      <c r="F375" t="s">
        <v>183</v>
      </c>
      <c r="G375" t="s">
        <v>1228</v>
      </c>
      <c r="I375" t="s">
        <v>1373</v>
      </c>
      <c r="J375" t="s">
        <v>33</v>
      </c>
      <c r="L375" t="s">
        <v>7</v>
      </c>
      <c r="M375" t="s">
        <v>523</v>
      </c>
      <c r="N375" t="s">
        <v>538</v>
      </c>
      <c r="O375" t="s">
        <v>29</v>
      </c>
    </row>
    <row r="376" spans="1:15" x14ac:dyDescent="0.25">
      <c r="A376" t="s">
        <v>1303</v>
      </c>
      <c r="B376" t="s">
        <v>57</v>
      </c>
      <c r="C376" t="s">
        <v>1205</v>
      </c>
      <c r="D376" t="s">
        <v>8</v>
      </c>
      <c r="E376">
        <v>2023</v>
      </c>
      <c r="F376" t="s">
        <v>183</v>
      </c>
      <c r="G376" t="s">
        <v>1230</v>
      </c>
      <c r="I376" t="s">
        <v>1373</v>
      </c>
      <c r="J376" t="s">
        <v>33</v>
      </c>
      <c r="L376" t="s">
        <v>7</v>
      </c>
      <c r="M376" t="s">
        <v>523</v>
      </c>
      <c r="N376" t="s">
        <v>370</v>
      </c>
      <c r="O376" t="s">
        <v>67</v>
      </c>
    </row>
    <row r="377" spans="1:15" x14ac:dyDescent="0.25">
      <c r="A377" t="s">
        <v>1303</v>
      </c>
      <c r="B377" t="s">
        <v>57</v>
      </c>
      <c r="C377" t="s">
        <v>1205</v>
      </c>
      <c r="D377" t="s">
        <v>8</v>
      </c>
      <c r="E377">
        <v>2023</v>
      </c>
      <c r="F377" t="s">
        <v>183</v>
      </c>
      <c r="G377" t="s">
        <v>1230</v>
      </c>
      <c r="I377" t="s">
        <v>1373</v>
      </c>
      <c r="J377" t="s">
        <v>33</v>
      </c>
      <c r="L377" t="s">
        <v>7</v>
      </c>
      <c r="M377" t="s">
        <v>523</v>
      </c>
      <c r="N377" t="s">
        <v>538</v>
      </c>
      <c r="O377" t="s">
        <v>29</v>
      </c>
    </row>
    <row r="378" spans="1:15" x14ac:dyDescent="0.25">
      <c r="A378" t="s">
        <v>1304</v>
      </c>
      <c r="B378" t="s">
        <v>57</v>
      </c>
      <c r="C378" t="s">
        <v>1206</v>
      </c>
      <c r="D378" t="s">
        <v>8</v>
      </c>
      <c r="E378">
        <v>2023</v>
      </c>
      <c r="F378" t="s">
        <v>183</v>
      </c>
      <c r="G378" t="s">
        <v>1232</v>
      </c>
      <c r="I378" t="s">
        <v>1373</v>
      </c>
      <c r="J378" t="s">
        <v>33</v>
      </c>
      <c r="L378" t="s">
        <v>7</v>
      </c>
      <c r="M378" t="s">
        <v>523</v>
      </c>
      <c r="N378" t="s">
        <v>370</v>
      </c>
      <c r="O378" t="s">
        <v>67</v>
      </c>
    </row>
    <row r="379" spans="1:15" x14ac:dyDescent="0.25">
      <c r="A379" t="s">
        <v>1304</v>
      </c>
      <c r="B379" t="s">
        <v>57</v>
      </c>
      <c r="C379" t="s">
        <v>1206</v>
      </c>
      <c r="D379" t="s">
        <v>8</v>
      </c>
      <c r="E379">
        <v>2023</v>
      </c>
      <c r="F379" t="s">
        <v>183</v>
      </c>
      <c r="G379" t="s">
        <v>1232</v>
      </c>
      <c r="I379" t="s">
        <v>1373</v>
      </c>
      <c r="J379" t="s">
        <v>33</v>
      </c>
      <c r="L379" t="s">
        <v>7</v>
      </c>
      <c r="M379" t="s">
        <v>523</v>
      </c>
      <c r="N379" t="s">
        <v>538</v>
      </c>
      <c r="O379" t="s">
        <v>29</v>
      </c>
    </row>
    <row r="380" spans="1:15" x14ac:dyDescent="0.25">
      <c r="A380" t="s">
        <v>1305</v>
      </c>
      <c r="B380" t="s">
        <v>57</v>
      </c>
      <c r="C380" t="s">
        <v>1234</v>
      </c>
      <c r="D380" t="s">
        <v>8</v>
      </c>
      <c r="E380">
        <v>2023</v>
      </c>
      <c r="F380" t="s">
        <v>183</v>
      </c>
      <c r="G380" t="s">
        <v>1235</v>
      </c>
      <c r="I380" t="s">
        <v>1373</v>
      </c>
      <c r="J380" t="s">
        <v>33</v>
      </c>
      <c r="L380" t="s">
        <v>7</v>
      </c>
      <c r="M380" t="s">
        <v>523</v>
      </c>
      <c r="N380" t="s">
        <v>534</v>
      </c>
      <c r="O380" t="s">
        <v>30</v>
      </c>
    </row>
    <row r="381" spans="1:15" x14ac:dyDescent="0.25">
      <c r="A381" t="s">
        <v>1305</v>
      </c>
      <c r="B381" t="s">
        <v>57</v>
      </c>
      <c r="C381" t="s">
        <v>1234</v>
      </c>
      <c r="D381" t="s">
        <v>8</v>
      </c>
      <c r="E381">
        <v>2023</v>
      </c>
      <c r="F381" t="s">
        <v>183</v>
      </c>
      <c r="G381" t="s">
        <v>1235</v>
      </c>
      <c r="I381" t="s">
        <v>1373</v>
      </c>
      <c r="J381" t="s">
        <v>33</v>
      </c>
      <c r="L381" t="s">
        <v>7</v>
      </c>
      <c r="M381" t="s">
        <v>523</v>
      </c>
      <c r="N381" t="s">
        <v>538</v>
      </c>
      <c r="O381" t="s">
        <v>29</v>
      </c>
    </row>
    <row r="382" spans="1:15" x14ac:dyDescent="0.25">
      <c r="A382" t="s">
        <v>1306</v>
      </c>
      <c r="B382" t="s">
        <v>57</v>
      </c>
      <c r="C382" t="s">
        <v>1237</v>
      </c>
      <c r="D382" t="s">
        <v>8</v>
      </c>
      <c r="E382">
        <v>2023</v>
      </c>
      <c r="F382" t="s">
        <v>183</v>
      </c>
      <c r="G382" t="s">
        <v>1238</v>
      </c>
      <c r="I382" t="s">
        <v>1240</v>
      </c>
      <c r="J382" t="s">
        <v>33</v>
      </c>
      <c r="L382" t="s">
        <v>7</v>
      </c>
      <c r="M382" t="s">
        <v>18</v>
      </c>
      <c r="N382" t="s">
        <v>534</v>
      </c>
      <c r="O382" t="s">
        <v>30</v>
      </c>
    </row>
    <row r="383" spans="1:15" x14ac:dyDescent="0.25">
      <c r="A383" t="s">
        <v>1306</v>
      </c>
      <c r="B383" t="s">
        <v>57</v>
      </c>
      <c r="C383" t="s">
        <v>1237</v>
      </c>
      <c r="D383" t="s">
        <v>8</v>
      </c>
      <c r="E383">
        <v>2023</v>
      </c>
      <c r="F383" t="s">
        <v>183</v>
      </c>
      <c r="G383" t="s">
        <v>1238</v>
      </c>
      <c r="I383" t="s">
        <v>1240</v>
      </c>
      <c r="J383" t="s">
        <v>33</v>
      </c>
      <c r="L383" t="s">
        <v>7</v>
      </c>
      <c r="M383" t="s">
        <v>18</v>
      </c>
      <c r="N383" t="s">
        <v>538</v>
      </c>
      <c r="O383" t="s">
        <v>29</v>
      </c>
    </row>
    <row r="384" spans="1:15" x14ac:dyDescent="0.25">
      <c r="A384" t="s">
        <v>1307</v>
      </c>
      <c r="B384" t="s">
        <v>57</v>
      </c>
      <c r="C384" t="s">
        <v>1241</v>
      </c>
      <c r="D384" t="s">
        <v>8</v>
      </c>
      <c r="E384">
        <v>2023</v>
      </c>
      <c r="F384" t="s">
        <v>183</v>
      </c>
      <c r="G384" t="s">
        <v>1242</v>
      </c>
      <c r="I384" t="s">
        <v>1240</v>
      </c>
      <c r="J384" t="s">
        <v>33</v>
      </c>
      <c r="L384" t="s">
        <v>7</v>
      </c>
      <c r="M384" t="s">
        <v>18</v>
      </c>
      <c r="N384" t="s">
        <v>534</v>
      </c>
      <c r="O384" t="s">
        <v>30</v>
      </c>
    </row>
    <row r="385" spans="1:15" x14ac:dyDescent="0.25">
      <c r="A385" t="s">
        <v>1307</v>
      </c>
      <c r="B385" t="s">
        <v>57</v>
      </c>
      <c r="C385" t="s">
        <v>1241</v>
      </c>
      <c r="D385" t="s">
        <v>8</v>
      </c>
      <c r="E385">
        <v>2023</v>
      </c>
      <c r="F385" t="s">
        <v>183</v>
      </c>
      <c r="G385" t="s">
        <v>1242</v>
      </c>
      <c r="I385" t="s">
        <v>1240</v>
      </c>
      <c r="J385" t="s">
        <v>33</v>
      </c>
      <c r="L385" t="s">
        <v>7</v>
      </c>
      <c r="M385" t="s">
        <v>18</v>
      </c>
      <c r="N385" t="s">
        <v>538</v>
      </c>
      <c r="O385" t="s">
        <v>29</v>
      </c>
    </row>
    <row r="386" spans="1:15" x14ac:dyDescent="0.25">
      <c r="A386" t="s">
        <v>1308</v>
      </c>
      <c r="B386" t="s">
        <v>57</v>
      </c>
      <c r="C386" t="s">
        <v>1244</v>
      </c>
      <c r="D386" t="s">
        <v>8</v>
      </c>
      <c r="E386">
        <v>2023</v>
      </c>
      <c r="F386" t="s">
        <v>183</v>
      </c>
      <c r="G386" t="s">
        <v>1245</v>
      </c>
      <c r="I386" t="s">
        <v>1373</v>
      </c>
      <c r="J386" t="s">
        <v>33</v>
      </c>
      <c r="L386" t="s">
        <v>7</v>
      </c>
      <c r="M386" t="s">
        <v>18</v>
      </c>
      <c r="N386" t="s">
        <v>534</v>
      </c>
      <c r="O386" t="s">
        <v>30</v>
      </c>
    </row>
    <row r="387" spans="1:15" x14ac:dyDescent="0.25">
      <c r="A387" t="s">
        <v>1308</v>
      </c>
      <c r="B387" t="s">
        <v>57</v>
      </c>
      <c r="C387" t="s">
        <v>1244</v>
      </c>
      <c r="D387" t="s">
        <v>8</v>
      </c>
      <c r="E387">
        <v>2023</v>
      </c>
      <c r="F387" t="s">
        <v>183</v>
      </c>
      <c r="G387" t="s">
        <v>1245</v>
      </c>
      <c r="I387" t="s">
        <v>1373</v>
      </c>
      <c r="J387" t="s">
        <v>33</v>
      </c>
      <c r="L387" t="s">
        <v>7</v>
      </c>
      <c r="M387" t="s">
        <v>18</v>
      </c>
      <c r="N387" t="s">
        <v>538</v>
      </c>
      <c r="O387" t="s">
        <v>29</v>
      </c>
    </row>
    <row r="388" spans="1:15" x14ac:dyDescent="0.25">
      <c r="A388" t="s">
        <v>1309</v>
      </c>
      <c r="B388" t="s">
        <v>57</v>
      </c>
      <c r="C388" t="s">
        <v>1247</v>
      </c>
      <c r="D388" t="s">
        <v>8</v>
      </c>
      <c r="E388">
        <v>2023</v>
      </c>
      <c r="F388" t="s">
        <v>183</v>
      </c>
      <c r="G388" t="s">
        <v>1248</v>
      </c>
      <c r="I388" t="s">
        <v>1240</v>
      </c>
      <c r="J388" t="s">
        <v>33</v>
      </c>
      <c r="L388" t="s">
        <v>7</v>
      </c>
      <c r="M388" t="s">
        <v>18</v>
      </c>
      <c r="N388" t="s">
        <v>534</v>
      </c>
      <c r="O388" t="s">
        <v>30</v>
      </c>
    </row>
    <row r="389" spans="1:15" x14ac:dyDescent="0.25">
      <c r="A389" t="s">
        <v>1309</v>
      </c>
      <c r="B389" t="s">
        <v>57</v>
      </c>
      <c r="C389" t="s">
        <v>1247</v>
      </c>
      <c r="D389" t="s">
        <v>8</v>
      </c>
      <c r="E389">
        <v>2023</v>
      </c>
      <c r="F389" t="s">
        <v>183</v>
      </c>
      <c r="G389" t="s">
        <v>1248</v>
      </c>
      <c r="I389" t="s">
        <v>1240</v>
      </c>
      <c r="J389" t="s">
        <v>33</v>
      </c>
      <c r="L389" t="s">
        <v>7</v>
      </c>
      <c r="M389" t="s">
        <v>18</v>
      </c>
      <c r="N389" t="s">
        <v>538</v>
      </c>
      <c r="O389" t="s">
        <v>29</v>
      </c>
    </row>
    <row r="390" spans="1:15" x14ac:dyDescent="0.25">
      <c r="A390" t="s">
        <v>1310</v>
      </c>
      <c r="B390" t="s">
        <v>57</v>
      </c>
      <c r="C390" t="s">
        <v>1250</v>
      </c>
      <c r="D390" t="s">
        <v>8</v>
      </c>
      <c r="E390">
        <v>2023</v>
      </c>
      <c r="F390" t="s">
        <v>183</v>
      </c>
      <c r="G390" t="s">
        <v>1251</v>
      </c>
      <c r="I390" t="s">
        <v>1373</v>
      </c>
      <c r="J390" t="s">
        <v>33</v>
      </c>
      <c r="L390" t="s">
        <v>7</v>
      </c>
      <c r="M390" t="s">
        <v>18</v>
      </c>
      <c r="N390" t="s">
        <v>534</v>
      </c>
      <c r="O390" t="s">
        <v>30</v>
      </c>
    </row>
    <row r="391" spans="1:15" x14ac:dyDescent="0.25">
      <c r="A391" t="s">
        <v>1310</v>
      </c>
      <c r="B391" t="s">
        <v>57</v>
      </c>
      <c r="C391" t="s">
        <v>1250</v>
      </c>
      <c r="D391" t="s">
        <v>8</v>
      </c>
      <c r="E391">
        <v>2023</v>
      </c>
      <c r="F391" t="s">
        <v>183</v>
      </c>
      <c r="G391" t="s">
        <v>1251</v>
      </c>
      <c r="I391" t="s">
        <v>1373</v>
      </c>
      <c r="J391" t="s">
        <v>33</v>
      </c>
      <c r="L391" t="s">
        <v>7</v>
      </c>
      <c r="M391" t="s">
        <v>18</v>
      </c>
      <c r="N391" t="s">
        <v>538</v>
      </c>
      <c r="O391" t="s">
        <v>29</v>
      </c>
    </row>
    <row r="392" spans="1:15" x14ac:dyDescent="0.25">
      <c r="A392" t="s">
        <v>1311</v>
      </c>
      <c r="B392" t="s">
        <v>57</v>
      </c>
      <c r="C392" t="s">
        <v>1253</v>
      </c>
      <c r="D392" t="s">
        <v>8</v>
      </c>
      <c r="E392">
        <v>2023</v>
      </c>
      <c r="F392" t="s">
        <v>183</v>
      </c>
      <c r="G392" t="s">
        <v>1254</v>
      </c>
      <c r="I392" t="s">
        <v>1373</v>
      </c>
      <c r="J392" t="s">
        <v>33</v>
      </c>
      <c r="L392" t="s">
        <v>7</v>
      </c>
      <c r="M392" t="s">
        <v>524</v>
      </c>
      <c r="N392" t="s">
        <v>522</v>
      </c>
      <c r="O392" t="s">
        <v>402</v>
      </c>
    </row>
    <row r="393" spans="1:15" x14ac:dyDescent="0.25">
      <c r="A393" t="s">
        <v>1312</v>
      </c>
      <c r="B393" t="s">
        <v>57</v>
      </c>
      <c r="C393" t="s">
        <v>1256</v>
      </c>
      <c r="D393" t="s">
        <v>8</v>
      </c>
      <c r="E393">
        <v>2023</v>
      </c>
      <c r="F393" t="s">
        <v>183</v>
      </c>
      <c r="G393" t="s">
        <v>1257</v>
      </c>
      <c r="I393" t="s">
        <v>1373</v>
      </c>
      <c r="J393" t="s">
        <v>33</v>
      </c>
      <c r="L393" t="s">
        <v>7</v>
      </c>
      <c r="M393" t="s">
        <v>524</v>
      </c>
      <c r="N393" t="s">
        <v>522</v>
      </c>
      <c r="O393" t="s">
        <v>402</v>
      </c>
    </row>
    <row r="394" spans="1:15" x14ac:dyDescent="0.25">
      <c r="A394" t="s">
        <v>1313</v>
      </c>
      <c r="B394" t="s">
        <v>57</v>
      </c>
      <c r="C394" t="s">
        <v>1259</v>
      </c>
      <c r="D394" t="s">
        <v>8</v>
      </c>
      <c r="E394">
        <v>2023</v>
      </c>
      <c r="F394" t="s">
        <v>183</v>
      </c>
      <c r="G394" t="s">
        <v>1260</v>
      </c>
      <c r="I394" t="s">
        <v>1262</v>
      </c>
      <c r="J394" t="s">
        <v>33</v>
      </c>
      <c r="L394" t="s">
        <v>7</v>
      </c>
      <c r="M394" t="s">
        <v>524</v>
      </c>
      <c r="N394" t="s">
        <v>522</v>
      </c>
      <c r="O394" t="s">
        <v>402</v>
      </c>
    </row>
    <row r="395" spans="1:15" x14ac:dyDescent="0.25">
      <c r="A395" t="s">
        <v>1313</v>
      </c>
      <c r="B395" t="s">
        <v>57</v>
      </c>
      <c r="C395" t="s">
        <v>1259</v>
      </c>
      <c r="D395" t="s">
        <v>8</v>
      </c>
      <c r="E395">
        <v>2023</v>
      </c>
      <c r="F395" t="s">
        <v>183</v>
      </c>
      <c r="G395" t="s">
        <v>1260</v>
      </c>
      <c r="I395" t="s">
        <v>1262</v>
      </c>
      <c r="J395" t="s">
        <v>33</v>
      </c>
      <c r="L395" t="s">
        <v>7</v>
      </c>
      <c r="M395" t="s">
        <v>523</v>
      </c>
      <c r="N395" t="s">
        <v>522</v>
      </c>
      <c r="O395" t="s">
        <v>402</v>
      </c>
    </row>
    <row r="396" spans="1:15" x14ac:dyDescent="0.25">
      <c r="A396" t="s">
        <v>1313</v>
      </c>
      <c r="B396" t="s">
        <v>57</v>
      </c>
      <c r="C396" t="s">
        <v>1259</v>
      </c>
      <c r="D396" t="s">
        <v>8</v>
      </c>
      <c r="E396">
        <v>2023</v>
      </c>
      <c r="F396" t="s">
        <v>183</v>
      </c>
      <c r="G396" t="s">
        <v>1260</v>
      </c>
      <c r="I396" t="s">
        <v>1262</v>
      </c>
      <c r="J396" t="s">
        <v>33</v>
      </c>
      <c r="L396" t="s">
        <v>7</v>
      </c>
      <c r="M396" t="s">
        <v>6</v>
      </c>
      <c r="N396" t="s">
        <v>522</v>
      </c>
      <c r="O396" t="s">
        <v>402</v>
      </c>
    </row>
    <row r="397" spans="1:15" x14ac:dyDescent="0.25">
      <c r="A397" t="s">
        <v>1313</v>
      </c>
      <c r="B397" t="s">
        <v>57</v>
      </c>
      <c r="C397" t="s">
        <v>1259</v>
      </c>
      <c r="D397" t="s">
        <v>8</v>
      </c>
      <c r="E397">
        <v>2023</v>
      </c>
      <c r="F397" t="s">
        <v>183</v>
      </c>
      <c r="G397" t="s">
        <v>1260</v>
      </c>
      <c r="I397" t="s">
        <v>1262</v>
      </c>
      <c r="J397" t="s">
        <v>33</v>
      </c>
      <c r="L397" t="s">
        <v>7</v>
      </c>
      <c r="M397" t="s">
        <v>527</v>
      </c>
      <c r="N397" t="s">
        <v>522</v>
      </c>
      <c r="O397" t="s">
        <v>402</v>
      </c>
    </row>
    <row r="398" spans="1:15" x14ac:dyDescent="0.25">
      <c r="A398" t="s">
        <v>1314</v>
      </c>
      <c r="B398" t="s">
        <v>57</v>
      </c>
      <c r="C398" t="s">
        <v>1263</v>
      </c>
      <c r="D398" t="s">
        <v>8</v>
      </c>
      <c r="E398">
        <v>2023</v>
      </c>
      <c r="F398" t="s">
        <v>183</v>
      </c>
      <c r="G398" t="s">
        <v>1264</v>
      </c>
      <c r="I398" t="s">
        <v>1373</v>
      </c>
      <c r="J398" t="s">
        <v>33</v>
      </c>
      <c r="L398" t="s">
        <v>7</v>
      </c>
      <c r="M398" t="s">
        <v>524</v>
      </c>
      <c r="N398" t="s">
        <v>522</v>
      </c>
      <c r="O398" t="s">
        <v>402</v>
      </c>
    </row>
    <row r="399" spans="1:15" x14ac:dyDescent="0.25">
      <c r="A399" t="s">
        <v>1314</v>
      </c>
      <c r="B399" t="s">
        <v>57</v>
      </c>
      <c r="C399" t="s">
        <v>1263</v>
      </c>
      <c r="D399" t="s">
        <v>8</v>
      </c>
      <c r="E399">
        <v>2023</v>
      </c>
      <c r="F399" t="s">
        <v>183</v>
      </c>
      <c r="G399" t="s">
        <v>1264</v>
      </c>
      <c r="I399" t="s">
        <v>1373</v>
      </c>
      <c r="J399" t="s">
        <v>33</v>
      </c>
      <c r="L399" t="s">
        <v>7</v>
      </c>
      <c r="M399" t="s">
        <v>523</v>
      </c>
      <c r="N399" t="s">
        <v>522</v>
      </c>
      <c r="O399" t="s">
        <v>402</v>
      </c>
    </row>
    <row r="400" spans="1:15" x14ac:dyDescent="0.25">
      <c r="A400" t="s">
        <v>1314</v>
      </c>
      <c r="B400" t="s">
        <v>57</v>
      </c>
      <c r="C400" t="s">
        <v>1263</v>
      </c>
      <c r="D400" t="s">
        <v>8</v>
      </c>
      <c r="E400">
        <v>2023</v>
      </c>
      <c r="F400" t="s">
        <v>183</v>
      </c>
      <c r="G400" t="s">
        <v>1264</v>
      </c>
      <c r="I400" t="s">
        <v>1373</v>
      </c>
      <c r="J400" t="s">
        <v>33</v>
      </c>
      <c r="L400" t="s">
        <v>7</v>
      </c>
      <c r="M400" t="s">
        <v>6</v>
      </c>
      <c r="N400" t="s">
        <v>522</v>
      </c>
      <c r="O400" t="s">
        <v>402</v>
      </c>
    </row>
    <row r="401" spans="1:15" x14ac:dyDescent="0.25">
      <c r="A401" t="s">
        <v>1314</v>
      </c>
      <c r="B401" t="s">
        <v>57</v>
      </c>
      <c r="C401" t="s">
        <v>1263</v>
      </c>
      <c r="D401" t="s">
        <v>8</v>
      </c>
      <c r="E401">
        <v>2023</v>
      </c>
      <c r="F401" t="s">
        <v>183</v>
      </c>
      <c r="G401" t="s">
        <v>1264</v>
      </c>
      <c r="I401" t="s">
        <v>1373</v>
      </c>
      <c r="J401" t="s">
        <v>33</v>
      </c>
      <c r="L401" t="s">
        <v>7</v>
      </c>
      <c r="M401" t="s">
        <v>527</v>
      </c>
      <c r="N401" t="s">
        <v>522</v>
      </c>
      <c r="O401" t="s">
        <v>402</v>
      </c>
    </row>
    <row r="402" spans="1:15" x14ac:dyDescent="0.25">
      <c r="A402" t="s">
        <v>1315</v>
      </c>
      <c r="B402" t="s">
        <v>57</v>
      </c>
      <c r="C402" t="s">
        <v>1266</v>
      </c>
      <c r="D402" t="s">
        <v>8</v>
      </c>
      <c r="E402">
        <v>2023</v>
      </c>
      <c r="F402" t="s">
        <v>183</v>
      </c>
      <c r="G402" t="s">
        <v>1267</v>
      </c>
      <c r="I402" t="s">
        <v>1373</v>
      </c>
      <c r="J402" t="s">
        <v>33</v>
      </c>
      <c r="L402" t="s">
        <v>7</v>
      </c>
      <c r="M402" t="s">
        <v>524</v>
      </c>
      <c r="N402" t="s">
        <v>522</v>
      </c>
      <c r="O402" t="s">
        <v>402</v>
      </c>
    </row>
    <row r="403" spans="1:15" x14ac:dyDescent="0.25">
      <c r="A403" t="s">
        <v>1315</v>
      </c>
      <c r="B403" t="s">
        <v>57</v>
      </c>
      <c r="C403" t="s">
        <v>1266</v>
      </c>
      <c r="D403" t="s">
        <v>8</v>
      </c>
      <c r="E403">
        <v>2023</v>
      </c>
      <c r="F403" t="s">
        <v>183</v>
      </c>
      <c r="G403" t="s">
        <v>1267</v>
      </c>
      <c r="I403" t="s">
        <v>1373</v>
      </c>
      <c r="J403" t="s">
        <v>33</v>
      </c>
      <c r="L403" t="s">
        <v>7</v>
      </c>
      <c r="M403" t="s">
        <v>523</v>
      </c>
      <c r="N403" t="s">
        <v>522</v>
      </c>
      <c r="O403" t="s">
        <v>402</v>
      </c>
    </row>
    <row r="404" spans="1:15" x14ac:dyDescent="0.25">
      <c r="A404" t="s">
        <v>1316</v>
      </c>
      <c r="B404" t="s">
        <v>57</v>
      </c>
      <c r="C404" t="s">
        <v>1269</v>
      </c>
      <c r="D404" t="s">
        <v>8</v>
      </c>
      <c r="E404">
        <v>2023</v>
      </c>
      <c r="F404" t="s">
        <v>183</v>
      </c>
      <c r="G404" t="s">
        <v>1270</v>
      </c>
      <c r="I404" t="s">
        <v>1272</v>
      </c>
      <c r="J404" t="s">
        <v>33</v>
      </c>
      <c r="L404" t="s">
        <v>7</v>
      </c>
      <c r="M404" t="s">
        <v>6</v>
      </c>
      <c r="N404" t="s">
        <v>531</v>
      </c>
      <c r="O404" t="s">
        <v>32</v>
      </c>
    </row>
    <row r="405" spans="1:15" x14ac:dyDescent="0.25">
      <c r="A405" t="s">
        <v>1316</v>
      </c>
      <c r="B405" t="s">
        <v>57</v>
      </c>
      <c r="C405" t="s">
        <v>1269</v>
      </c>
      <c r="D405" t="s">
        <v>8</v>
      </c>
      <c r="E405">
        <v>2023</v>
      </c>
      <c r="F405" t="s">
        <v>183</v>
      </c>
      <c r="G405" t="s">
        <v>1270</v>
      </c>
      <c r="I405" t="s">
        <v>1272</v>
      </c>
      <c r="J405" t="s">
        <v>33</v>
      </c>
      <c r="L405" t="s">
        <v>7</v>
      </c>
      <c r="M405" t="s">
        <v>18</v>
      </c>
      <c r="N405" t="s">
        <v>531</v>
      </c>
      <c r="O405" t="s">
        <v>32</v>
      </c>
    </row>
    <row r="406" spans="1:15" x14ac:dyDescent="0.25">
      <c r="A406" t="s">
        <v>1317</v>
      </c>
      <c r="B406" t="s">
        <v>57</v>
      </c>
      <c r="C406" t="s">
        <v>1273</v>
      </c>
      <c r="D406" t="s">
        <v>8</v>
      </c>
      <c r="E406">
        <v>2023</v>
      </c>
      <c r="F406" t="s">
        <v>183</v>
      </c>
      <c r="G406" t="s">
        <v>1274</v>
      </c>
      <c r="I406" t="s">
        <v>1272</v>
      </c>
      <c r="J406" t="s">
        <v>33</v>
      </c>
      <c r="L406" t="s">
        <v>7</v>
      </c>
      <c r="M406" t="s">
        <v>6</v>
      </c>
      <c r="N406" t="s">
        <v>534</v>
      </c>
      <c r="O406" t="s">
        <v>30</v>
      </c>
    </row>
    <row r="407" spans="1:15" x14ac:dyDescent="0.25">
      <c r="A407" t="s">
        <v>1317</v>
      </c>
      <c r="B407" t="s">
        <v>57</v>
      </c>
      <c r="C407" t="s">
        <v>1273</v>
      </c>
      <c r="D407" t="s">
        <v>8</v>
      </c>
      <c r="E407">
        <v>2023</v>
      </c>
      <c r="F407" t="s">
        <v>183</v>
      </c>
      <c r="G407" t="s">
        <v>1274</v>
      </c>
      <c r="I407" t="s">
        <v>1272</v>
      </c>
      <c r="J407" t="s">
        <v>33</v>
      </c>
      <c r="L407" t="s">
        <v>7</v>
      </c>
      <c r="M407" t="s">
        <v>18</v>
      </c>
      <c r="N407" t="s">
        <v>534</v>
      </c>
      <c r="O407" t="s">
        <v>30</v>
      </c>
    </row>
    <row r="408" spans="1:15" x14ac:dyDescent="0.25">
      <c r="A408" t="s">
        <v>1318</v>
      </c>
      <c r="B408" t="s">
        <v>57</v>
      </c>
      <c r="C408" t="s">
        <v>1276</v>
      </c>
      <c r="D408" t="s">
        <v>8</v>
      </c>
      <c r="E408">
        <v>2023</v>
      </c>
      <c r="F408" t="s">
        <v>183</v>
      </c>
      <c r="G408" t="s">
        <v>1277</v>
      </c>
      <c r="I408" t="s">
        <v>1272</v>
      </c>
      <c r="J408" t="s">
        <v>33</v>
      </c>
      <c r="L408" t="s">
        <v>7</v>
      </c>
      <c r="M408" t="s">
        <v>6</v>
      </c>
      <c r="N408" t="s">
        <v>534</v>
      </c>
      <c r="O408" t="s">
        <v>30</v>
      </c>
    </row>
    <row r="409" spans="1:15" x14ac:dyDescent="0.25">
      <c r="A409" t="s">
        <v>1318</v>
      </c>
      <c r="B409" t="s">
        <v>57</v>
      </c>
      <c r="C409" t="s">
        <v>1276</v>
      </c>
      <c r="D409" t="s">
        <v>8</v>
      </c>
      <c r="E409">
        <v>2023</v>
      </c>
      <c r="F409" t="s">
        <v>183</v>
      </c>
      <c r="G409" t="s">
        <v>1277</v>
      </c>
      <c r="I409" t="s">
        <v>1272</v>
      </c>
      <c r="J409" t="s">
        <v>33</v>
      </c>
      <c r="L409" t="s">
        <v>7</v>
      </c>
      <c r="M409" t="s">
        <v>18</v>
      </c>
      <c r="N409" t="s">
        <v>534</v>
      </c>
      <c r="O409" t="s">
        <v>30</v>
      </c>
    </row>
    <row r="410" spans="1:15" x14ac:dyDescent="0.25">
      <c r="A410" t="s">
        <v>1319</v>
      </c>
      <c r="B410" t="s">
        <v>57</v>
      </c>
      <c r="C410" t="s">
        <v>1279</v>
      </c>
      <c r="D410" t="s">
        <v>8</v>
      </c>
      <c r="E410">
        <v>2023</v>
      </c>
      <c r="F410" t="s">
        <v>183</v>
      </c>
      <c r="G410" t="s">
        <v>1280</v>
      </c>
      <c r="I410" t="s">
        <v>1272</v>
      </c>
      <c r="J410" t="s">
        <v>33</v>
      </c>
      <c r="L410" t="s">
        <v>7</v>
      </c>
      <c r="M410" t="s">
        <v>6</v>
      </c>
      <c r="N410" t="s">
        <v>534</v>
      </c>
      <c r="O410" t="s">
        <v>30</v>
      </c>
    </row>
    <row r="411" spans="1:15" x14ac:dyDescent="0.25">
      <c r="A411" t="s">
        <v>1319</v>
      </c>
      <c r="B411" t="s">
        <v>57</v>
      </c>
      <c r="C411" t="s">
        <v>1279</v>
      </c>
      <c r="D411" t="s">
        <v>8</v>
      </c>
      <c r="E411">
        <v>2023</v>
      </c>
      <c r="F411" t="s">
        <v>183</v>
      </c>
      <c r="G411" t="s">
        <v>1280</v>
      </c>
      <c r="I411" t="s">
        <v>1272</v>
      </c>
      <c r="J411" t="s">
        <v>33</v>
      </c>
      <c r="L411" t="s">
        <v>7</v>
      </c>
      <c r="M411" t="s">
        <v>18</v>
      </c>
      <c r="N411" t="s">
        <v>534</v>
      </c>
      <c r="O411" t="s">
        <v>30</v>
      </c>
    </row>
    <row r="412" spans="1:15" x14ac:dyDescent="0.25">
      <c r="A412" t="s">
        <v>1320</v>
      </c>
      <c r="B412" t="s">
        <v>57</v>
      </c>
      <c r="C412" t="s">
        <v>1282</v>
      </c>
      <c r="D412" t="s">
        <v>8</v>
      </c>
      <c r="E412">
        <v>2023</v>
      </c>
      <c r="F412" t="s">
        <v>183</v>
      </c>
      <c r="G412" t="s">
        <v>1283</v>
      </c>
      <c r="I412" t="s">
        <v>1272</v>
      </c>
      <c r="J412" t="s">
        <v>33</v>
      </c>
      <c r="L412" t="s">
        <v>7</v>
      </c>
      <c r="M412" t="s">
        <v>6</v>
      </c>
      <c r="N412" t="s">
        <v>531</v>
      </c>
      <c r="O412" t="s">
        <v>32</v>
      </c>
    </row>
    <row r="413" spans="1:15" x14ac:dyDescent="0.25">
      <c r="A413" t="s">
        <v>1320</v>
      </c>
      <c r="B413" t="s">
        <v>57</v>
      </c>
      <c r="C413" t="s">
        <v>1282</v>
      </c>
      <c r="D413" t="s">
        <v>8</v>
      </c>
      <c r="E413">
        <v>2023</v>
      </c>
      <c r="F413" t="s">
        <v>183</v>
      </c>
      <c r="G413" t="s">
        <v>1283</v>
      </c>
      <c r="I413" t="s">
        <v>1272</v>
      </c>
      <c r="J413" t="s">
        <v>33</v>
      </c>
      <c r="L413" t="s">
        <v>7</v>
      </c>
      <c r="M413" t="s">
        <v>18</v>
      </c>
      <c r="N413" t="s">
        <v>531</v>
      </c>
      <c r="O413" t="s">
        <v>32</v>
      </c>
    </row>
    <row r="414" spans="1:15" x14ac:dyDescent="0.25">
      <c r="A414" t="s">
        <v>1321</v>
      </c>
      <c r="B414" t="s">
        <v>57</v>
      </c>
      <c r="C414" t="s">
        <v>1285</v>
      </c>
      <c r="D414" t="s">
        <v>8</v>
      </c>
      <c r="E414">
        <v>2021</v>
      </c>
      <c r="F414" t="s">
        <v>189</v>
      </c>
      <c r="G414" t="s">
        <v>1287</v>
      </c>
      <c r="I414" t="s">
        <v>1289</v>
      </c>
      <c r="J414" t="s">
        <v>33</v>
      </c>
      <c r="L414" t="s">
        <v>7</v>
      </c>
      <c r="M414" t="s">
        <v>6</v>
      </c>
      <c r="N414" t="s">
        <v>370</v>
      </c>
      <c r="O414" t="s">
        <v>67</v>
      </c>
    </row>
    <row r="415" spans="1:15" x14ac:dyDescent="0.25">
      <c r="A415" t="s">
        <v>1321</v>
      </c>
      <c r="B415" t="s">
        <v>57</v>
      </c>
      <c r="C415" t="s">
        <v>1285</v>
      </c>
      <c r="D415" t="s">
        <v>8</v>
      </c>
      <c r="E415">
        <v>2021</v>
      </c>
      <c r="F415" t="s">
        <v>189</v>
      </c>
      <c r="G415" t="s">
        <v>1287</v>
      </c>
      <c r="I415" t="s">
        <v>1289</v>
      </c>
      <c r="J415" t="s">
        <v>33</v>
      </c>
      <c r="L415" t="s">
        <v>7</v>
      </c>
      <c r="M415" t="s">
        <v>18</v>
      </c>
      <c r="N415" t="s">
        <v>370</v>
      </c>
      <c r="O415" t="s">
        <v>67</v>
      </c>
    </row>
    <row r="416" spans="1:15" x14ac:dyDescent="0.25">
      <c r="A416" t="s">
        <v>1322</v>
      </c>
      <c r="B416" t="s">
        <v>57</v>
      </c>
      <c r="C416" t="s">
        <v>1290</v>
      </c>
      <c r="D416" t="s">
        <v>8</v>
      </c>
      <c r="E416">
        <v>2025</v>
      </c>
      <c r="F416" t="s">
        <v>187</v>
      </c>
      <c r="G416" t="s">
        <v>1291</v>
      </c>
      <c r="I416" t="s">
        <v>1293</v>
      </c>
      <c r="J416" t="s">
        <v>33</v>
      </c>
      <c r="K416" t="s">
        <v>58</v>
      </c>
      <c r="L416" t="s">
        <v>7</v>
      </c>
      <c r="M416" t="s">
        <v>523</v>
      </c>
      <c r="N416" t="s">
        <v>529</v>
      </c>
      <c r="O416" t="s">
        <v>386</v>
      </c>
    </row>
    <row r="417" spans="1:15" x14ac:dyDescent="0.25">
      <c r="A417" t="s">
        <v>1322</v>
      </c>
      <c r="B417" t="s">
        <v>57</v>
      </c>
      <c r="C417" t="s">
        <v>1290</v>
      </c>
      <c r="D417" t="s">
        <v>8</v>
      </c>
      <c r="E417">
        <v>2025</v>
      </c>
      <c r="F417" t="s">
        <v>187</v>
      </c>
      <c r="G417" t="s">
        <v>1291</v>
      </c>
      <c r="I417" t="s">
        <v>1293</v>
      </c>
      <c r="J417" t="s">
        <v>33</v>
      </c>
      <c r="K417" t="s">
        <v>58</v>
      </c>
      <c r="L417" t="s">
        <v>7</v>
      </c>
      <c r="M417" t="s">
        <v>523</v>
      </c>
      <c r="N417" t="s">
        <v>538</v>
      </c>
      <c r="O417" t="s">
        <v>29</v>
      </c>
    </row>
    <row r="418" spans="1:15" x14ac:dyDescent="0.25">
      <c r="A418" t="s">
        <v>1322</v>
      </c>
      <c r="B418" t="s">
        <v>57</v>
      </c>
      <c r="C418" t="s">
        <v>1290</v>
      </c>
      <c r="D418" t="s">
        <v>8</v>
      </c>
      <c r="E418">
        <v>2025</v>
      </c>
      <c r="F418" t="s">
        <v>187</v>
      </c>
      <c r="G418" t="s">
        <v>1291</v>
      </c>
      <c r="I418" t="s">
        <v>1293</v>
      </c>
      <c r="J418" t="s">
        <v>33</v>
      </c>
      <c r="K418" t="s">
        <v>58</v>
      </c>
      <c r="L418" t="s">
        <v>7</v>
      </c>
      <c r="M418" t="s">
        <v>524</v>
      </c>
      <c r="N418" t="s">
        <v>529</v>
      </c>
      <c r="O418" t="s">
        <v>386</v>
      </c>
    </row>
    <row r="419" spans="1:15" x14ac:dyDescent="0.25">
      <c r="A419" t="s">
        <v>1322</v>
      </c>
      <c r="B419" t="s">
        <v>57</v>
      </c>
      <c r="C419" t="s">
        <v>1290</v>
      </c>
      <c r="D419" t="s">
        <v>8</v>
      </c>
      <c r="E419">
        <v>2025</v>
      </c>
      <c r="F419" t="s">
        <v>187</v>
      </c>
      <c r="G419" t="s">
        <v>1291</v>
      </c>
      <c r="I419" t="s">
        <v>1293</v>
      </c>
      <c r="J419" t="s">
        <v>33</v>
      </c>
      <c r="K419" t="s">
        <v>58</v>
      </c>
      <c r="L419" t="s">
        <v>7</v>
      </c>
      <c r="M419" t="s">
        <v>524</v>
      </c>
      <c r="N419" t="s">
        <v>538</v>
      </c>
      <c r="O419" t="s">
        <v>29</v>
      </c>
    </row>
    <row r="420" spans="1:15" x14ac:dyDescent="0.25">
      <c r="A420" t="s">
        <v>1392</v>
      </c>
      <c r="B420" t="s">
        <v>57</v>
      </c>
      <c r="C420" t="s">
        <v>1323</v>
      </c>
      <c r="D420" t="s">
        <v>8</v>
      </c>
      <c r="E420">
        <v>2025</v>
      </c>
      <c r="F420" t="s">
        <v>183</v>
      </c>
      <c r="G420" t="s">
        <v>1368</v>
      </c>
      <c r="I420" t="s">
        <v>1373</v>
      </c>
      <c r="J420" t="s">
        <v>33</v>
      </c>
      <c r="K420" t="s">
        <v>568</v>
      </c>
      <c r="L420" t="s">
        <v>7</v>
      </c>
      <c r="M420" t="s">
        <v>523</v>
      </c>
      <c r="N420" t="s">
        <v>538</v>
      </c>
      <c r="O420" t="s">
        <v>29</v>
      </c>
    </row>
    <row r="421" spans="1:15" x14ac:dyDescent="0.25">
      <c r="A421" t="s">
        <v>1392</v>
      </c>
      <c r="B421" t="s">
        <v>57</v>
      </c>
      <c r="C421" t="s">
        <v>1323</v>
      </c>
      <c r="D421" t="s">
        <v>8</v>
      </c>
      <c r="E421">
        <v>2025</v>
      </c>
      <c r="F421" t="s">
        <v>183</v>
      </c>
      <c r="G421" t="s">
        <v>1368</v>
      </c>
      <c r="I421" t="s">
        <v>1373</v>
      </c>
      <c r="J421" t="s">
        <v>33</v>
      </c>
      <c r="K421" t="s">
        <v>568</v>
      </c>
      <c r="L421" t="s">
        <v>7</v>
      </c>
      <c r="M421" t="s">
        <v>527</v>
      </c>
      <c r="N421" t="s">
        <v>538</v>
      </c>
      <c r="O421" t="s">
        <v>29</v>
      </c>
    </row>
    <row r="422" spans="1:15" x14ac:dyDescent="0.25">
      <c r="A422" t="s">
        <v>1392</v>
      </c>
      <c r="B422" t="s">
        <v>57</v>
      </c>
      <c r="C422" t="s">
        <v>1323</v>
      </c>
      <c r="D422" t="s">
        <v>8</v>
      </c>
      <c r="E422">
        <v>2025</v>
      </c>
      <c r="F422" t="s">
        <v>183</v>
      </c>
      <c r="G422" t="s">
        <v>1368</v>
      </c>
      <c r="I422" t="s">
        <v>1373</v>
      </c>
      <c r="J422" t="s">
        <v>33</v>
      </c>
      <c r="K422" t="s">
        <v>568</v>
      </c>
      <c r="L422" t="s">
        <v>7</v>
      </c>
      <c r="M422" t="s">
        <v>18</v>
      </c>
      <c r="N422" t="s">
        <v>538</v>
      </c>
      <c r="O422" t="s">
        <v>29</v>
      </c>
    </row>
    <row r="423" spans="1:15" x14ac:dyDescent="0.25">
      <c r="A423" t="s">
        <v>1393</v>
      </c>
      <c r="B423" t="s">
        <v>57</v>
      </c>
      <c r="C423" t="s">
        <v>1327</v>
      </c>
      <c r="D423" t="s">
        <v>8</v>
      </c>
      <c r="E423">
        <v>2025</v>
      </c>
      <c r="F423" t="s">
        <v>183</v>
      </c>
      <c r="G423" t="s">
        <v>1369</v>
      </c>
      <c r="I423" t="s">
        <v>1373</v>
      </c>
      <c r="J423" t="s">
        <v>33</v>
      </c>
      <c r="K423" t="s">
        <v>568</v>
      </c>
      <c r="L423" t="s">
        <v>7</v>
      </c>
      <c r="M423" t="s">
        <v>523</v>
      </c>
      <c r="N423" t="s">
        <v>534</v>
      </c>
      <c r="O423" t="s">
        <v>30</v>
      </c>
    </row>
    <row r="424" spans="1:15" x14ac:dyDescent="0.25">
      <c r="A424" t="s">
        <v>1393</v>
      </c>
      <c r="B424" t="s">
        <v>57</v>
      </c>
      <c r="C424" t="s">
        <v>1327</v>
      </c>
      <c r="D424" t="s">
        <v>8</v>
      </c>
      <c r="E424">
        <v>2025</v>
      </c>
      <c r="F424" t="s">
        <v>183</v>
      </c>
      <c r="G424" t="s">
        <v>1369</v>
      </c>
      <c r="I424" t="s">
        <v>1373</v>
      </c>
      <c r="J424" t="s">
        <v>33</v>
      </c>
      <c r="K424" t="s">
        <v>568</v>
      </c>
      <c r="L424" t="s">
        <v>7</v>
      </c>
      <c r="M424" t="s">
        <v>18</v>
      </c>
      <c r="N424" t="s">
        <v>534</v>
      </c>
      <c r="O424" t="s">
        <v>30</v>
      </c>
    </row>
    <row r="425" spans="1:15" x14ac:dyDescent="0.25">
      <c r="A425" t="s">
        <v>1393</v>
      </c>
      <c r="B425" t="s">
        <v>57</v>
      </c>
      <c r="C425" t="s">
        <v>1327</v>
      </c>
      <c r="D425" t="s">
        <v>8</v>
      </c>
      <c r="E425">
        <v>2025</v>
      </c>
      <c r="F425" t="s">
        <v>183</v>
      </c>
      <c r="G425" t="s">
        <v>1369</v>
      </c>
      <c r="I425" t="s">
        <v>1373</v>
      </c>
      <c r="J425" t="s">
        <v>33</v>
      </c>
      <c r="K425" t="s">
        <v>568</v>
      </c>
      <c r="L425" t="s">
        <v>7</v>
      </c>
      <c r="M425" t="s">
        <v>6</v>
      </c>
      <c r="N425" t="s">
        <v>534</v>
      </c>
      <c r="O425" t="s">
        <v>30</v>
      </c>
    </row>
    <row r="426" spans="1:15" x14ac:dyDescent="0.25">
      <c r="A426" t="s">
        <v>1394</v>
      </c>
      <c r="B426" t="s">
        <v>57</v>
      </c>
      <c r="C426" t="s">
        <v>1330</v>
      </c>
      <c r="D426" t="s">
        <v>8</v>
      </c>
      <c r="E426">
        <v>2025</v>
      </c>
      <c r="F426" t="s">
        <v>134</v>
      </c>
      <c r="G426" t="s">
        <v>1370</v>
      </c>
      <c r="I426" t="s">
        <v>1373</v>
      </c>
      <c r="J426" t="s">
        <v>33</v>
      </c>
      <c r="K426" t="s">
        <v>707</v>
      </c>
      <c r="L426" t="s">
        <v>7</v>
      </c>
      <c r="M426" t="s">
        <v>18</v>
      </c>
      <c r="N426" t="s">
        <v>531</v>
      </c>
      <c r="O426" t="s">
        <v>32</v>
      </c>
    </row>
    <row r="427" spans="1:15" x14ac:dyDescent="0.25">
      <c r="A427" t="s">
        <v>1394</v>
      </c>
      <c r="B427" t="s">
        <v>57</v>
      </c>
      <c r="C427" t="s">
        <v>1330</v>
      </c>
      <c r="D427" t="s">
        <v>8</v>
      </c>
      <c r="E427">
        <v>2025</v>
      </c>
      <c r="F427" t="s">
        <v>134</v>
      </c>
      <c r="G427" t="s">
        <v>1370</v>
      </c>
      <c r="I427" t="s">
        <v>1373</v>
      </c>
      <c r="J427" t="s">
        <v>33</v>
      </c>
      <c r="K427" t="s">
        <v>707</v>
      </c>
      <c r="L427" t="s">
        <v>7</v>
      </c>
      <c r="M427" t="s">
        <v>18</v>
      </c>
      <c r="N427" t="s">
        <v>365</v>
      </c>
    </row>
    <row r="428" spans="1:15" x14ac:dyDescent="0.25">
      <c r="A428" t="s">
        <v>1394</v>
      </c>
      <c r="B428" t="s">
        <v>57</v>
      </c>
      <c r="C428" t="s">
        <v>1330</v>
      </c>
      <c r="D428" t="s">
        <v>8</v>
      </c>
      <c r="E428">
        <v>2025</v>
      </c>
      <c r="F428" t="s">
        <v>134</v>
      </c>
      <c r="G428" t="s">
        <v>1370</v>
      </c>
      <c r="I428" t="s">
        <v>1373</v>
      </c>
      <c r="J428" t="s">
        <v>33</v>
      </c>
      <c r="K428" t="s">
        <v>707</v>
      </c>
      <c r="L428" t="s">
        <v>7</v>
      </c>
      <c r="M428" t="s">
        <v>6</v>
      </c>
      <c r="N428" t="s">
        <v>531</v>
      </c>
      <c r="O428" t="s">
        <v>32</v>
      </c>
    </row>
    <row r="429" spans="1:15" x14ac:dyDescent="0.25">
      <c r="A429" t="s">
        <v>1394</v>
      </c>
      <c r="B429" t="s">
        <v>57</v>
      </c>
      <c r="C429" t="s">
        <v>1330</v>
      </c>
      <c r="D429" t="s">
        <v>8</v>
      </c>
      <c r="E429">
        <v>2025</v>
      </c>
      <c r="F429" t="s">
        <v>134</v>
      </c>
      <c r="G429" t="s">
        <v>1370</v>
      </c>
      <c r="I429" t="s">
        <v>1373</v>
      </c>
      <c r="J429" t="s">
        <v>33</v>
      </c>
      <c r="K429" t="s">
        <v>707</v>
      </c>
      <c r="L429" t="s">
        <v>7</v>
      </c>
      <c r="M429" t="s">
        <v>6</v>
      </c>
      <c r="N429" t="s">
        <v>365</v>
      </c>
    </row>
    <row r="430" spans="1:15" x14ac:dyDescent="0.25">
      <c r="A430" t="s">
        <v>1394</v>
      </c>
      <c r="B430" t="s">
        <v>57</v>
      </c>
      <c r="C430" t="s">
        <v>1330</v>
      </c>
      <c r="D430" t="s">
        <v>8</v>
      </c>
      <c r="E430">
        <v>2025</v>
      </c>
      <c r="F430" t="s">
        <v>134</v>
      </c>
      <c r="G430" t="s">
        <v>1370</v>
      </c>
      <c r="I430" t="s">
        <v>1373</v>
      </c>
      <c r="J430" t="s">
        <v>33</v>
      </c>
      <c r="K430" t="s">
        <v>707</v>
      </c>
      <c r="L430" t="s">
        <v>7</v>
      </c>
      <c r="M430" t="s">
        <v>523</v>
      </c>
      <c r="N430" t="s">
        <v>531</v>
      </c>
      <c r="O430" t="s">
        <v>32</v>
      </c>
    </row>
    <row r="431" spans="1:15" x14ac:dyDescent="0.25">
      <c r="A431" t="s">
        <v>1394</v>
      </c>
      <c r="B431" t="s">
        <v>57</v>
      </c>
      <c r="C431" t="s">
        <v>1330</v>
      </c>
      <c r="D431" t="s">
        <v>8</v>
      </c>
      <c r="E431">
        <v>2025</v>
      </c>
      <c r="F431" t="s">
        <v>134</v>
      </c>
      <c r="G431" t="s">
        <v>1370</v>
      </c>
      <c r="I431" t="s">
        <v>1373</v>
      </c>
      <c r="J431" t="s">
        <v>33</v>
      </c>
      <c r="K431" t="s">
        <v>707</v>
      </c>
      <c r="L431" t="s">
        <v>7</v>
      </c>
      <c r="M431" t="s">
        <v>523</v>
      </c>
      <c r="N431" t="s">
        <v>365</v>
      </c>
    </row>
    <row r="432" spans="1:15" x14ac:dyDescent="0.25">
      <c r="A432" t="s">
        <v>1395</v>
      </c>
      <c r="B432" t="s">
        <v>57</v>
      </c>
      <c r="C432" t="s">
        <v>1333</v>
      </c>
      <c r="D432" t="s">
        <v>8</v>
      </c>
      <c r="E432">
        <v>2025</v>
      </c>
      <c r="F432" t="s">
        <v>134</v>
      </c>
      <c r="G432" t="s">
        <v>1334</v>
      </c>
      <c r="I432" t="s">
        <v>1373</v>
      </c>
      <c r="J432" t="s">
        <v>33</v>
      </c>
      <c r="K432" t="s">
        <v>707</v>
      </c>
      <c r="L432" t="s">
        <v>7</v>
      </c>
      <c r="M432" t="s">
        <v>18</v>
      </c>
      <c r="N432" t="s">
        <v>534</v>
      </c>
      <c r="O432" t="s">
        <v>30</v>
      </c>
    </row>
    <row r="433" spans="1:15" x14ac:dyDescent="0.25">
      <c r="A433" t="s">
        <v>1395</v>
      </c>
      <c r="B433" t="s">
        <v>57</v>
      </c>
      <c r="C433" t="s">
        <v>1333</v>
      </c>
      <c r="D433" t="s">
        <v>8</v>
      </c>
      <c r="E433">
        <v>2025</v>
      </c>
      <c r="F433" t="s">
        <v>134</v>
      </c>
      <c r="G433" t="s">
        <v>1334</v>
      </c>
      <c r="I433" t="s">
        <v>1373</v>
      </c>
      <c r="J433" t="s">
        <v>33</v>
      </c>
      <c r="K433" t="s">
        <v>707</v>
      </c>
      <c r="L433" t="s">
        <v>7</v>
      </c>
      <c r="M433" t="s">
        <v>523</v>
      </c>
      <c r="N433" t="s">
        <v>534</v>
      </c>
      <c r="O433" t="s">
        <v>30</v>
      </c>
    </row>
    <row r="434" spans="1:15" x14ac:dyDescent="0.25">
      <c r="A434" t="s">
        <v>1395</v>
      </c>
      <c r="B434" t="s">
        <v>57</v>
      </c>
      <c r="C434" t="s">
        <v>1333</v>
      </c>
      <c r="D434" t="s">
        <v>8</v>
      </c>
      <c r="E434">
        <v>2025</v>
      </c>
      <c r="F434" t="s">
        <v>134</v>
      </c>
      <c r="G434" t="s">
        <v>1334</v>
      </c>
      <c r="I434" t="s">
        <v>1373</v>
      </c>
      <c r="J434" t="s">
        <v>33</v>
      </c>
      <c r="K434" t="s">
        <v>707</v>
      </c>
      <c r="L434" t="s">
        <v>7</v>
      </c>
      <c r="M434" t="s">
        <v>6</v>
      </c>
      <c r="N434" t="s">
        <v>534</v>
      </c>
      <c r="O434" t="s">
        <v>30</v>
      </c>
    </row>
    <row r="435" spans="1:15" x14ac:dyDescent="0.25">
      <c r="A435" t="s">
        <v>1396</v>
      </c>
      <c r="B435" t="s">
        <v>57</v>
      </c>
      <c r="C435" t="s">
        <v>1336</v>
      </c>
      <c r="D435" t="s">
        <v>8</v>
      </c>
      <c r="E435">
        <v>2025</v>
      </c>
      <c r="F435" t="s">
        <v>134</v>
      </c>
      <c r="G435" t="s">
        <v>1337</v>
      </c>
      <c r="I435" t="s">
        <v>1373</v>
      </c>
      <c r="J435" t="s">
        <v>33</v>
      </c>
      <c r="K435" t="s">
        <v>707</v>
      </c>
      <c r="L435" t="s">
        <v>7</v>
      </c>
      <c r="M435" t="s">
        <v>18</v>
      </c>
      <c r="N435" t="s">
        <v>538</v>
      </c>
      <c r="O435" t="s">
        <v>29</v>
      </c>
    </row>
    <row r="436" spans="1:15" x14ac:dyDescent="0.25">
      <c r="A436" t="s">
        <v>1396</v>
      </c>
      <c r="B436" t="s">
        <v>57</v>
      </c>
      <c r="C436" t="s">
        <v>1336</v>
      </c>
      <c r="D436" t="s">
        <v>8</v>
      </c>
      <c r="E436">
        <v>2025</v>
      </c>
      <c r="F436" t="s">
        <v>134</v>
      </c>
      <c r="G436" t="s">
        <v>1337</v>
      </c>
      <c r="I436" t="s">
        <v>1373</v>
      </c>
      <c r="J436" t="s">
        <v>33</v>
      </c>
      <c r="K436" t="s">
        <v>707</v>
      </c>
      <c r="L436" t="s">
        <v>7</v>
      </c>
      <c r="M436" t="s">
        <v>523</v>
      </c>
      <c r="N436" t="s">
        <v>538</v>
      </c>
      <c r="O436" t="s">
        <v>29</v>
      </c>
    </row>
    <row r="437" spans="1:15" x14ac:dyDescent="0.25">
      <c r="A437" t="s">
        <v>1396</v>
      </c>
      <c r="B437" t="s">
        <v>57</v>
      </c>
      <c r="C437" t="s">
        <v>1336</v>
      </c>
      <c r="D437" t="s">
        <v>8</v>
      </c>
      <c r="E437">
        <v>2025</v>
      </c>
      <c r="F437" t="s">
        <v>134</v>
      </c>
      <c r="G437" t="s">
        <v>1337</v>
      </c>
      <c r="I437" t="s">
        <v>1373</v>
      </c>
      <c r="J437" t="s">
        <v>33</v>
      </c>
      <c r="K437" t="s">
        <v>707</v>
      </c>
      <c r="L437" t="s">
        <v>7</v>
      </c>
      <c r="M437" t="s">
        <v>6</v>
      </c>
      <c r="N437" t="s">
        <v>538</v>
      </c>
      <c r="O437" t="s">
        <v>29</v>
      </c>
    </row>
    <row r="438" spans="1:15" x14ac:dyDescent="0.25">
      <c r="A438" t="s">
        <v>1396</v>
      </c>
      <c r="B438" t="s">
        <v>57</v>
      </c>
      <c r="C438" t="s">
        <v>1336</v>
      </c>
      <c r="D438" t="s">
        <v>8</v>
      </c>
      <c r="E438">
        <v>2025</v>
      </c>
      <c r="F438" t="s">
        <v>134</v>
      </c>
      <c r="G438" t="s">
        <v>1337</v>
      </c>
      <c r="I438" t="s">
        <v>1373</v>
      </c>
      <c r="J438" t="s">
        <v>33</v>
      </c>
      <c r="K438" t="s">
        <v>707</v>
      </c>
      <c r="L438" t="s">
        <v>7</v>
      </c>
      <c r="M438" t="s">
        <v>527</v>
      </c>
      <c r="N438" t="s">
        <v>538</v>
      </c>
      <c r="O438" t="s">
        <v>29</v>
      </c>
    </row>
    <row r="439" spans="1:15" x14ac:dyDescent="0.25">
      <c r="A439" t="s">
        <v>1397</v>
      </c>
      <c r="B439" t="s">
        <v>57</v>
      </c>
      <c r="C439" t="s">
        <v>1339</v>
      </c>
      <c r="D439" t="s">
        <v>8</v>
      </c>
      <c r="E439">
        <v>2025</v>
      </c>
      <c r="F439" t="s">
        <v>134</v>
      </c>
      <c r="G439" t="s">
        <v>1340</v>
      </c>
      <c r="I439" t="s">
        <v>1373</v>
      </c>
      <c r="J439" t="s">
        <v>33</v>
      </c>
      <c r="K439" t="s">
        <v>707</v>
      </c>
      <c r="L439" t="s">
        <v>7</v>
      </c>
      <c r="M439" t="s">
        <v>18</v>
      </c>
      <c r="N439" t="s">
        <v>538</v>
      </c>
      <c r="O439" t="s">
        <v>29</v>
      </c>
    </row>
    <row r="440" spans="1:15" x14ac:dyDescent="0.25">
      <c r="A440" t="s">
        <v>1397</v>
      </c>
      <c r="B440" t="s">
        <v>57</v>
      </c>
      <c r="C440" t="s">
        <v>1339</v>
      </c>
      <c r="D440" t="s">
        <v>8</v>
      </c>
      <c r="E440">
        <v>2025</v>
      </c>
      <c r="F440" t="s">
        <v>134</v>
      </c>
      <c r="G440" t="s">
        <v>1340</v>
      </c>
      <c r="I440" t="s">
        <v>1373</v>
      </c>
      <c r="J440" t="s">
        <v>33</v>
      </c>
      <c r="K440" t="s">
        <v>707</v>
      </c>
      <c r="L440" t="s">
        <v>7</v>
      </c>
      <c r="M440" t="s">
        <v>523</v>
      </c>
      <c r="N440" t="s">
        <v>538</v>
      </c>
      <c r="O440" t="s">
        <v>29</v>
      </c>
    </row>
    <row r="441" spans="1:15" x14ac:dyDescent="0.25">
      <c r="A441" t="s">
        <v>1397</v>
      </c>
      <c r="B441" t="s">
        <v>57</v>
      </c>
      <c r="C441" t="s">
        <v>1339</v>
      </c>
      <c r="D441" t="s">
        <v>8</v>
      </c>
      <c r="E441">
        <v>2025</v>
      </c>
      <c r="F441" t="s">
        <v>134</v>
      </c>
      <c r="G441" t="s">
        <v>1340</v>
      </c>
      <c r="I441" t="s">
        <v>1373</v>
      </c>
      <c r="J441" t="s">
        <v>33</v>
      </c>
      <c r="K441" t="s">
        <v>707</v>
      </c>
      <c r="L441" t="s">
        <v>7</v>
      </c>
      <c r="M441" t="s">
        <v>6</v>
      </c>
      <c r="N441" t="s">
        <v>538</v>
      </c>
      <c r="O441" t="s">
        <v>29</v>
      </c>
    </row>
    <row r="442" spans="1:15" x14ac:dyDescent="0.25">
      <c r="A442" t="s">
        <v>1397</v>
      </c>
      <c r="B442" t="s">
        <v>57</v>
      </c>
      <c r="C442" t="s">
        <v>1339</v>
      </c>
      <c r="D442" t="s">
        <v>8</v>
      </c>
      <c r="E442">
        <v>2025</v>
      </c>
      <c r="F442" t="s">
        <v>134</v>
      </c>
      <c r="G442" t="s">
        <v>1340</v>
      </c>
      <c r="I442" t="s">
        <v>1373</v>
      </c>
      <c r="J442" t="s">
        <v>33</v>
      </c>
      <c r="K442" t="s">
        <v>707</v>
      </c>
      <c r="L442" t="s">
        <v>7</v>
      </c>
      <c r="M442" t="s">
        <v>527</v>
      </c>
      <c r="N442" t="s">
        <v>538</v>
      </c>
      <c r="O442" t="s">
        <v>29</v>
      </c>
    </row>
    <row r="443" spans="1:15" x14ac:dyDescent="0.25">
      <c r="A443" t="s">
        <v>1398</v>
      </c>
      <c r="B443" t="s">
        <v>57</v>
      </c>
      <c r="C443" t="s">
        <v>1342</v>
      </c>
      <c r="D443" t="s">
        <v>8</v>
      </c>
      <c r="E443">
        <v>2020</v>
      </c>
      <c r="F443" t="s">
        <v>416</v>
      </c>
      <c r="G443" t="s">
        <v>1343</v>
      </c>
      <c r="H443" t="s">
        <v>1346</v>
      </c>
      <c r="I443" t="s">
        <v>1345</v>
      </c>
      <c r="J443" t="s">
        <v>33</v>
      </c>
      <c r="K443" t="s">
        <v>58</v>
      </c>
      <c r="L443" t="s">
        <v>7</v>
      </c>
      <c r="M443" t="s">
        <v>18</v>
      </c>
      <c r="N443" t="s">
        <v>546</v>
      </c>
    </row>
    <row r="444" spans="1:15" x14ac:dyDescent="0.25">
      <c r="A444" t="s">
        <v>1398</v>
      </c>
      <c r="B444" t="s">
        <v>57</v>
      </c>
      <c r="C444" t="s">
        <v>1342</v>
      </c>
      <c r="D444" t="s">
        <v>8</v>
      </c>
      <c r="E444">
        <v>2020</v>
      </c>
      <c r="F444" t="s">
        <v>416</v>
      </c>
      <c r="G444" t="s">
        <v>1343</v>
      </c>
      <c r="H444" t="s">
        <v>1346</v>
      </c>
      <c r="I444" t="s">
        <v>1345</v>
      </c>
      <c r="J444" t="s">
        <v>33</v>
      </c>
      <c r="K444" t="s">
        <v>58</v>
      </c>
      <c r="L444" t="s">
        <v>7</v>
      </c>
      <c r="M444" t="s">
        <v>523</v>
      </c>
      <c r="N444" t="s">
        <v>546</v>
      </c>
    </row>
    <row r="445" spans="1:15" x14ac:dyDescent="0.25">
      <c r="A445" t="s">
        <v>1399</v>
      </c>
      <c r="B445" t="s">
        <v>57</v>
      </c>
      <c r="C445" t="s">
        <v>1333</v>
      </c>
      <c r="D445" t="s">
        <v>8</v>
      </c>
      <c r="E445">
        <v>2025</v>
      </c>
      <c r="F445" t="s">
        <v>1347</v>
      </c>
      <c r="G445" t="s">
        <v>1348</v>
      </c>
      <c r="H445" t="s">
        <v>1351</v>
      </c>
      <c r="I445" t="s">
        <v>1350</v>
      </c>
      <c r="K445" t="s">
        <v>58</v>
      </c>
      <c r="L445" t="s">
        <v>7</v>
      </c>
      <c r="M445" t="s">
        <v>18</v>
      </c>
      <c r="N445" t="s">
        <v>534</v>
      </c>
      <c r="O445" t="s">
        <v>30</v>
      </c>
    </row>
    <row r="446" spans="1:15" x14ac:dyDescent="0.25">
      <c r="A446" t="s">
        <v>1400</v>
      </c>
      <c r="B446" t="s">
        <v>57</v>
      </c>
      <c r="C446" t="s">
        <v>1352</v>
      </c>
      <c r="D446" t="s">
        <v>8</v>
      </c>
      <c r="E446">
        <v>2010</v>
      </c>
      <c r="F446" t="s">
        <v>77</v>
      </c>
      <c r="G446" t="s">
        <v>1353</v>
      </c>
      <c r="I446" t="s">
        <v>1355</v>
      </c>
      <c r="J446" t="s">
        <v>33</v>
      </c>
      <c r="K446" t="s">
        <v>58</v>
      </c>
      <c r="L446" t="s">
        <v>7</v>
      </c>
      <c r="M446" t="s">
        <v>18</v>
      </c>
      <c r="N446" t="s">
        <v>538</v>
      </c>
      <c r="O446" t="s">
        <v>29</v>
      </c>
    </row>
    <row r="447" spans="1:15" x14ac:dyDescent="0.25">
      <c r="A447" t="s">
        <v>1400</v>
      </c>
      <c r="B447" t="s">
        <v>57</v>
      </c>
      <c r="C447" t="s">
        <v>1352</v>
      </c>
      <c r="D447" t="s">
        <v>8</v>
      </c>
      <c r="E447">
        <v>2010</v>
      </c>
      <c r="F447" t="s">
        <v>77</v>
      </c>
      <c r="G447" t="s">
        <v>1353</v>
      </c>
      <c r="I447" t="s">
        <v>1355</v>
      </c>
      <c r="J447" t="s">
        <v>33</v>
      </c>
      <c r="K447" t="s">
        <v>58</v>
      </c>
      <c r="L447" t="s">
        <v>7</v>
      </c>
      <c r="M447" t="s">
        <v>523</v>
      </c>
      <c r="N447" t="s">
        <v>538</v>
      </c>
      <c r="O447" t="s">
        <v>29</v>
      </c>
    </row>
    <row r="448" spans="1:15" x14ac:dyDescent="0.25">
      <c r="A448" t="s">
        <v>1401</v>
      </c>
      <c r="B448" t="s">
        <v>57</v>
      </c>
      <c r="C448" t="s">
        <v>1356</v>
      </c>
      <c r="D448" t="s">
        <v>60</v>
      </c>
      <c r="E448">
        <v>2021</v>
      </c>
      <c r="F448" t="s">
        <v>77</v>
      </c>
      <c r="G448" t="s">
        <v>1357</v>
      </c>
      <c r="I448" t="s">
        <v>1359</v>
      </c>
      <c r="J448" t="s">
        <v>33</v>
      </c>
      <c r="K448" t="s">
        <v>58</v>
      </c>
      <c r="L448" t="s">
        <v>7</v>
      </c>
      <c r="M448" t="s">
        <v>523</v>
      </c>
      <c r="N448" t="s">
        <v>534</v>
      </c>
      <c r="O448" t="s">
        <v>30</v>
      </c>
    </row>
    <row r="449" spans="1:15" x14ac:dyDescent="0.25">
      <c r="A449" t="s">
        <v>1401</v>
      </c>
      <c r="B449" t="s">
        <v>57</v>
      </c>
      <c r="C449" t="s">
        <v>1356</v>
      </c>
      <c r="D449" t="s">
        <v>60</v>
      </c>
      <c r="E449">
        <v>2021</v>
      </c>
      <c r="F449" t="s">
        <v>77</v>
      </c>
      <c r="G449" t="s">
        <v>1357</v>
      </c>
      <c r="I449" t="s">
        <v>1359</v>
      </c>
      <c r="J449" t="s">
        <v>33</v>
      </c>
      <c r="K449" t="s">
        <v>58</v>
      </c>
      <c r="L449" t="s">
        <v>7</v>
      </c>
      <c r="M449" t="s">
        <v>18</v>
      </c>
      <c r="N449" t="s">
        <v>534</v>
      </c>
      <c r="O449" t="s">
        <v>30</v>
      </c>
    </row>
    <row r="450" spans="1:15" x14ac:dyDescent="0.25">
      <c r="A450" t="s">
        <v>1402</v>
      </c>
      <c r="B450" t="s">
        <v>57</v>
      </c>
      <c r="C450" t="s">
        <v>1360</v>
      </c>
      <c r="D450" t="s">
        <v>60</v>
      </c>
      <c r="E450">
        <v>2013</v>
      </c>
      <c r="F450" t="s">
        <v>77</v>
      </c>
      <c r="G450" t="s">
        <v>1361</v>
      </c>
      <c r="I450" t="s">
        <v>1363</v>
      </c>
      <c r="J450" t="s">
        <v>33</v>
      </c>
      <c r="K450" t="s">
        <v>58</v>
      </c>
      <c r="L450" t="s">
        <v>7</v>
      </c>
      <c r="M450" t="s">
        <v>18</v>
      </c>
      <c r="N450" t="s">
        <v>538</v>
      </c>
      <c r="O450" t="s">
        <v>29</v>
      </c>
    </row>
    <row r="451" spans="1:15" x14ac:dyDescent="0.25">
      <c r="A451" t="s">
        <v>1402</v>
      </c>
      <c r="B451" t="s">
        <v>57</v>
      </c>
      <c r="C451" t="s">
        <v>1360</v>
      </c>
      <c r="D451" t="s">
        <v>60</v>
      </c>
      <c r="E451">
        <v>2013</v>
      </c>
      <c r="F451" t="s">
        <v>77</v>
      </c>
      <c r="G451" t="s">
        <v>1361</v>
      </c>
      <c r="I451" t="s">
        <v>1363</v>
      </c>
      <c r="J451" t="s">
        <v>33</v>
      </c>
      <c r="K451" t="s">
        <v>58</v>
      </c>
      <c r="L451" t="s">
        <v>7</v>
      </c>
      <c r="M451" t="s">
        <v>523</v>
      </c>
      <c r="N451" t="s">
        <v>538</v>
      </c>
      <c r="O451" t="s">
        <v>29</v>
      </c>
    </row>
    <row r="452" spans="1:15" x14ac:dyDescent="0.25">
      <c r="A452" t="s">
        <v>1403</v>
      </c>
      <c r="B452" t="s">
        <v>57</v>
      </c>
      <c r="C452" t="s">
        <v>1364</v>
      </c>
      <c r="D452" t="s">
        <v>60</v>
      </c>
      <c r="E452">
        <v>2025</v>
      </c>
      <c r="F452" t="s">
        <v>77</v>
      </c>
      <c r="G452" t="s">
        <v>1365</v>
      </c>
      <c r="I452" t="s">
        <v>1367</v>
      </c>
      <c r="J452" t="s">
        <v>33</v>
      </c>
      <c r="K452" t="s">
        <v>58</v>
      </c>
      <c r="L452" t="s">
        <v>7</v>
      </c>
      <c r="M452" t="s">
        <v>524</v>
      </c>
      <c r="N452" t="s">
        <v>538</v>
      </c>
      <c r="O452" t="s">
        <v>29</v>
      </c>
    </row>
    <row r="453" spans="1:15" x14ac:dyDescent="0.25">
      <c r="A453" t="s">
        <v>1403</v>
      </c>
      <c r="B453" t="s">
        <v>57</v>
      </c>
      <c r="C453" t="s">
        <v>1364</v>
      </c>
      <c r="D453" t="s">
        <v>60</v>
      </c>
      <c r="E453">
        <v>2025</v>
      </c>
      <c r="F453" t="s">
        <v>77</v>
      </c>
      <c r="G453" t="s">
        <v>1365</v>
      </c>
      <c r="I453" t="s">
        <v>1367</v>
      </c>
      <c r="J453" t="s">
        <v>33</v>
      </c>
      <c r="K453" t="s">
        <v>58</v>
      </c>
      <c r="L453" t="s">
        <v>7</v>
      </c>
      <c r="M453" t="s">
        <v>523</v>
      </c>
      <c r="N453" t="s">
        <v>538</v>
      </c>
      <c r="O453" t="s">
        <v>29</v>
      </c>
    </row>
    <row r="454" spans="1:15" x14ac:dyDescent="0.25">
      <c r="A454" t="s">
        <v>1403</v>
      </c>
      <c r="B454" t="s">
        <v>57</v>
      </c>
      <c r="C454" t="s">
        <v>1364</v>
      </c>
      <c r="D454" t="s">
        <v>60</v>
      </c>
      <c r="E454">
        <v>2025</v>
      </c>
      <c r="F454" t="s">
        <v>77</v>
      </c>
      <c r="G454" t="s">
        <v>1365</v>
      </c>
      <c r="I454" t="s">
        <v>1367</v>
      </c>
      <c r="J454" t="s">
        <v>33</v>
      </c>
      <c r="K454" t="s">
        <v>58</v>
      </c>
      <c r="L454" t="s">
        <v>7</v>
      </c>
      <c r="M454" t="s">
        <v>527</v>
      </c>
      <c r="N454" t="s">
        <v>538</v>
      </c>
      <c r="O454" t="s">
        <v>29</v>
      </c>
    </row>
    <row r="455" spans="1:15" x14ac:dyDescent="0.25">
      <c r="A455" t="s">
        <v>1403</v>
      </c>
      <c r="B455" t="s">
        <v>57</v>
      </c>
      <c r="C455" t="s">
        <v>1364</v>
      </c>
      <c r="D455" t="s">
        <v>60</v>
      </c>
      <c r="E455">
        <v>2025</v>
      </c>
      <c r="F455" t="s">
        <v>77</v>
      </c>
      <c r="G455" t="s">
        <v>1365</v>
      </c>
      <c r="I455" t="s">
        <v>1367</v>
      </c>
      <c r="J455" t="s">
        <v>33</v>
      </c>
      <c r="K455" t="s">
        <v>58</v>
      </c>
      <c r="L455" t="s">
        <v>7</v>
      </c>
      <c r="M455" t="s">
        <v>18</v>
      </c>
      <c r="N455" t="s">
        <v>538</v>
      </c>
      <c r="O455" t="s">
        <v>29</v>
      </c>
    </row>
    <row r="456" spans="1:15" x14ac:dyDescent="0.25">
      <c r="A456" t="s">
        <v>1404</v>
      </c>
      <c r="B456" t="s">
        <v>57</v>
      </c>
      <c r="C456" t="s">
        <v>1374</v>
      </c>
      <c r="D456" t="s">
        <v>8</v>
      </c>
      <c r="E456">
        <v>2025</v>
      </c>
      <c r="F456" t="s">
        <v>191</v>
      </c>
      <c r="G456" t="s">
        <v>1375</v>
      </c>
      <c r="I456" t="s">
        <v>1376</v>
      </c>
      <c r="J456" t="s">
        <v>33</v>
      </c>
      <c r="K456" t="s">
        <v>568</v>
      </c>
      <c r="L456" t="s">
        <v>7</v>
      </c>
      <c r="M456" t="s">
        <v>524</v>
      </c>
      <c r="N456" t="s">
        <v>534</v>
      </c>
      <c r="O456" t="s">
        <v>30</v>
      </c>
    </row>
    <row r="457" spans="1:15" x14ac:dyDescent="0.25">
      <c r="A457" t="s">
        <v>1404</v>
      </c>
      <c r="B457" t="s">
        <v>57</v>
      </c>
      <c r="C457" t="s">
        <v>1374</v>
      </c>
      <c r="D457" t="s">
        <v>8</v>
      </c>
      <c r="E457">
        <v>2025</v>
      </c>
      <c r="F457" t="s">
        <v>191</v>
      </c>
      <c r="G457" t="s">
        <v>1375</v>
      </c>
      <c r="I457" t="s">
        <v>1376</v>
      </c>
      <c r="J457" t="s">
        <v>33</v>
      </c>
      <c r="K457" t="s">
        <v>568</v>
      </c>
      <c r="L457" t="s">
        <v>7</v>
      </c>
      <c r="M457" t="s">
        <v>523</v>
      </c>
      <c r="N457" t="s">
        <v>534</v>
      </c>
      <c r="O457" t="s">
        <v>30</v>
      </c>
    </row>
    <row r="458" spans="1:15" x14ac:dyDescent="0.25">
      <c r="A458" t="s">
        <v>1405</v>
      </c>
      <c r="B458" t="s">
        <v>57</v>
      </c>
      <c r="C458" t="s">
        <v>1378</v>
      </c>
      <c r="D458" t="s">
        <v>8</v>
      </c>
      <c r="E458">
        <v>2025</v>
      </c>
      <c r="F458" t="s">
        <v>191</v>
      </c>
      <c r="G458" t="s">
        <v>1379</v>
      </c>
      <c r="I458" t="s">
        <v>1376</v>
      </c>
      <c r="J458" t="s">
        <v>33</v>
      </c>
      <c r="K458" t="s">
        <v>568</v>
      </c>
      <c r="L458" t="s">
        <v>7</v>
      </c>
      <c r="M458" t="s">
        <v>523</v>
      </c>
      <c r="N458" t="s">
        <v>529</v>
      </c>
      <c r="O458" t="s">
        <v>386</v>
      </c>
    </row>
    <row r="459" spans="1:15" x14ac:dyDescent="0.25">
      <c r="A459" t="s">
        <v>1406</v>
      </c>
      <c r="B459" t="s">
        <v>57</v>
      </c>
      <c r="C459" t="s">
        <v>1380</v>
      </c>
      <c r="D459" t="s">
        <v>8</v>
      </c>
      <c r="E459">
        <v>2025</v>
      </c>
      <c r="F459" t="s">
        <v>191</v>
      </c>
      <c r="G459" t="s">
        <v>1381</v>
      </c>
      <c r="I459" t="s">
        <v>1376</v>
      </c>
      <c r="J459" t="s">
        <v>33</v>
      </c>
      <c r="K459" t="s">
        <v>568</v>
      </c>
      <c r="L459" t="s">
        <v>7</v>
      </c>
      <c r="M459" t="s">
        <v>523</v>
      </c>
      <c r="N459" t="s">
        <v>522</v>
      </c>
      <c r="O459" t="s">
        <v>402</v>
      </c>
    </row>
    <row r="460" spans="1:15" x14ac:dyDescent="0.25">
      <c r="A460" t="s">
        <v>1407</v>
      </c>
      <c r="B460" t="s">
        <v>57</v>
      </c>
      <c r="C460" t="s">
        <v>1385</v>
      </c>
      <c r="D460" t="s">
        <v>8</v>
      </c>
      <c r="E460">
        <v>2025</v>
      </c>
      <c r="F460" t="s">
        <v>77</v>
      </c>
      <c r="G460" t="s">
        <v>1386</v>
      </c>
      <c r="I460" t="s">
        <v>460</v>
      </c>
      <c r="J460" t="s">
        <v>33</v>
      </c>
      <c r="K460" t="s">
        <v>568</v>
      </c>
      <c r="L460" t="s">
        <v>7</v>
      </c>
      <c r="M460" t="s">
        <v>523</v>
      </c>
      <c r="N460" t="s">
        <v>531</v>
      </c>
      <c r="O460" t="s">
        <v>32</v>
      </c>
    </row>
    <row r="461" spans="1:15" x14ac:dyDescent="0.25">
      <c r="A461" t="s">
        <v>1407</v>
      </c>
      <c r="B461" t="s">
        <v>57</v>
      </c>
      <c r="C461" t="s">
        <v>1385</v>
      </c>
      <c r="D461" t="s">
        <v>8</v>
      </c>
      <c r="E461">
        <v>2025</v>
      </c>
      <c r="F461" t="s">
        <v>77</v>
      </c>
      <c r="G461" t="s">
        <v>1386</v>
      </c>
      <c r="I461" t="s">
        <v>460</v>
      </c>
      <c r="J461" t="s">
        <v>33</v>
      </c>
      <c r="K461" t="s">
        <v>568</v>
      </c>
      <c r="L461" t="s">
        <v>7</v>
      </c>
      <c r="M461" t="s">
        <v>524</v>
      </c>
      <c r="N461" t="s">
        <v>531</v>
      </c>
      <c r="O461" t="s">
        <v>32</v>
      </c>
    </row>
    <row r="462" spans="1:15" x14ac:dyDescent="0.25">
      <c r="A462" t="s">
        <v>1408</v>
      </c>
      <c r="B462" t="s">
        <v>57</v>
      </c>
      <c r="C462" t="s">
        <v>1388</v>
      </c>
      <c r="D462" t="s">
        <v>60</v>
      </c>
      <c r="E462">
        <v>2012</v>
      </c>
      <c r="F462" t="s">
        <v>77</v>
      </c>
      <c r="G462" t="s">
        <v>1389</v>
      </c>
      <c r="I462" t="s">
        <v>1391</v>
      </c>
      <c r="J462" t="s">
        <v>33</v>
      </c>
      <c r="K462" t="s">
        <v>58</v>
      </c>
      <c r="L462" t="s">
        <v>7</v>
      </c>
      <c r="M462" t="s">
        <v>523</v>
      </c>
      <c r="N462" t="s">
        <v>538</v>
      </c>
      <c r="O462" t="s">
        <v>29</v>
      </c>
    </row>
    <row r="463" spans="1:15" x14ac:dyDescent="0.25">
      <c r="A463" t="s">
        <v>1408</v>
      </c>
      <c r="B463" t="s">
        <v>57</v>
      </c>
      <c r="C463" t="s">
        <v>1388</v>
      </c>
      <c r="D463" t="s">
        <v>60</v>
      </c>
      <c r="E463">
        <v>2012</v>
      </c>
      <c r="F463" t="s">
        <v>77</v>
      </c>
      <c r="G463" t="s">
        <v>1389</v>
      </c>
      <c r="I463" t="s">
        <v>1391</v>
      </c>
      <c r="J463" t="s">
        <v>33</v>
      </c>
      <c r="K463" t="s">
        <v>58</v>
      </c>
      <c r="L463" t="s">
        <v>7</v>
      </c>
      <c r="M463" t="s">
        <v>523</v>
      </c>
      <c r="N463" t="s">
        <v>522</v>
      </c>
      <c r="O463" t="s">
        <v>402</v>
      </c>
    </row>
    <row r="464" spans="1:15" x14ac:dyDescent="0.25">
      <c r="A464" t="s">
        <v>1408</v>
      </c>
      <c r="B464" t="s">
        <v>57</v>
      </c>
      <c r="C464" t="s">
        <v>1388</v>
      </c>
      <c r="D464" t="s">
        <v>60</v>
      </c>
      <c r="E464">
        <v>2012</v>
      </c>
      <c r="F464" t="s">
        <v>77</v>
      </c>
      <c r="G464" t="s">
        <v>1389</v>
      </c>
      <c r="I464" t="s">
        <v>1391</v>
      </c>
      <c r="J464" t="s">
        <v>33</v>
      </c>
      <c r="K464" t="s">
        <v>58</v>
      </c>
      <c r="L464" t="s">
        <v>7</v>
      </c>
      <c r="M464" t="s">
        <v>524</v>
      </c>
      <c r="N464" t="s">
        <v>538</v>
      </c>
      <c r="O464" t="s">
        <v>29</v>
      </c>
    </row>
    <row r="465" spans="1:16" x14ac:dyDescent="0.25">
      <c r="A465" t="s">
        <v>1408</v>
      </c>
      <c r="B465" t="s">
        <v>57</v>
      </c>
      <c r="C465" t="s">
        <v>1388</v>
      </c>
      <c r="D465" t="s">
        <v>60</v>
      </c>
      <c r="E465">
        <v>2012</v>
      </c>
      <c r="F465" t="s">
        <v>77</v>
      </c>
      <c r="G465" t="s">
        <v>1389</v>
      </c>
      <c r="I465" t="s">
        <v>1391</v>
      </c>
      <c r="J465" t="s">
        <v>33</v>
      </c>
      <c r="K465" t="s">
        <v>58</v>
      </c>
      <c r="L465" t="s">
        <v>7</v>
      </c>
      <c r="M465" t="s">
        <v>524</v>
      </c>
      <c r="N465" t="s">
        <v>522</v>
      </c>
      <c r="O465" t="s">
        <v>402</v>
      </c>
    </row>
    <row r="466" spans="1:16" x14ac:dyDescent="0.25">
      <c r="A466" t="s">
        <v>344</v>
      </c>
      <c r="B466" t="s">
        <v>116</v>
      </c>
      <c r="C466" t="s">
        <v>63</v>
      </c>
      <c r="D466" t="s">
        <v>8</v>
      </c>
      <c r="E466">
        <v>2017</v>
      </c>
      <c r="F466" t="s">
        <v>127</v>
      </c>
      <c r="G466" t="s">
        <v>374</v>
      </c>
      <c r="H466" t="s">
        <v>298</v>
      </c>
      <c r="I466" t="s">
        <v>1373</v>
      </c>
      <c r="J466" t="s">
        <v>35</v>
      </c>
      <c r="K466" t="s">
        <v>37</v>
      </c>
      <c r="L466" t="s">
        <v>809</v>
      </c>
      <c r="M466" t="s">
        <v>802</v>
      </c>
      <c r="N466" t="s">
        <v>815</v>
      </c>
      <c r="O466" t="s">
        <v>403</v>
      </c>
      <c r="P466" t="s">
        <v>823</v>
      </c>
    </row>
    <row r="467" spans="1:16" x14ac:dyDescent="0.25">
      <c r="A467" t="s">
        <v>344</v>
      </c>
      <c r="B467" t="s">
        <v>116</v>
      </c>
      <c r="C467" t="s">
        <v>63</v>
      </c>
      <c r="D467" t="s">
        <v>8</v>
      </c>
      <c r="E467">
        <v>2017</v>
      </c>
      <c r="F467" t="s">
        <v>127</v>
      </c>
      <c r="G467" t="s">
        <v>374</v>
      </c>
      <c r="H467" t="s">
        <v>298</v>
      </c>
      <c r="I467" t="s">
        <v>1373</v>
      </c>
      <c r="J467" t="s">
        <v>35</v>
      </c>
      <c r="K467" t="s">
        <v>37</v>
      </c>
      <c r="L467" t="s">
        <v>809</v>
      </c>
      <c r="M467" t="s">
        <v>803</v>
      </c>
      <c r="N467" t="s">
        <v>815</v>
      </c>
      <c r="O467" t="s">
        <v>403</v>
      </c>
      <c r="P467" t="s">
        <v>823</v>
      </c>
    </row>
    <row r="468" spans="1:16" x14ac:dyDescent="0.25">
      <c r="A468" t="s">
        <v>311</v>
      </c>
      <c r="B468" t="s">
        <v>116</v>
      </c>
      <c r="C468" t="s">
        <v>268</v>
      </c>
      <c r="D468" t="s">
        <v>60</v>
      </c>
      <c r="E468">
        <v>2014</v>
      </c>
      <c r="F468" t="s">
        <v>75</v>
      </c>
      <c r="G468" t="s">
        <v>269</v>
      </c>
      <c r="H468" t="s">
        <v>270</v>
      </c>
      <c r="I468" t="s">
        <v>1373</v>
      </c>
      <c r="J468" t="s">
        <v>35</v>
      </c>
      <c r="K468" t="s">
        <v>37</v>
      </c>
      <c r="L468" t="s">
        <v>809</v>
      </c>
      <c r="M468" t="s">
        <v>803</v>
      </c>
      <c r="N468" t="s">
        <v>815</v>
      </c>
      <c r="O468" t="s">
        <v>403</v>
      </c>
      <c r="P468" t="s">
        <v>823</v>
      </c>
    </row>
    <row r="469" spans="1:16" x14ac:dyDescent="0.25">
      <c r="A469" t="s">
        <v>112</v>
      </c>
      <c r="B469" t="s">
        <v>116</v>
      </c>
      <c r="C469" t="s">
        <v>276</v>
      </c>
      <c r="D469" t="s">
        <v>60</v>
      </c>
      <c r="E469">
        <v>2018</v>
      </c>
      <c r="F469" t="s">
        <v>89</v>
      </c>
      <c r="G469" t="s">
        <v>376</v>
      </c>
      <c r="H469" t="s">
        <v>354</v>
      </c>
      <c r="I469" t="s">
        <v>61</v>
      </c>
      <c r="J469" t="s">
        <v>35</v>
      </c>
      <c r="K469" t="s">
        <v>37</v>
      </c>
      <c r="L469" t="s">
        <v>809</v>
      </c>
      <c r="M469" t="s">
        <v>802</v>
      </c>
      <c r="N469" t="s">
        <v>815</v>
      </c>
      <c r="O469" t="s">
        <v>403</v>
      </c>
      <c r="P469" t="s">
        <v>823</v>
      </c>
    </row>
    <row r="470" spans="1:16" x14ac:dyDescent="0.25">
      <c r="A470" t="s">
        <v>112</v>
      </c>
      <c r="B470" t="s">
        <v>116</v>
      </c>
      <c r="C470" t="s">
        <v>276</v>
      </c>
      <c r="D470" t="s">
        <v>60</v>
      </c>
      <c r="E470">
        <v>2018</v>
      </c>
      <c r="F470" t="s">
        <v>89</v>
      </c>
      <c r="G470" t="s">
        <v>376</v>
      </c>
      <c r="H470" t="s">
        <v>354</v>
      </c>
      <c r="I470" t="s">
        <v>61</v>
      </c>
      <c r="J470" t="s">
        <v>35</v>
      </c>
      <c r="K470" t="s">
        <v>37</v>
      </c>
      <c r="L470" t="s">
        <v>809</v>
      </c>
      <c r="M470" t="s">
        <v>36</v>
      </c>
      <c r="N470" t="s">
        <v>815</v>
      </c>
      <c r="O470" t="s">
        <v>403</v>
      </c>
      <c r="P470" t="s">
        <v>823</v>
      </c>
    </row>
    <row r="471" spans="1:16" x14ac:dyDescent="0.25">
      <c r="A471" t="s">
        <v>317</v>
      </c>
      <c r="B471" t="s">
        <v>116</v>
      </c>
      <c r="C471" t="s">
        <v>271</v>
      </c>
      <c r="D471" t="s">
        <v>8</v>
      </c>
      <c r="E471">
        <v>2019</v>
      </c>
      <c r="F471" t="s">
        <v>75</v>
      </c>
      <c r="G471" t="s">
        <v>272</v>
      </c>
      <c r="H471" t="s">
        <v>354</v>
      </c>
      <c r="I471" t="s">
        <v>21</v>
      </c>
      <c r="J471" t="s">
        <v>321</v>
      </c>
      <c r="K471" t="s">
        <v>37</v>
      </c>
      <c r="L471" t="s">
        <v>5</v>
      </c>
      <c r="M471" t="s">
        <v>90</v>
      </c>
      <c r="N471" t="s">
        <v>367</v>
      </c>
      <c r="O471" t="s">
        <v>388</v>
      </c>
      <c r="P471" t="s">
        <v>371</v>
      </c>
    </row>
    <row r="472" spans="1:16" x14ac:dyDescent="0.25">
      <c r="A472" t="s">
        <v>317</v>
      </c>
      <c r="B472" t="s">
        <v>116</v>
      </c>
      <c r="C472" t="s">
        <v>271</v>
      </c>
      <c r="D472" t="s">
        <v>8</v>
      </c>
      <c r="E472">
        <v>2019</v>
      </c>
      <c r="F472" t="s">
        <v>75</v>
      </c>
      <c r="G472" t="s">
        <v>272</v>
      </c>
      <c r="H472" t="s">
        <v>354</v>
      </c>
      <c r="I472" t="s">
        <v>21</v>
      </c>
      <c r="J472" t="s">
        <v>321</v>
      </c>
      <c r="K472" t="s">
        <v>37</v>
      </c>
      <c r="L472" t="s">
        <v>5</v>
      </c>
      <c r="M472" t="s">
        <v>36</v>
      </c>
      <c r="N472" t="s">
        <v>367</v>
      </c>
      <c r="O472" t="s">
        <v>388</v>
      </c>
      <c r="P472" t="s">
        <v>371</v>
      </c>
    </row>
    <row r="473" spans="1:16" x14ac:dyDescent="0.25">
      <c r="A473" t="s">
        <v>114</v>
      </c>
      <c r="B473" t="s">
        <v>116</v>
      </c>
      <c r="C473" t="s">
        <v>1198</v>
      </c>
      <c r="D473" t="s">
        <v>8</v>
      </c>
      <c r="E473">
        <v>2006</v>
      </c>
      <c r="F473" t="s">
        <v>189</v>
      </c>
      <c r="G473" t="s">
        <v>300</v>
      </c>
      <c r="H473" t="s">
        <v>354</v>
      </c>
      <c r="I473" t="s">
        <v>208</v>
      </c>
      <c r="J473" t="s">
        <v>35</v>
      </c>
      <c r="K473" t="s">
        <v>37</v>
      </c>
      <c r="L473" t="s">
        <v>809</v>
      </c>
      <c r="M473" t="s">
        <v>36</v>
      </c>
      <c r="N473" t="s">
        <v>814</v>
      </c>
      <c r="O473" t="s">
        <v>392</v>
      </c>
      <c r="P473" t="s">
        <v>825</v>
      </c>
    </row>
    <row r="474" spans="1:16" x14ac:dyDescent="0.25">
      <c r="A474" t="s">
        <v>113</v>
      </c>
      <c r="B474" t="s">
        <v>116</v>
      </c>
      <c r="C474" t="s">
        <v>65</v>
      </c>
      <c r="D474" t="s">
        <v>8</v>
      </c>
      <c r="E474">
        <v>2018</v>
      </c>
      <c r="F474" t="s">
        <v>82</v>
      </c>
      <c r="G474" t="s">
        <v>377</v>
      </c>
      <c r="H474" t="s">
        <v>299</v>
      </c>
      <c r="I474" t="s">
        <v>1373</v>
      </c>
      <c r="J474" t="s">
        <v>35</v>
      </c>
      <c r="K474" t="s">
        <v>37</v>
      </c>
      <c r="L474" t="s">
        <v>809</v>
      </c>
      <c r="M474" t="s">
        <v>802</v>
      </c>
      <c r="N474" t="s">
        <v>816</v>
      </c>
      <c r="O474" t="s">
        <v>404</v>
      </c>
      <c r="P474" t="s">
        <v>824</v>
      </c>
    </row>
    <row r="475" spans="1:16" x14ac:dyDescent="0.25">
      <c r="A475" t="s">
        <v>113</v>
      </c>
      <c r="B475" t="s">
        <v>116</v>
      </c>
      <c r="C475" t="s">
        <v>65</v>
      </c>
      <c r="D475" t="s">
        <v>8</v>
      </c>
      <c r="E475">
        <v>2018</v>
      </c>
      <c r="F475" t="s">
        <v>82</v>
      </c>
      <c r="G475" t="s">
        <v>377</v>
      </c>
      <c r="H475" t="s">
        <v>299</v>
      </c>
      <c r="I475" t="s">
        <v>1373</v>
      </c>
      <c r="J475" t="s">
        <v>35</v>
      </c>
      <c r="K475" t="s">
        <v>37</v>
      </c>
      <c r="L475" t="s">
        <v>809</v>
      </c>
      <c r="M475" t="s">
        <v>803</v>
      </c>
      <c r="N475" t="s">
        <v>816</v>
      </c>
      <c r="O475" t="s">
        <v>404</v>
      </c>
      <c r="P475" t="s">
        <v>824</v>
      </c>
    </row>
    <row r="476" spans="1:16" x14ac:dyDescent="0.25">
      <c r="A476" t="s">
        <v>114</v>
      </c>
      <c r="B476" t="s">
        <v>116</v>
      </c>
      <c r="C476" t="s">
        <v>1198</v>
      </c>
      <c r="D476" t="s">
        <v>8</v>
      </c>
      <c r="E476">
        <v>2006</v>
      </c>
      <c r="F476" t="s">
        <v>189</v>
      </c>
      <c r="G476" t="s">
        <v>300</v>
      </c>
      <c r="H476" t="s">
        <v>354</v>
      </c>
      <c r="I476" t="s">
        <v>208</v>
      </c>
      <c r="J476" t="s">
        <v>35</v>
      </c>
      <c r="K476" t="s">
        <v>37</v>
      </c>
      <c r="L476" t="s">
        <v>809</v>
      </c>
      <c r="M476" t="s">
        <v>90</v>
      </c>
      <c r="N476" t="s">
        <v>814</v>
      </c>
      <c r="O476" t="s">
        <v>392</v>
      </c>
      <c r="P476" t="s">
        <v>825</v>
      </c>
    </row>
    <row r="477" spans="1:16" x14ac:dyDescent="0.25">
      <c r="A477" t="s">
        <v>114</v>
      </c>
      <c r="B477" t="s">
        <v>116</v>
      </c>
      <c r="C477" t="s">
        <v>1198</v>
      </c>
      <c r="D477" t="s">
        <v>8</v>
      </c>
      <c r="E477">
        <v>2006</v>
      </c>
      <c r="F477" t="s">
        <v>189</v>
      </c>
      <c r="G477" t="s">
        <v>300</v>
      </c>
      <c r="H477" t="s">
        <v>354</v>
      </c>
      <c r="I477" t="s">
        <v>208</v>
      </c>
      <c r="J477" t="s">
        <v>35</v>
      </c>
      <c r="K477" t="s">
        <v>37</v>
      </c>
      <c r="L477" t="s">
        <v>809</v>
      </c>
      <c r="M477" t="s">
        <v>802</v>
      </c>
      <c r="N477" t="s">
        <v>814</v>
      </c>
      <c r="O477" t="s">
        <v>392</v>
      </c>
      <c r="P477" t="s">
        <v>825</v>
      </c>
    </row>
    <row r="478" spans="1:16" x14ac:dyDescent="0.25">
      <c r="A478" t="s">
        <v>115</v>
      </c>
      <c r="B478" t="s">
        <v>116</v>
      </c>
      <c r="C478" t="s">
        <v>209</v>
      </c>
      <c r="D478" t="s">
        <v>8</v>
      </c>
      <c r="E478">
        <v>2018</v>
      </c>
      <c r="F478" t="s">
        <v>127</v>
      </c>
      <c r="G478" t="s">
        <v>407</v>
      </c>
      <c r="H478" t="s">
        <v>298</v>
      </c>
      <c r="I478" t="s">
        <v>1373</v>
      </c>
      <c r="J478" t="s">
        <v>35</v>
      </c>
      <c r="K478" t="s">
        <v>37</v>
      </c>
      <c r="L478" t="s">
        <v>809</v>
      </c>
      <c r="M478" t="s">
        <v>802</v>
      </c>
      <c r="N478" t="s">
        <v>815</v>
      </c>
      <c r="O478" t="s">
        <v>403</v>
      </c>
      <c r="P478" t="s">
        <v>823</v>
      </c>
    </row>
    <row r="479" spans="1:16" x14ac:dyDescent="0.25">
      <c r="A479" t="s">
        <v>313</v>
      </c>
      <c r="B479" t="s">
        <v>116</v>
      </c>
      <c r="C479" t="s">
        <v>210</v>
      </c>
      <c r="D479" t="s">
        <v>8</v>
      </c>
      <c r="E479">
        <v>2018</v>
      </c>
      <c r="F479" t="s">
        <v>127</v>
      </c>
      <c r="G479" t="s">
        <v>378</v>
      </c>
      <c r="H479" t="s">
        <v>298</v>
      </c>
      <c r="I479" t="s">
        <v>1373</v>
      </c>
      <c r="J479" t="s">
        <v>35</v>
      </c>
      <c r="K479" t="s">
        <v>37</v>
      </c>
      <c r="L479" t="s">
        <v>809</v>
      </c>
      <c r="M479" t="s">
        <v>803</v>
      </c>
      <c r="N479" t="s">
        <v>815</v>
      </c>
      <c r="O479" t="s">
        <v>403</v>
      </c>
      <c r="P479" t="s">
        <v>823</v>
      </c>
    </row>
    <row r="480" spans="1:16" x14ac:dyDescent="0.25">
      <c r="A480" t="s">
        <v>313</v>
      </c>
      <c r="B480" t="s">
        <v>116</v>
      </c>
      <c r="C480" t="s">
        <v>210</v>
      </c>
      <c r="D480" t="s">
        <v>8</v>
      </c>
      <c r="E480">
        <v>2018</v>
      </c>
      <c r="F480" t="s">
        <v>127</v>
      </c>
      <c r="G480" t="s">
        <v>378</v>
      </c>
      <c r="H480" t="s">
        <v>298</v>
      </c>
      <c r="I480" t="s">
        <v>1373</v>
      </c>
      <c r="J480" t="s">
        <v>35</v>
      </c>
      <c r="K480" t="s">
        <v>37</v>
      </c>
      <c r="L480" t="s">
        <v>809</v>
      </c>
      <c r="M480" t="s">
        <v>36</v>
      </c>
      <c r="N480" t="s">
        <v>815</v>
      </c>
      <c r="O480" t="s">
        <v>403</v>
      </c>
      <c r="P480" t="s">
        <v>823</v>
      </c>
    </row>
    <row r="481" spans="1:16" x14ac:dyDescent="0.25">
      <c r="A481" t="s">
        <v>314</v>
      </c>
      <c r="B481" t="s">
        <v>116</v>
      </c>
      <c r="C481" t="s">
        <v>211</v>
      </c>
      <c r="D481" t="s">
        <v>8</v>
      </c>
      <c r="E481">
        <v>2022</v>
      </c>
      <c r="F481" t="s">
        <v>127</v>
      </c>
      <c r="G481" t="s">
        <v>278</v>
      </c>
      <c r="H481" t="s">
        <v>298</v>
      </c>
      <c r="I481" t="s">
        <v>301</v>
      </c>
      <c r="J481" t="s">
        <v>35</v>
      </c>
      <c r="K481" t="s">
        <v>37</v>
      </c>
      <c r="L481" t="s">
        <v>809</v>
      </c>
      <c r="M481" t="s">
        <v>36</v>
      </c>
      <c r="N481" t="s">
        <v>814</v>
      </c>
      <c r="O481" t="s">
        <v>392</v>
      </c>
      <c r="P481" t="s">
        <v>825</v>
      </c>
    </row>
    <row r="482" spans="1:16" x14ac:dyDescent="0.25">
      <c r="A482" t="s">
        <v>314</v>
      </c>
      <c r="B482" t="s">
        <v>116</v>
      </c>
      <c r="C482" t="s">
        <v>211</v>
      </c>
      <c r="D482" t="s">
        <v>8</v>
      </c>
      <c r="E482">
        <v>2022</v>
      </c>
      <c r="F482" t="s">
        <v>127</v>
      </c>
      <c r="G482" t="s">
        <v>278</v>
      </c>
      <c r="H482" t="s">
        <v>298</v>
      </c>
      <c r="I482" t="s">
        <v>301</v>
      </c>
      <c r="J482" t="s">
        <v>35</v>
      </c>
      <c r="K482" t="s">
        <v>37</v>
      </c>
      <c r="L482" t="s">
        <v>809</v>
      </c>
      <c r="M482" t="s">
        <v>90</v>
      </c>
      <c r="N482" t="s">
        <v>814</v>
      </c>
      <c r="O482" t="s">
        <v>392</v>
      </c>
      <c r="P482" t="s">
        <v>825</v>
      </c>
    </row>
    <row r="483" spans="1:16" x14ac:dyDescent="0.25">
      <c r="A483" t="s">
        <v>314</v>
      </c>
      <c r="B483" t="s">
        <v>116</v>
      </c>
      <c r="C483" t="s">
        <v>211</v>
      </c>
      <c r="D483" t="s">
        <v>8</v>
      </c>
      <c r="E483">
        <v>2022</v>
      </c>
      <c r="F483" t="s">
        <v>127</v>
      </c>
      <c r="G483" t="s">
        <v>278</v>
      </c>
      <c r="H483" t="s">
        <v>298</v>
      </c>
      <c r="I483" t="s">
        <v>301</v>
      </c>
      <c r="J483" t="s">
        <v>35</v>
      </c>
      <c r="K483" t="s">
        <v>37</v>
      </c>
      <c r="L483" t="s">
        <v>809</v>
      </c>
      <c r="M483" t="s">
        <v>802</v>
      </c>
      <c r="N483" t="s">
        <v>814</v>
      </c>
      <c r="O483" t="s">
        <v>392</v>
      </c>
      <c r="P483" t="s">
        <v>825</v>
      </c>
    </row>
    <row r="484" spans="1:16" x14ac:dyDescent="0.25">
      <c r="A484" t="s">
        <v>315</v>
      </c>
      <c r="B484" t="s">
        <v>116</v>
      </c>
      <c r="C484" t="s">
        <v>212</v>
      </c>
      <c r="D484" t="s">
        <v>8</v>
      </c>
      <c r="E484">
        <v>2018</v>
      </c>
      <c r="F484" t="s">
        <v>127</v>
      </c>
      <c r="G484" t="s">
        <v>279</v>
      </c>
      <c r="H484" t="s">
        <v>298</v>
      </c>
      <c r="I484" t="s">
        <v>1373</v>
      </c>
      <c r="J484" t="s">
        <v>35</v>
      </c>
      <c r="K484" t="s">
        <v>37</v>
      </c>
      <c r="L484" t="s">
        <v>809</v>
      </c>
      <c r="M484" t="s">
        <v>802</v>
      </c>
      <c r="N484" t="s">
        <v>367</v>
      </c>
      <c r="O484" t="s">
        <v>388</v>
      </c>
      <c r="P484" t="s">
        <v>371</v>
      </c>
    </row>
    <row r="485" spans="1:16" x14ac:dyDescent="0.25">
      <c r="A485" t="s">
        <v>315</v>
      </c>
      <c r="B485" t="s">
        <v>116</v>
      </c>
      <c r="C485" t="s">
        <v>212</v>
      </c>
      <c r="D485" t="s">
        <v>8</v>
      </c>
      <c r="E485">
        <v>2018</v>
      </c>
      <c r="F485" t="s">
        <v>127</v>
      </c>
      <c r="G485" t="s">
        <v>279</v>
      </c>
      <c r="H485" t="s">
        <v>298</v>
      </c>
      <c r="I485" t="s">
        <v>1373</v>
      </c>
      <c r="J485" t="s">
        <v>35</v>
      </c>
      <c r="K485" t="s">
        <v>37</v>
      </c>
      <c r="L485" t="s">
        <v>809</v>
      </c>
      <c r="M485" t="s">
        <v>36</v>
      </c>
      <c r="N485" t="s">
        <v>367</v>
      </c>
      <c r="O485" t="s">
        <v>388</v>
      </c>
      <c r="P485" t="s">
        <v>371</v>
      </c>
    </row>
    <row r="486" spans="1:16" x14ac:dyDescent="0.25">
      <c r="A486" t="s">
        <v>312</v>
      </c>
      <c r="B486" t="s">
        <v>116</v>
      </c>
      <c r="C486" t="s">
        <v>431</v>
      </c>
      <c r="D486" t="s">
        <v>8</v>
      </c>
      <c r="E486">
        <v>1997</v>
      </c>
      <c r="F486" t="s">
        <v>127</v>
      </c>
      <c r="G486" t="s">
        <v>433</v>
      </c>
      <c r="H486" t="s">
        <v>298</v>
      </c>
      <c r="I486" t="s">
        <v>1373</v>
      </c>
      <c r="J486" t="s">
        <v>35</v>
      </c>
      <c r="K486" t="s">
        <v>37</v>
      </c>
      <c r="L486" t="s">
        <v>809</v>
      </c>
      <c r="M486" t="s">
        <v>803</v>
      </c>
      <c r="N486" t="s">
        <v>816</v>
      </c>
      <c r="O486" t="s">
        <v>404</v>
      </c>
      <c r="P486" t="s">
        <v>824</v>
      </c>
    </row>
    <row r="487" spans="1:16" x14ac:dyDescent="0.25">
      <c r="A487" t="s">
        <v>316</v>
      </c>
      <c r="B487" t="s">
        <v>116</v>
      </c>
      <c r="C487" t="s">
        <v>412</v>
      </c>
      <c r="D487" t="s">
        <v>8</v>
      </c>
      <c r="E487">
        <v>2022</v>
      </c>
      <c r="F487" t="s">
        <v>127</v>
      </c>
      <c r="G487" t="s">
        <v>280</v>
      </c>
      <c r="H487" t="s">
        <v>298</v>
      </c>
      <c r="I487" t="s">
        <v>214</v>
      </c>
      <c r="J487" t="s">
        <v>35</v>
      </c>
      <c r="K487" t="s">
        <v>37</v>
      </c>
      <c r="L487" t="s">
        <v>809</v>
      </c>
      <c r="M487" t="s">
        <v>36</v>
      </c>
      <c r="N487" t="s">
        <v>817</v>
      </c>
      <c r="O487" t="s">
        <v>394</v>
      </c>
      <c r="P487" t="s">
        <v>826</v>
      </c>
    </row>
    <row r="488" spans="1:16" x14ac:dyDescent="0.25">
      <c r="A488" t="s">
        <v>259</v>
      </c>
      <c r="B488" t="s">
        <v>116</v>
      </c>
      <c r="C488" t="s">
        <v>215</v>
      </c>
      <c r="D488" t="s">
        <v>60</v>
      </c>
      <c r="E488">
        <v>2019</v>
      </c>
      <c r="F488" t="s">
        <v>82</v>
      </c>
      <c r="G488" t="s">
        <v>379</v>
      </c>
      <c r="H488" t="s">
        <v>354</v>
      </c>
      <c r="I488" t="s">
        <v>232</v>
      </c>
      <c r="J488" t="s">
        <v>35</v>
      </c>
      <c r="K488" t="s">
        <v>37</v>
      </c>
      <c r="L488" t="s">
        <v>809</v>
      </c>
      <c r="M488" t="s">
        <v>803</v>
      </c>
      <c r="N488" t="s">
        <v>815</v>
      </c>
      <c r="O488" t="s">
        <v>403</v>
      </c>
      <c r="P488" t="s">
        <v>823</v>
      </c>
    </row>
    <row r="489" spans="1:16" x14ac:dyDescent="0.25">
      <c r="A489" t="s">
        <v>260</v>
      </c>
      <c r="B489" t="s">
        <v>116</v>
      </c>
      <c r="C489" t="s">
        <v>281</v>
      </c>
      <c r="D489" t="s">
        <v>8</v>
      </c>
      <c r="E489">
        <v>2014</v>
      </c>
      <c r="F489" t="s">
        <v>143</v>
      </c>
      <c r="G489" t="s">
        <v>380</v>
      </c>
      <c r="H489" t="s">
        <v>354</v>
      </c>
      <c r="I489" t="s">
        <v>282</v>
      </c>
      <c r="J489" t="s">
        <v>35</v>
      </c>
      <c r="K489" t="s">
        <v>37</v>
      </c>
      <c r="L489" t="s">
        <v>809</v>
      </c>
      <c r="M489" t="s">
        <v>36</v>
      </c>
      <c r="N489" t="s">
        <v>815</v>
      </c>
      <c r="O489" t="s">
        <v>403</v>
      </c>
      <c r="P489" t="s">
        <v>827</v>
      </c>
    </row>
    <row r="490" spans="1:16" x14ac:dyDescent="0.25">
      <c r="A490" t="s">
        <v>260</v>
      </c>
      <c r="B490" t="s">
        <v>116</v>
      </c>
      <c r="C490" t="s">
        <v>281</v>
      </c>
      <c r="D490" t="s">
        <v>8</v>
      </c>
      <c r="E490">
        <v>2014</v>
      </c>
      <c r="F490" t="s">
        <v>143</v>
      </c>
      <c r="G490" t="s">
        <v>380</v>
      </c>
      <c r="H490" t="s">
        <v>354</v>
      </c>
      <c r="I490" t="s">
        <v>282</v>
      </c>
      <c r="J490" t="s">
        <v>35</v>
      </c>
      <c r="K490" t="s">
        <v>37</v>
      </c>
      <c r="L490" t="s">
        <v>809</v>
      </c>
      <c r="M490" t="s">
        <v>36</v>
      </c>
      <c r="N490" t="s">
        <v>814</v>
      </c>
      <c r="O490" t="s">
        <v>392</v>
      </c>
      <c r="P490" t="s">
        <v>827</v>
      </c>
    </row>
    <row r="491" spans="1:16" x14ac:dyDescent="0.25">
      <c r="A491" t="s">
        <v>260</v>
      </c>
      <c r="B491" t="s">
        <v>116</v>
      </c>
      <c r="C491" t="s">
        <v>281</v>
      </c>
      <c r="D491" t="s">
        <v>8</v>
      </c>
      <c r="E491">
        <v>2014</v>
      </c>
      <c r="F491" t="s">
        <v>143</v>
      </c>
      <c r="G491" t="s">
        <v>380</v>
      </c>
      <c r="H491" t="s">
        <v>354</v>
      </c>
      <c r="I491" t="s">
        <v>282</v>
      </c>
      <c r="J491" t="s">
        <v>35</v>
      </c>
      <c r="K491" t="s">
        <v>37</v>
      </c>
      <c r="L491" t="s">
        <v>809</v>
      </c>
      <c r="M491" t="s">
        <v>90</v>
      </c>
      <c r="N491" t="s">
        <v>815</v>
      </c>
      <c r="O491" t="s">
        <v>403</v>
      </c>
      <c r="P491" t="s">
        <v>827</v>
      </c>
    </row>
    <row r="492" spans="1:16" x14ac:dyDescent="0.25">
      <c r="A492" t="s">
        <v>260</v>
      </c>
      <c r="B492" t="s">
        <v>116</v>
      </c>
      <c r="C492" t="s">
        <v>281</v>
      </c>
      <c r="D492" t="s">
        <v>8</v>
      </c>
      <c r="E492">
        <v>2014</v>
      </c>
      <c r="F492" t="s">
        <v>143</v>
      </c>
      <c r="G492" t="s">
        <v>380</v>
      </c>
      <c r="H492" t="s">
        <v>354</v>
      </c>
      <c r="I492" t="s">
        <v>282</v>
      </c>
      <c r="J492" t="s">
        <v>35</v>
      </c>
      <c r="K492" t="s">
        <v>37</v>
      </c>
      <c r="L492" t="s">
        <v>809</v>
      </c>
      <c r="M492" t="s">
        <v>90</v>
      </c>
      <c r="N492" t="s">
        <v>814</v>
      </c>
      <c r="O492" t="s">
        <v>392</v>
      </c>
      <c r="P492" t="s">
        <v>827</v>
      </c>
    </row>
    <row r="493" spans="1:16" x14ac:dyDescent="0.25">
      <c r="A493" t="s">
        <v>260</v>
      </c>
      <c r="B493" t="s">
        <v>116</v>
      </c>
      <c r="C493" t="s">
        <v>281</v>
      </c>
      <c r="D493" t="s">
        <v>8</v>
      </c>
      <c r="E493">
        <v>2014</v>
      </c>
      <c r="F493" t="s">
        <v>143</v>
      </c>
      <c r="G493" t="s">
        <v>380</v>
      </c>
      <c r="H493" t="s">
        <v>354</v>
      </c>
      <c r="I493" t="s">
        <v>282</v>
      </c>
      <c r="J493" t="s">
        <v>35</v>
      </c>
      <c r="K493" t="s">
        <v>37</v>
      </c>
      <c r="L493" t="s">
        <v>809</v>
      </c>
      <c r="M493" t="s">
        <v>802</v>
      </c>
      <c r="N493" t="s">
        <v>815</v>
      </c>
      <c r="O493" t="s">
        <v>403</v>
      </c>
      <c r="P493" t="s">
        <v>827</v>
      </c>
    </row>
    <row r="494" spans="1:16" x14ac:dyDescent="0.25">
      <c r="A494" t="s">
        <v>260</v>
      </c>
      <c r="B494" t="s">
        <v>116</v>
      </c>
      <c r="C494" t="s">
        <v>281</v>
      </c>
      <c r="D494" t="s">
        <v>8</v>
      </c>
      <c r="E494">
        <v>2014</v>
      </c>
      <c r="F494" t="s">
        <v>143</v>
      </c>
      <c r="G494" t="s">
        <v>380</v>
      </c>
      <c r="H494" t="s">
        <v>354</v>
      </c>
      <c r="I494" t="s">
        <v>282</v>
      </c>
      <c r="J494" t="s">
        <v>35</v>
      </c>
      <c r="K494" t="s">
        <v>37</v>
      </c>
      <c r="L494" t="s">
        <v>809</v>
      </c>
      <c r="M494" t="s">
        <v>802</v>
      </c>
      <c r="N494" t="s">
        <v>814</v>
      </c>
      <c r="O494" t="s">
        <v>392</v>
      </c>
      <c r="P494" t="s">
        <v>827</v>
      </c>
    </row>
    <row r="495" spans="1:16" x14ac:dyDescent="0.25">
      <c r="A495" t="s">
        <v>261</v>
      </c>
      <c r="B495" t="s">
        <v>116</v>
      </c>
      <c r="C495" t="s">
        <v>914</v>
      </c>
      <c r="D495" t="s">
        <v>8</v>
      </c>
      <c r="E495">
        <v>2020</v>
      </c>
      <c r="F495" t="s">
        <v>178</v>
      </c>
      <c r="G495" t="s">
        <v>283</v>
      </c>
      <c r="H495" t="s">
        <v>354</v>
      </c>
      <c r="I495" t="s">
        <v>284</v>
      </c>
      <c r="J495" t="s">
        <v>35</v>
      </c>
      <c r="K495" t="s">
        <v>37</v>
      </c>
      <c r="L495" t="s">
        <v>809</v>
      </c>
      <c r="M495" t="s">
        <v>803</v>
      </c>
      <c r="N495" t="s">
        <v>367</v>
      </c>
      <c r="O495" t="s">
        <v>388</v>
      </c>
      <c r="P495" t="s">
        <v>371</v>
      </c>
    </row>
    <row r="496" spans="1:16" x14ac:dyDescent="0.25">
      <c r="A496" t="s">
        <v>261</v>
      </c>
      <c r="B496" t="s">
        <v>116</v>
      </c>
      <c r="C496" t="s">
        <v>914</v>
      </c>
      <c r="D496" t="s">
        <v>8</v>
      </c>
      <c r="E496">
        <v>2020</v>
      </c>
      <c r="F496" t="s">
        <v>178</v>
      </c>
      <c r="G496" t="s">
        <v>283</v>
      </c>
      <c r="H496" t="s">
        <v>354</v>
      </c>
      <c r="I496" t="s">
        <v>284</v>
      </c>
      <c r="J496" t="s">
        <v>35</v>
      </c>
      <c r="K496" t="s">
        <v>37</v>
      </c>
      <c r="L496" t="s">
        <v>809</v>
      </c>
      <c r="M496" t="s">
        <v>804</v>
      </c>
      <c r="N496" t="s">
        <v>367</v>
      </c>
      <c r="O496" t="s">
        <v>388</v>
      </c>
      <c r="P496" t="s">
        <v>371</v>
      </c>
    </row>
    <row r="497" spans="1:16" x14ac:dyDescent="0.25">
      <c r="A497" t="s">
        <v>261</v>
      </c>
      <c r="B497" t="s">
        <v>116</v>
      </c>
      <c r="C497" t="s">
        <v>914</v>
      </c>
      <c r="D497" t="s">
        <v>8</v>
      </c>
      <c r="E497">
        <v>2020</v>
      </c>
      <c r="F497" t="s">
        <v>178</v>
      </c>
      <c r="G497" t="s">
        <v>283</v>
      </c>
      <c r="H497" t="s">
        <v>354</v>
      </c>
      <c r="I497" t="s">
        <v>284</v>
      </c>
      <c r="J497" t="s">
        <v>35</v>
      </c>
      <c r="K497" t="s">
        <v>37</v>
      </c>
      <c r="L497" t="s">
        <v>809</v>
      </c>
      <c r="M497" t="s">
        <v>90</v>
      </c>
      <c r="N497" t="s">
        <v>367</v>
      </c>
      <c r="O497" t="s">
        <v>388</v>
      </c>
      <c r="P497" t="s">
        <v>371</v>
      </c>
    </row>
    <row r="498" spans="1:16" x14ac:dyDescent="0.25">
      <c r="A498" t="s">
        <v>262</v>
      </c>
      <c r="B498" t="s">
        <v>116</v>
      </c>
      <c r="C498" t="s">
        <v>219</v>
      </c>
      <c r="D498" t="s">
        <v>60</v>
      </c>
      <c r="E498">
        <v>2010</v>
      </c>
      <c r="F498" t="s">
        <v>75</v>
      </c>
      <c r="G498" t="s">
        <v>285</v>
      </c>
      <c r="H498" t="s">
        <v>218</v>
      </c>
      <c r="I498" t="s">
        <v>1373</v>
      </c>
      <c r="J498" t="s">
        <v>35</v>
      </c>
      <c r="K498" t="s">
        <v>37</v>
      </c>
      <c r="L498" t="s">
        <v>809</v>
      </c>
      <c r="M498" t="s">
        <v>802</v>
      </c>
      <c r="N498" t="s">
        <v>813</v>
      </c>
      <c r="O498" t="s">
        <v>391</v>
      </c>
      <c r="P498" t="s">
        <v>828</v>
      </c>
    </row>
    <row r="499" spans="1:16" x14ac:dyDescent="0.25">
      <c r="A499" t="s">
        <v>262</v>
      </c>
      <c r="B499" t="s">
        <v>116</v>
      </c>
      <c r="C499" t="s">
        <v>219</v>
      </c>
      <c r="D499" t="s">
        <v>60</v>
      </c>
      <c r="E499">
        <v>2010</v>
      </c>
      <c r="F499" t="s">
        <v>75</v>
      </c>
      <c r="G499" t="s">
        <v>285</v>
      </c>
      <c r="H499" t="s">
        <v>218</v>
      </c>
      <c r="I499" t="s">
        <v>1373</v>
      </c>
      <c r="J499" t="s">
        <v>35</v>
      </c>
      <c r="K499" t="s">
        <v>37</v>
      </c>
      <c r="L499" t="s">
        <v>809</v>
      </c>
      <c r="M499" t="s">
        <v>803</v>
      </c>
      <c r="N499" t="s">
        <v>813</v>
      </c>
      <c r="O499" t="s">
        <v>391</v>
      </c>
      <c r="P499" t="s">
        <v>828</v>
      </c>
    </row>
    <row r="500" spans="1:16" x14ac:dyDescent="0.25">
      <c r="A500" t="s">
        <v>262</v>
      </c>
      <c r="B500" t="s">
        <v>116</v>
      </c>
      <c r="C500" t="s">
        <v>219</v>
      </c>
      <c r="D500" t="s">
        <v>60</v>
      </c>
      <c r="E500">
        <v>2010</v>
      </c>
      <c r="F500" t="s">
        <v>75</v>
      </c>
      <c r="G500" t="s">
        <v>285</v>
      </c>
      <c r="H500" t="s">
        <v>218</v>
      </c>
      <c r="I500" t="s">
        <v>1373</v>
      </c>
      <c r="J500" t="s">
        <v>35</v>
      </c>
      <c r="K500" t="s">
        <v>37</v>
      </c>
      <c r="L500" t="s">
        <v>809</v>
      </c>
      <c r="M500" t="s">
        <v>90</v>
      </c>
      <c r="N500" t="s">
        <v>813</v>
      </c>
      <c r="O500" t="s">
        <v>391</v>
      </c>
      <c r="P500" t="s">
        <v>828</v>
      </c>
    </row>
    <row r="501" spans="1:16" x14ac:dyDescent="0.25">
      <c r="A501" t="s">
        <v>319</v>
      </c>
      <c r="B501" t="s">
        <v>116</v>
      </c>
      <c r="C501" t="s">
        <v>220</v>
      </c>
      <c r="D501" t="s">
        <v>60</v>
      </c>
      <c r="E501">
        <v>2022</v>
      </c>
      <c r="F501" t="s">
        <v>75</v>
      </c>
      <c r="G501" t="s">
        <v>381</v>
      </c>
      <c r="H501" t="s">
        <v>218</v>
      </c>
      <c r="I501" t="s">
        <v>1373</v>
      </c>
      <c r="J501" t="s">
        <v>35</v>
      </c>
      <c r="K501" t="s">
        <v>37</v>
      </c>
      <c r="L501" t="s">
        <v>809</v>
      </c>
      <c r="M501" t="s">
        <v>36</v>
      </c>
      <c r="N501" t="s">
        <v>814</v>
      </c>
      <c r="O501" t="s">
        <v>392</v>
      </c>
      <c r="P501" t="s">
        <v>825</v>
      </c>
    </row>
    <row r="502" spans="1:16" x14ac:dyDescent="0.25">
      <c r="A502" t="s">
        <v>319</v>
      </c>
      <c r="B502" t="s">
        <v>116</v>
      </c>
      <c r="C502" t="s">
        <v>220</v>
      </c>
      <c r="D502" t="s">
        <v>60</v>
      </c>
      <c r="E502">
        <v>2022</v>
      </c>
      <c r="F502" t="s">
        <v>75</v>
      </c>
      <c r="G502" t="s">
        <v>381</v>
      </c>
      <c r="H502" t="s">
        <v>218</v>
      </c>
      <c r="I502" t="s">
        <v>1373</v>
      </c>
      <c r="J502" t="s">
        <v>35</v>
      </c>
      <c r="K502" t="s">
        <v>37</v>
      </c>
      <c r="L502" t="s">
        <v>809</v>
      </c>
      <c r="M502" t="s">
        <v>90</v>
      </c>
      <c r="N502" t="s">
        <v>814</v>
      </c>
      <c r="O502" t="s">
        <v>392</v>
      </c>
      <c r="P502" t="s">
        <v>825</v>
      </c>
    </row>
    <row r="503" spans="1:16" x14ac:dyDescent="0.25">
      <c r="A503" t="s">
        <v>319</v>
      </c>
      <c r="B503" t="s">
        <v>116</v>
      </c>
      <c r="C503" t="s">
        <v>220</v>
      </c>
      <c r="D503" t="s">
        <v>60</v>
      </c>
      <c r="E503">
        <v>2022</v>
      </c>
      <c r="F503" t="s">
        <v>75</v>
      </c>
      <c r="G503" t="s">
        <v>381</v>
      </c>
      <c r="H503" t="s">
        <v>218</v>
      </c>
      <c r="I503" t="s">
        <v>1373</v>
      </c>
      <c r="J503" t="s">
        <v>35</v>
      </c>
      <c r="K503" t="s">
        <v>37</v>
      </c>
      <c r="L503" t="s">
        <v>809</v>
      </c>
      <c r="M503" t="s">
        <v>802</v>
      </c>
      <c r="N503" t="s">
        <v>814</v>
      </c>
      <c r="O503" t="s">
        <v>392</v>
      </c>
      <c r="P503" t="s">
        <v>825</v>
      </c>
    </row>
    <row r="504" spans="1:16" x14ac:dyDescent="0.25">
      <c r="A504" t="s">
        <v>263</v>
      </c>
      <c r="B504" t="s">
        <v>116</v>
      </c>
      <c r="C504" t="s">
        <v>221</v>
      </c>
      <c r="D504" t="s">
        <v>60</v>
      </c>
      <c r="E504">
        <v>2015</v>
      </c>
      <c r="F504" t="s">
        <v>75</v>
      </c>
      <c r="G504" t="s">
        <v>382</v>
      </c>
      <c r="H504" t="s">
        <v>218</v>
      </c>
      <c r="I504" t="s">
        <v>1373</v>
      </c>
      <c r="J504" t="s">
        <v>35</v>
      </c>
      <c r="K504" t="s">
        <v>37</v>
      </c>
      <c r="L504" t="s">
        <v>809</v>
      </c>
      <c r="M504" t="s">
        <v>802</v>
      </c>
      <c r="N504" t="s">
        <v>815</v>
      </c>
      <c r="O504" t="s">
        <v>403</v>
      </c>
      <c r="P504" t="s">
        <v>823</v>
      </c>
    </row>
    <row r="505" spans="1:16" x14ac:dyDescent="0.25">
      <c r="A505" t="s">
        <v>263</v>
      </c>
      <c r="B505" t="s">
        <v>116</v>
      </c>
      <c r="C505" t="s">
        <v>221</v>
      </c>
      <c r="D505" t="s">
        <v>60</v>
      </c>
      <c r="E505">
        <v>2015</v>
      </c>
      <c r="F505" t="s">
        <v>75</v>
      </c>
      <c r="G505" t="s">
        <v>382</v>
      </c>
      <c r="H505" t="s">
        <v>218</v>
      </c>
      <c r="I505" t="s">
        <v>1373</v>
      </c>
      <c r="J505" t="s">
        <v>35</v>
      </c>
      <c r="K505" t="s">
        <v>37</v>
      </c>
      <c r="L505" t="s">
        <v>809</v>
      </c>
      <c r="M505" t="s">
        <v>803</v>
      </c>
      <c r="N505" t="s">
        <v>815</v>
      </c>
      <c r="O505" t="s">
        <v>403</v>
      </c>
      <c r="P505" t="s">
        <v>823</v>
      </c>
    </row>
    <row r="506" spans="1:16" x14ac:dyDescent="0.25">
      <c r="A506" t="s">
        <v>263</v>
      </c>
      <c r="B506" t="s">
        <v>116</v>
      </c>
      <c r="C506" t="s">
        <v>221</v>
      </c>
      <c r="D506" t="s">
        <v>60</v>
      </c>
      <c r="E506">
        <v>2015</v>
      </c>
      <c r="F506" t="s">
        <v>75</v>
      </c>
      <c r="G506" t="s">
        <v>382</v>
      </c>
      <c r="H506" t="s">
        <v>218</v>
      </c>
      <c r="I506" t="s">
        <v>1373</v>
      </c>
      <c r="J506" t="s">
        <v>35</v>
      </c>
      <c r="K506" t="s">
        <v>37</v>
      </c>
      <c r="L506" t="s">
        <v>809</v>
      </c>
      <c r="M506" t="s">
        <v>804</v>
      </c>
      <c r="N506" t="s">
        <v>815</v>
      </c>
      <c r="O506" t="s">
        <v>403</v>
      </c>
      <c r="P506" t="s">
        <v>823</v>
      </c>
    </row>
    <row r="507" spans="1:16" x14ac:dyDescent="0.25">
      <c r="A507" t="s">
        <v>264</v>
      </c>
      <c r="B507" t="s">
        <v>116</v>
      </c>
      <c r="C507" t="s">
        <v>224</v>
      </c>
      <c r="D507" t="s">
        <v>8</v>
      </c>
      <c r="E507">
        <v>2018</v>
      </c>
      <c r="F507" t="s">
        <v>159</v>
      </c>
      <c r="G507" t="s">
        <v>383</v>
      </c>
      <c r="H507" t="s">
        <v>354</v>
      </c>
      <c r="I507" t="s">
        <v>286</v>
      </c>
      <c r="J507" t="s">
        <v>35</v>
      </c>
      <c r="K507" t="s">
        <v>37</v>
      </c>
      <c r="L507" t="s">
        <v>809</v>
      </c>
      <c r="M507" t="s">
        <v>803</v>
      </c>
      <c r="N507" t="s">
        <v>815</v>
      </c>
      <c r="O507" t="s">
        <v>403</v>
      </c>
      <c r="P507" t="s">
        <v>823</v>
      </c>
    </row>
    <row r="508" spans="1:16" x14ac:dyDescent="0.25">
      <c r="A508" t="s">
        <v>345</v>
      </c>
      <c r="B508" t="s">
        <v>116</v>
      </c>
      <c r="C508" t="s">
        <v>225</v>
      </c>
      <c r="D508" t="s">
        <v>8</v>
      </c>
      <c r="E508">
        <v>2010</v>
      </c>
      <c r="F508" t="s">
        <v>161</v>
      </c>
      <c r="G508" t="s">
        <v>384</v>
      </c>
      <c r="H508" t="s">
        <v>354</v>
      </c>
      <c r="I508" t="s">
        <v>287</v>
      </c>
      <c r="J508" t="s">
        <v>35</v>
      </c>
      <c r="K508" t="s">
        <v>37</v>
      </c>
      <c r="L508" t="s">
        <v>809</v>
      </c>
      <c r="M508" t="s">
        <v>803</v>
      </c>
      <c r="N508" t="s">
        <v>815</v>
      </c>
      <c r="O508" t="s">
        <v>403</v>
      </c>
      <c r="P508" t="s">
        <v>823</v>
      </c>
    </row>
    <row r="509" spans="1:16" x14ac:dyDescent="0.25">
      <c r="A509" t="s">
        <v>346</v>
      </c>
      <c r="B509" t="s">
        <v>116</v>
      </c>
      <c r="C509" t="s">
        <v>234</v>
      </c>
      <c r="D509" t="s">
        <v>8</v>
      </c>
      <c r="E509">
        <v>2020</v>
      </c>
      <c r="F509" t="s">
        <v>411</v>
      </c>
      <c r="G509" t="s">
        <v>288</v>
      </c>
      <c r="H509" t="s">
        <v>354</v>
      </c>
      <c r="I509" t="s">
        <v>543</v>
      </c>
      <c r="J509" t="s">
        <v>35</v>
      </c>
      <c r="K509" t="s">
        <v>37</v>
      </c>
      <c r="L509" t="s">
        <v>809</v>
      </c>
      <c r="M509" t="s">
        <v>803</v>
      </c>
      <c r="N509" t="s">
        <v>815</v>
      </c>
      <c r="O509" t="s">
        <v>403</v>
      </c>
      <c r="P509" t="s">
        <v>823</v>
      </c>
    </row>
    <row r="510" spans="1:16" x14ac:dyDescent="0.25">
      <c r="A510" t="s">
        <v>346</v>
      </c>
      <c r="B510" t="s">
        <v>116</v>
      </c>
      <c r="C510" t="s">
        <v>234</v>
      </c>
      <c r="D510" t="s">
        <v>8</v>
      </c>
      <c r="E510">
        <v>2020</v>
      </c>
      <c r="F510" t="s">
        <v>411</v>
      </c>
      <c r="G510" t="s">
        <v>288</v>
      </c>
      <c r="H510" t="s">
        <v>354</v>
      </c>
      <c r="I510" t="s">
        <v>543</v>
      </c>
      <c r="J510" t="s">
        <v>35</v>
      </c>
      <c r="K510" t="s">
        <v>37</v>
      </c>
      <c r="L510" t="s">
        <v>809</v>
      </c>
      <c r="M510" t="s">
        <v>36</v>
      </c>
      <c r="N510" t="s">
        <v>815</v>
      </c>
      <c r="O510" t="s">
        <v>403</v>
      </c>
      <c r="P510" t="s">
        <v>823</v>
      </c>
    </row>
    <row r="511" spans="1:16" x14ac:dyDescent="0.25">
      <c r="A511" t="s">
        <v>347</v>
      </c>
      <c r="B511" t="s">
        <v>116</v>
      </c>
      <c r="C511" t="s">
        <v>229</v>
      </c>
      <c r="D511" t="s">
        <v>8</v>
      </c>
      <c r="E511">
        <v>2020</v>
      </c>
      <c r="F511" t="s">
        <v>75</v>
      </c>
      <c r="G511" t="s">
        <v>305</v>
      </c>
      <c r="H511" t="s">
        <v>354</v>
      </c>
      <c r="I511" t="s">
        <v>239</v>
      </c>
      <c r="J511" t="s">
        <v>321</v>
      </c>
      <c r="K511" t="s">
        <v>37</v>
      </c>
      <c r="L511" t="s">
        <v>5</v>
      </c>
      <c r="M511" t="s">
        <v>36</v>
      </c>
      <c r="N511" t="s">
        <v>817</v>
      </c>
      <c r="O511" t="s">
        <v>394</v>
      </c>
      <c r="P511" t="s">
        <v>829</v>
      </c>
    </row>
    <row r="512" spans="1:16" x14ac:dyDescent="0.25">
      <c r="A512" t="s">
        <v>347</v>
      </c>
      <c r="B512" t="s">
        <v>116</v>
      </c>
      <c r="C512" t="s">
        <v>229</v>
      </c>
      <c r="D512" t="s">
        <v>8</v>
      </c>
      <c r="E512">
        <v>2020</v>
      </c>
      <c r="F512" t="s">
        <v>75</v>
      </c>
      <c r="G512" t="s">
        <v>305</v>
      </c>
      <c r="H512" t="s">
        <v>354</v>
      </c>
      <c r="I512" t="s">
        <v>239</v>
      </c>
      <c r="J512" t="s">
        <v>321</v>
      </c>
      <c r="K512" t="s">
        <v>37</v>
      </c>
      <c r="L512" t="s">
        <v>5</v>
      </c>
      <c r="M512" t="s">
        <v>36</v>
      </c>
      <c r="N512" t="s">
        <v>813</v>
      </c>
      <c r="O512" t="s">
        <v>391</v>
      </c>
      <c r="P512" t="s">
        <v>829</v>
      </c>
    </row>
    <row r="513" spans="1:16" x14ac:dyDescent="0.25">
      <c r="A513" t="s">
        <v>347</v>
      </c>
      <c r="B513" t="s">
        <v>116</v>
      </c>
      <c r="C513" t="s">
        <v>229</v>
      </c>
      <c r="D513" t="s">
        <v>8</v>
      </c>
      <c r="E513">
        <v>2020</v>
      </c>
      <c r="F513" t="s">
        <v>75</v>
      </c>
      <c r="G513" t="s">
        <v>305</v>
      </c>
      <c r="H513" t="s">
        <v>354</v>
      </c>
      <c r="I513" t="s">
        <v>239</v>
      </c>
      <c r="J513" t="s">
        <v>321</v>
      </c>
      <c r="K513" t="s">
        <v>37</v>
      </c>
      <c r="L513" t="s">
        <v>5</v>
      </c>
      <c r="M513" t="s">
        <v>90</v>
      </c>
      <c r="N513" t="s">
        <v>817</v>
      </c>
      <c r="O513" t="s">
        <v>394</v>
      </c>
      <c r="P513" t="s">
        <v>829</v>
      </c>
    </row>
    <row r="514" spans="1:16" x14ac:dyDescent="0.25">
      <c r="A514" t="s">
        <v>347</v>
      </c>
      <c r="B514" t="s">
        <v>116</v>
      </c>
      <c r="C514" t="s">
        <v>229</v>
      </c>
      <c r="D514" t="s">
        <v>8</v>
      </c>
      <c r="E514">
        <v>2020</v>
      </c>
      <c r="F514" t="s">
        <v>75</v>
      </c>
      <c r="G514" t="s">
        <v>305</v>
      </c>
      <c r="H514" t="s">
        <v>354</v>
      </c>
      <c r="I514" t="s">
        <v>239</v>
      </c>
      <c r="J514" t="s">
        <v>321</v>
      </c>
      <c r="K514" t="s">
        <v>37</v>
      </c>
      <c r="L514" t="s">
        <v>5</v>
      </c>
      <c r="M514" t="s">
        <v>90</v>
      </c>
      <c r="N514" t="s">
        <v>813</v>
      </c>
      <c r="O514" t="s">
        <v>391</v>
      </c>
      <c r="P514" t="s">
        <v>829</v>
      </c>
    </row>
    <row r="515" spans="1:16" x14ac:dyDescent="0.25">
      <c r="A515" t="s">
        <v>347</v>
      </c>
      <c r="B515" t="s">
        <v>116</v>
      </c>
      <c r="C515" t="s">
        <v>229</v>
      </c>
      <c r="D515" t="s">
        <v>8</v>
      </c>
      <c r="E515">
        <v>2020</v>
      </c>
      <c r="F515" t="s">
        <v>75</v>
      </c>
      <c r="G515" t="s">
        <v>305</v>
      </c>
      <c r="H515" t="s">
        <v>354</v>
      </c>
      <c r="I515" t="s">
        <v>239</v>
      </c>
      <c r="J515" t="s">
        <v>321</v>
      </c>
      <c r="K515" t="s">
        <v>37</v>
      </c>
      <c r="L515" t="s">
        <v>5</v>
      </c>
      <c r="M515" t="s">
        <v>802</v>
      </c>
      <c r="N515" t="s">
        <v>817</v>
      </c>
      <c r="O515" t="s">
        <v>394</v>
      </c>
      <c r="P515" t="s">
        <v>829</v>
      </c>
    </row>
    <row r="516" spans="1:16" x14ac:dyDescent="0.25">
      <c r="A516" t="s">
        <v>347</v>
      </c>
      <c r="B516" t="s">
        <v>116</v>
      </c>
      <c r="C516" t="s">
        <v>229</v>
      </c>
      <c r="D516" t="s">
        <v>8</v>
      </c>
      <c r="E516">
        <v>2020</v>
      </c>
      <c r="F516" t="s">
        <v>75</v>
      </c>
      <c r="G516" t="s">
        <v>305</v>
      </c>
      <c r="H516" t="s">
        <v>354</v>
      </c>
      <c r="I516" t="s">
        <v>239</v>
      </c>
      <c r="J516" t="s">
        <v>321</v>
      </c>
      <c r="K516" t="s">
        <v>37</v>
      </c>
      <c r="L516" t="s">
        <v>5</v>
      </c>
      <c r="M516" t="s">
        <v>802</v>
      </c>
      <c r="N516" t="s">
        <v>813</v>
      </c>
      <c r="O516" t="s">
        <v>391</v>
      </c>
      <c r="P516" t="s">
        <v>829</v>
      </c>
    </row>
    <row r="517" spans="1:16" x14ac:dyDescent="0.25">
      <c r="A517" t="s">
        <v>349</v>
      </c>
      <c r="B517" t="s">
        <v>116</v>
      </c>
      <c r="C517" t="s">
        <v>242</v>
      </c>
      <c r="D517" t="s">
        <v>8</v>
      </c>
      <c r="E517">
        <v>2015</v>
      </c>
      <c r="F517" t="s">
        <v>195</v>
      </c>
      <c r="G517" t="s">
        <v>405</v>
      </c>
      <c r="H517" t="s">
        <v>354</v>
      </c>
      <c r="I517" t="s">
        <v>243</v>
      </c>
      <c r="J517" t="s">
        <v>35</v>
      </c>
      <c r="K517" t="s">
        <v>37</v>
      </c>
      <c r="L517" t="s">
        <v>809</v>
      </c>
      <c r="M517" t="s">
        <v>803</v>
      </c>
      <c r="N517" t="s">
        <v>811</v>
      </c>
      <c r="O517" t="s">
        <v>389</v>
      </c>
      <c r="P517" t="s">
        <v>830</v>
      </c>
    </row>
    <row r="518" spans="1:16" x14ac:dyDescent="0.25">
      <c r="A518" t="s">
        <v>349</v>
      </c>
      <c r="B518" t="s">
        <v>116</v>
      </c>
      <c r="C518" t="s">
        <v>242</v>
      </c>
      <c r="D518" t="s">
        <v>8</v>
      </c>
      <c r="E518">
        <v>2015</v>
      </c>
      <c r="F518" t="s">
        <v>195</v>
      </c>
      <c r="G518" t="s">
        <v>405</v>
      </c>
      <c r="H518" t="s">
        <v>354</v>
      </c>
      <c r="I518" t="s">
        <v>243</v>
      </c>
      <c r="J518" t="s">
        <v>35</v>
      </c>
      <c r="K518" t="s">
        <v>37</v>
      </c>
      <c r="L518" t="s">
        <v>809</v>
      </c>
      <c r="M518" t="s">
        <v>36</v>
      </c>
      <c r="N518" t="s">
        <v>811</v>
      </c>
      <c r="O518" t="s">
        <v>389</v>
      </c>
      <c r="P518" t="s">
        <v>830</v>
      </c>
    </row>
    <row r="519" spans="1:16" x14ac:dyDescent="0.25">
      <c r="A519" t="s">
        <v>350</v>
      </c>
      <c r="B519" t="s">
        <v>116</v>
      </c>
      <c r="C519" t="s">
        <v>256</v>
      </c>
      <c r="D519" t="s">
        <v>8</v>
      </c>
      <c r="E519">
        <v>2019</v>
      </c>
      <c r="F519" t="s">
        <v>145</v>
      </c>
      <c r="G519" t="s">
        <v>290</v>
      </c>
      <c r="H519" t="s">
        <v>258</v>
      </c>
      <c r="I519" t="s">
        <v>308</v>
      </c>
      <c r="J519" t="s">
        <v>35</v>
      </c>
      <c r="K519" t="s">
        <v>37</v>
      </c>
      <c r="L519" t="s">
        <v>809</v>
      </c>
      <c r="M519" t="s">
        <v>36</v>
      </c>
      <c r="N519" t="s">
        <v>814</v>
      </c>
      <c r="O519" t="s">
        <v>392</v>
      </c>
      <c r="P519" t="s">
        <v>825</v>
      </c>
    </row>
    <row r="520" spans="1:16" x14ac:dyDescent="0.25">
      <c r="A520" t="s">
        <v>350</v>
      </c>
      <c r="B520" t="s">
        <v>116</v>
      </c>
      <c r="C520" t="s">
        <v>256</v>
      </c>
      <c r="D520" t="s">
        <v>8</v>
      </c>
      <c r="E520">
        <v>2019</v>
      </c>
      <c r="F520" t="s">
        <v>145</v>
      </c>
      <c r="G520" t="s">
        <v>290</v>
      </c>
      <c r="H520" t="s">
        <v>258</v>
      </c>
      <c r="I520" t="s">
        <v>308</v>
      </c>
      <c r="J520" t="s">
        <v>35</v>
      </c>
      <c r="K520" t="s">
        <v>37</v>
      </c>
      <c r="L520" t="s">
        <v>809</v>
      </c>
      <c r="M520" t="s">
        <v>90</v>
      </c>
      <c r="N520" t="s">
        <v>814</v>
      </c>
      <c r="O520" t="s">
        <v>392</v>
      </c>
      <c r="P520" t="s">
        <v>825</v>
      </c>
    </row>
    <row r="521" spans="1:16" x14ac:dyDescent="0.25">
      <c r="A521" t="s">
        <v>350</v>
      </c>
      <c r="B521" t="s">
        <v>116</v>
      </c>
      <c r="C521" t="s">
        <v>256</v>
      </c>
      <c r="D521" t="s">
        <v>8</v>
      </c>
      <c r="E521">
        <v>2019</v>
      </c>
      <c r="F521" t="s">
        <v>145</v>
      </c>
      <c r="G521" t="s">
        <v>290</v>
      </c>
      <c r="H521" t="s">
        <v>258</v>
      </c>
      <c r="I521" t="s">
        <v>308</v>
      </c>
      <c r="J521" t="s">
        <v>35</v>
      </c>
      <c r="K521" t="s">
        <v>37</v>
      </c>
      <c r="L521" t="s">
        <v>809</v>
      </c>
      <c r="M521" t="s">
        <v>802</v>
      </c>
      <c r="N521" t="s">
        <v>814</v>
      </c>
      <c r="O521" t="s">
        <v>392</v>
      </c>
      <c r="P521" t="s">
        <v>825</v>
      </c>
    </row>
    <row r="522" spans="1:16" x14ac:dyDescent="0.25">
      <c r="A522" t="s">
        <v>351</v>
      </c>
      <c r="B522" t="s">
        <v>116</v>
      </c>
      <c r="C522" t="s">
        <v>291</v>
      </c>
      <c r="D522" t="s">
        <v>8</v>
      </c>
      <c r="E522">
        <v>2019</v>
      </c>
      <c r="F522" t="s">
        <v>411</v>
      </c>
      <c r="G522" t="s">
        <v>385</v>
      </c>
      <c r="H522" t="s">
        <v>354</v>
      </c>
      <c r="I522" t="s">
        <v>543</v>
      </c>
      <c r="J522" t="s">
        <v>35</v>
      </c>
      <c r="K522" t="s">
        <v>37</v>
      </c>
      <c r="L522" t="s">
        <v>809</v>
      </c>
      <c r="M522" t="s">
        <v>802</v>
      </c>
      <c r="N522" t="s">
        <v>367</v>
      </c>
      <c r="O522" t="s">
        <v>388</v>
      </c>
      <c r="P522" t="s">
        <v>831</v>
      </c>
    </row>
    <row r="523" spans="1:16" x14ac:dyDescent="0.25">
      <c r="A523" t="s">
        <v>351</v>
      </c>
      <c r="B523" t="s">
        <v>116</v>
      </c>
      <c r="C523" t="s">
        <v>291</v>
      </c>
      <c r="D523" t="s">
        <v>8</v>
      </c>
      <c r="E523">
        <v>2019</v>
      </c>
      <c r="F523" t="s">
        <v>411</v>
      </c>
      <c r="G523" t="s">
        <v>385</v>
      </c>
      <c r="H523" t="s">
        <v>354</v>
      </c>
      <c r="I523" t="s">
        <v>543</v>
      </c>
      <c r="J523" t="s">
        <v>35</v>
      </c>
      <c r="K523" t="s">
        <v>37</v>
      </c>
      <c r="L523" t="s">
        <v>809</v>
      </c>
      <c r="M523" t="s">
        <v>802</v>
      </c>
      <c r="N523" t="s">
        <v>813</v>
      </c>
      <c r="O523" t="s">
        <v>391</v>
      </c>
      <c r="P523" t="s">
        <v>831</v>
      </c>
    </row>
    <row r="524" spans="1:16" x14ac:dyDescent="0.25">
      <c r="A524" t="s">
        <v>320</v>
      </c>
      <c r="B524" t="s">
        <v>116</v>
      </c>
      <c r="C524" t="s">
        <v>293</v>
      </c>
      <c r="D524" t="s">
        <v>8</v>
      </c>
      <c r="E524">
        <v>2020</v>
      </c>
      <c r="F524" t="s">
        <v>411</v>
      </c>
      <c r="G524" t="s">
        <v>435</v>
      </c>
      <c r="H524" t="s">
        <v>354</v>
      </c>
      <c r="I524" t="s">
        <v>543</v>
      </c>
      <c r="J524" t="s">
        <v>35</v>
      </c>
      <c r="K524" t="s">
        <v>37</v>
      </c>
      <c r="L524" t="s">
        <v>809</v>
      </c>
      <c r="M524" t="s">
        <v>802</v>
      </c>
      <c r="N524" t="s">
        <v>813</v>
      </c>
      <c r="O524" t="s">
        <v>391</v>
      </c>
      <c r="P524" t="s">
        <v>832</v>
      </c>
    </row>
    <row r="525" spans="1:16" x14ac:dyDescent="0.25">
      <c r="A525" t="s">
        <v>320</v>
      </c>
      <c r="B525" t="s">
        <v>116</v>
      </c>
      <c r="C525" t="s">
        <v>293</v>
      </c>
      <c r="D525" t="s">
        <v>8</v>
      </c>
      <c r="E525">
        <v>2020</v>
      </c>
      <c r="F525" t="s">
        <v>411</v>
      </c>
      <c r="G525" t="s">
        <v>435</v>
      </c>
      <c r="H525" t="s">
        <v>354</v>
      </c>
      <c r="I525" t="s">
        <v>543</v>
      </c>
      <c r="J525" t="s">
        <v>35</v>
      </c>
      <c r="K525" t="s">
        <v>37</v>
      </c>
      <c r="L525" t="s">
        <v>809</v>
      </c>
      <c r="M525" t="s">
        <v>802</v>
      </c>
      <c r="N525" t="s">
        <v>367</v>
      </c>
      <c r="O525" t="s">
        <v>388</v>
      </c>
      <c r="P525" t="s">
        <v>832</v>
      </c>
    </row>
    <row r="526" spans="1:16" x14ac:dyDescent="0.25">
      <c r="A526" t="s">
        <v>265</v>
      </c>
      <c r="B526" t="s">
        <v>116</v>
      </c>
      <c r="C526" t="s">
        <v>295</v>
      </c>
      <c r="D526" t="s">
        <v>60</v>
      </c>
      <c r="E526">
        <v>2022</v>
      </c>
      <c r="F526" t="s">
        <v>143</v>
      </c>
      <c r="G526" t="s">
        <v>424</v>
      </c>
      <c r="H526" t="s">
        <v>354</v>
      </c>
      <c r="I526" t="s">
        <v>296</v>
      </c>
      <c r="J526" t="s">
        <v>35</v>
      </c>
      <c r="K526" t="s">
        <v>37</v>
      </c>
      <c r="L526" t="s">
        <v>809</v>
      </c>
      <c r="M526" t="s">
        <v>803</v>
      </c>
      <c r="N526" t="s">
        <v>816</v>
      </c>
      <c r="O526" t="s">
        <v>404</v>
      </c>
      <c r="P526" t="s">
        <v>824</v>
      </c>
    </row>
    <row r="527" spans="1:16" x14ac:dyDescent="0.25">
      <c r="A527" t="s">
        <v>352</v>
      </c>
      <c r="B527" t="s">
        <v>116</v>
      </c>
      <c r="C527" t="s">
        <v>226</v>
      </c>
      <c r="D527" t="s">
        <v>8</v>
      </c>
      <c r="E527">
        <v>2022</v>
      </c>
      <c r="F527" t="s">
        <v>186</v>
      </c>
      <c r="G527" t="s">
        <v>425</v>
      </c>
      <c r="H527" t="s">
        <v>354</v>
      </c>
      <c r="I527" t="s">
        <v>1373</v>
      </c>
      <c r="J527" t="s">
        <v>35</v>
      </c>
      <c r="K527" t="s">
        <v>37</v>
      </c>
      <c r="L527" t="s">
        <v>809</v>
      </c>
      <c r="M527" t="s">
        <v>803</v>
      </c>
      <c r="N527" t="s">
        <v>815</v>
      </c>
      <c r="O527" t="s">
        <v>403</v>
      </c>
      <c r="P527" t="s">
        <v>823</v>
      </c>
    </row>
    <row r="528" spans="1:16" x14ac:dyDescent="0.25">
      <c r="A528" t="s">
        <v>266</v>
      </c>
      <c r="B528" t="s">
        <v>116</v>
      </c>
      <c r="C528" t="s">
        <v>223</v>
      </c>
      <c r="D528" t="s">
        <v>60</v>
      </c>
      <c r="E528">
        <v>2022</v>
      </c>
      <c r="F528" t="s">
        <v>159</v>
      </c>
      <c r="G528" t="s">
        <v>550</v>
      </c>
      <c r="H528" t="s">
        <v>354</v>
      </c>
      <c r="I528" t="s">
        <v>1373</v>
      </c>
      <c r="J528" t="s">
        <v>35</v>
      </c>
      <c r="K528" t="s">
        <v>37</v>
      </c>
      <c r="L528" t="s">
        <v>809</v>
      </c>
      <c r="M528" t="s">
        <v>36</v>
      </c>
      <c r="N528" t="s">
        <v>814</v>
      </c>
      <c r="O528" t="s">
        <v>392</v>
      </c>
      <c r="P528" t="s">
        <v>825</v>
      </c>
    </row>
    <row r="529" spans="1:16" x14ac:dyDescent="0.25">
      <c r="A529" t="s">
        <v>266</v>
      </c>
      <c r="B529" t="s">
        <v>116</v>
      </c>
      <c r="C529" t="s">
        <v>223</v>
      </c>
      <c r="D529" t="s">
        <v>60</v>
      </c>
      <c r="E529">
        <v>2022</v>
      </c>
      <c r="F529" t="s">
        <v>159</v>
      </c>
      <c r="G529" t="s">
        <v>550</v>
      </c>
      <c r="H529" t="s">
        <v>354</v>
      </c>
      <c r="I529" t="s">
        <v>1373</v>
      </c>
      <c r="J529" t="s">
        <v>35</v>
      </c>
      <c r="K529" t="s">
        <v>37</v>
      </c>
      <c r="L529" t="s">
        <v>809</v>
      </c>
      <c r="M529" t="s">
        <v>90</v>
      </c>
      <c r="N529" t="s">
        <v>814</v>
      </c>
      <c r="O529" t="s">
        <v>392</v>
      </c>
      <c r="P529" t="s">
        <v>825</v>
      </c>
    </row>
    <row r="530" spans="1:16" x14ac:dyDescent="0.25">
      <c r="A530" t="s">
        <v>266</v>
      </c>
      <c r="B530" t="s">
        <v>116</v>
      </c>
      <c r="C530" t="s">
        <v>223</v>
      </c>
      <c r="D530" t="s">
        <v>60</v>
      </c>
      <c r="E530">
        <v>2022</v>
      </c>
      <c r="F530" t="s">
        <v>159</v>
      </c>
      <c r="G530" t="s">
        <v>550</v>
      </c>
      <c r="H530" t="s">
        <v>354</v>
      </c>
      <c r="I530" t="s">
        <v>1373</v>
      </c>
      <c r="J530" t="s">
        <v>35</v>
      </c>
      <c r="K530" t="s">
        <v>37</v>
      </c>
      <c r="L530" t="s">
        <v>809</v>
      </c>
      <c r="M530" t="s">
        <v>802</v>
      </c>
      <c r="N530" t="s">
        <v>814</v>
      </c>
      <c r="O530" t="s">
        <v>392</v>
      </c>
      <c r="P530" t="s">
        <v>825</v>
      </c>
    </row>
    <row r="531" spans="1:16" x14ac:dyDescent="0.25">
      <c r="A531" t="s">
        <v>1199</v>
      </c>
      <c r="B531" t="s">
        <v>116</v>
      </c>
      <c r="C531" t="s">
        <v>302</v>
      </c>
      <c r="D531" t="s">
        <v>8</v>
      </c>
      <c r="E531">
        <v>2017</v>
      </c>
      <c r="F531" t="s">
        <v>75</v>
      </c>
      <c r="G531" t="s">
        <v>436</v>
      </c>
      <c r="H531" t="s">
        <v>354</v>
      </c>
      <c r="I531" t="s">
        <v>222</v>
      </c>
      <c r="J531" t="s">
        <v>321</v>
      </c>
      <c r="K531" t="s">
        <v>37</v>
      </c>
      <c r="L531" t="s">
        <v>204</v>
      </c>
      <c r="M531" t="s">
        <v>90</v>
      </c>
      <c r="N531" t="s">
        <v>368</v>
      </c>
      <c r="O531" t="s">
        <v>390</v>
      </c>
      <c r="P531" t="s">
        <v>372</v>
      </c>
    </row>
    <row r="532" spans="1:16" x14ac:dyDescent="0.25">
      <c r="A532" t="s">
        <v>1199</v>
      </c>
      <c r="B532" t="s">
        <v>116</v>
      </c>
      <c r="C532" t="s">
        <v>302</v>
      </c>
      <c r="D532" t="s">
        <v>8</v>
      </c>
      <c r="E532">
        <v>2017</v>
      </c>
      <c r="F532" t="s">
        <v>75</v>
      </c>
      <c r="G532" t="s">
        <v>436</v>
      </c>
      <c r="H532" t="s">
        <v>354</v>
      </c>
      <c r="I532" t="s">
        <v>222</v>
      </c>
      <c r="J532" t="s">
        <v>321</v>
      </c>
      <c r="K532" t="s">
        <v>37</v>
      </c>
      <c r="L532" t="s">
        <v>204</v>
      </c>
      <c r="M532" t="s">
        <v>36</v>
      </c>
      <c r="N532" t="s">
        <v>368</v>
      </c>
      <c r="O532" t="s">
        <v>390</v>
      </c>
      <c r="P532" t="s">
        <v>372</v>
      </c>
    </row>
    <row r="533" spans="1:16" x14ac:dyDescent="0.25">
      <c r="A533" t="s">
        <v>461</v>
      </c>
      <c r="B533" t="s">
        <v>116</v>
      </c>
      <c r="C533" t="s">
        <v>227</v>
      </c>
      <c r="D533" t="s">
        <v>8</v>
      </c>
      <c r="E533">
        <v>2021</v>
      </c>
      <c r="F533" t="s">
        <v>188</v>
      </c>
      <c r="G533" t="s">
        <v>438</v>
      </c>
      <c r="H533" t="s">
        <v>354</v>
      </c>
      <c r="I533" t="s">
        <v>1373</v>
      </c>
      <c r="J533" t="s">
        <v>35</v>
      </c>
      <c r="K533" t="s">
        <v>37</v>
      </c>
      <c r="L533" t="s">
        <v>204</v>
      </c>
      <c r="M533" t="s">
        <v>36</v>
      </c>
      <c r="N533" t="s">
        <v>814</v>
      </c>
      <c r="O533" t="s">
        <v>392</v>
      </c>
      <c r="P533" t="s">
        <v>825</v>
      </c>
    </row>
    <row r="534" spans="1:16" x14ac:dyDescent="0.25">
      <c r="A534" t="s">
        <v>461</v>
      </c>
      <c r="B534" t="s">
        <v>116</v>
      </c>
      <c r="C534" t="s">
        <v>227</v>
      </c>
      <c r="D534" t="s">
        <v>8</v>
      </c>
      <c r="E534">
        <v>2021</v>
      </c>
      <c r="F534" t="s">
        <v>188</v>
      </c>
      <c r="G534" t="s">
        <v>438</v>
      </c>
      <c r="H534" t="s">
        <v>354</v>
      </c>
      <c r="I534" t="s">
        <v>1373</v>
      </c>
      <c r="J534" t="s">
        <v>35</v>
      </c>
      <c r="K534" t="s">
        <v>37</v>
      </c>
      <c r="L534" t="s">
        <v>204</v>
      </c>
      <c r="M534" t="s">
        <v>90</v>
      </c>
      <c r="N534" t="s">
        <v>814</v>
      </c>
      <c r="O534" t="s">
        <v>392</v>
      </c>
      <c r="P534" t="s">
        <v>825</v>
      </c>
    </row>
    <row r="535" spans="1:16" x14ac:dyDescent="0.25">
      <c r="A535" t="s">
        <v>461</v>
      </c>
      <c r="B535" t="s">
        <v>116</v>
      </c>
      <c r="C535" t="s">
        <v>227</v>
      </c>
      <c r="D535" t="s">
        <v>8</v>
      </c>
      <c r="E535">
        <v>2021</v>
      </c>
      <c r="F535" t="s">
        <v>188</v>
      </c>
      <c r="G535" t="s">
        <v>438</v>
      </c>
      <c r="H535" t="s">
        <v>354</v>
      </c>
      <c r="I535" t="s">
        <v>1373</v>
      </c>
      <c r="J535" t="s">
        <v>35</v>
      </c>
      <c r="K535" t="s">
        <v>37</v>
      </c>
      <c r="L535" t="s">
        <v>204</v>
      </c>
      <c r="M535" t="s">
        <v>802</v>
      </c>
      <c r="N535" t="s">
        <v>814</v>
      </c>
      <c r="O535" t="s">
        <v>392</v>
      </c>
      <c r="P535" t="s">
        <v>825</v>
      </c>
    </row>
    <row r="536" spans="1:16" x14ac:dyDescent="0.25">
      <c r="A536" t="s">
        <v>462</v>
      </c>
      <c r="B536" t="s">
        <v>116</v>
      </c>
      <c r="C536" t="s">
        <v>440</v>
      </c>
      <c r="D536" t="s">
        <v>8</v>
      </c>
      <c r="E536">
        <v>2020</v>
      </c>
      <c r="F536" t="s">
        <v>411</v>
      </c>
      <c r="G536" t="s">
        <v>441</v>
      </c>
      <c r="H536" t="s">
        <v>543</v>
      </c>
      <c r="I536" t="s">
        <v>442</v>
      </c>
      <c r="J536" t="s">
        <v>35</v>
      </c>
      <c r="K536" t="s">
        <v>37</v>
      </c>
      <c r="L536" t="s">
        <v>809</v>
      </c>
      <c r="M536" t="s">
        <v>36</v>
      </c>
      <c r="N536" t="s">
        <v>367</v>
      </c>
      <c r="O536" t="s">
        <v>388</v>
      </c>
      <c r="P536" t="s">
        <v>833</v>
      </c>
    </row>
    <row r="537" spans="1:16" x14ac:dyDescent="0.25">
      <c r="A537" t="s">
        <v>462</v>
      </c>
      <c r="B537" t="s">
        <v>116</v>
      </c>
      <c r="C537" t="s">
        <v>440</v>
      </c>
      <c r="D537" t="s">
        <v>8</v>
      </c>
      <c r="E537">
        <v>2020</v>
      </c>
      <c r="F537" t="s">
        <v>411</v>
      </c>
      <c r="G537" t="s">
        <v>441</v>
      </c>
      <c r="H537" t="s">
        <v>543</v>
      </c>
      <c r="I537" t="s">
        <v>442</v>
      </c>
      <c r="J537" t="s">
        <v>35</v>
      </c>
      <c r="K537" t="s">
        <v>37</v>
      </c>
      <c r="L537" t="s">
        <v>809</v>
      </c>
      <c r="M537" t="s">
        <v>36</v>
      </c>
      <c r="N537" t="s">
        <v>815</v>
      </c>
      <c r="O537" t="s">
        <v>403</v>
      </c>
      <c r="P537" t="s">
        <v>833</v>
      </c>
    </row>
    <row r="538" spans="1:16" x14ac:dyDescent="0.25">
      <c r="A538" t="s">
        <v>462</v>
      </c>
      <c r="B538" t="s">
        <v>116</v>
      </c>
      <c r="C538" t="s">
        <v>440</v>
      </c>
      <c r="D538" t="s">
        <v>8</v>
      </c>
      <c r="E538">
        <v>2020</v>
      </c>
      <c r="F538" t="s">
        <v>411</v>
      </c>
      <c r="G538" t="s">
        <v>441</v>
      </c>
      <c r="H538" t="s">
        <v>543</v>
      </c>
      <c r="I538" t="s">
        <v>442</v>
      </c>
      <c r="J538" t="s">
        <v>35</v>
      </c>
      <c r="K538" t="s">
        <v>37</v>
      </c>
      <c r="L538" t="s">
        <v>809</v>
      </c>
      <c r="M538" t="s">
        <v>803</v>
      </c>
      <c r="N538" t="s">
        <v>367</v>
      </c>
      <c r="O538" t="s">
        <v>388</v>
      </c>
      <c r="P538" t="s">
        <v>833</v>
      </c>
    </row>
    <row r="539" spans="1:16" x14ac:dyDescent="0.25">
      <c r="A539" t="s">
        <v>462</v>
      </c>
      <c r="B539" t="s">
        <v>116</v>
      </c>
      <c r="C539" t="s">
        <v>440</v>
      </c>
      <c r="D539" t="s">
        <v>8</v>
      </c>
      <c r="E539">
        <v>2020</v>
      </c>
      <c r="F539" t="s">
        <v>411</v>
      </c>
      <c r="G539" t="s">
        <v>441</v>
      </c>
      <c r="H539" t="s">
        <v>543</v>
      </c>
      <c r="I539" t="s">
        <v>442</v>
      </c>
      <c r="J539" t="s">
        <v>35</v>
      </c>
      <c r="K539" t="s">
        <v>37</v>
      </c>
      <c r="L539" t="s">
        <v>809</v>
      </c>
      <c r="M539" t="s">
        <v>803</v>
      </c>
      <c r="N539" t="s">
        <v>815</v>
      </c>
      <c r="O539" t="s">
        <v>403</v>
      </c>
      <c r="P539" t="s">
        <v>833</v>
      </c>
    </row>
    <row r="540" spans="1:16" x14ac:dyDescent="0.25">
      <c r="A540" t="s">
        <v>462</v>
      </c>
      <c r="B540" t="s">
        <v>116</v>
      </c>
      <c r="C540" t="s">
        <v>440</v>
      </c>
      <c r="D540" t="s">
        <v>8</v>
      </c>
      <c r="E540">
        <v>2020</v>
      </c>
      <c r="F540" t="s">
        <v>411</v>
      </c>
      <c r="G540" t="s">
        <v>441</v>
      </c>
      <c r="H540" t="s">
        <v>543</v>
      </c>
      <c r="I540" t="s">
        <v>442</v>
      </c>
      <c r="J540" t="s">
        <v>35</v>
      </c>
      <c r="K540" t="s">
        <v>37</v>
      </c>
      <c r="L540" t="s">
        <v>809</v>
      </c>
      <c r="M540" t="s">
        <v>90</v>
      </c>
      <c r="N540" t="s">
        <v>367</v>
      </c>
      <c r="O540" t="s">
        <v>388</v>
      </c>
      <c r="P540" t="s">
        <v>833</v>
      </c>
    </row>
    <row r="541" spans="1:16" x14ac:dyDescent="0.25">
      <c r="A541" t="s">
        <v>462</v>
      </c>
      <c r="B541" t="s">
        <v>116</v>
      </c>
      <c r="C541" t="s">
        <v>440</v>
      </c>
      <c r="D541" t="s">
        <v>8</v>
      </c>
      <c r="E541">
        <v>2020</v>
      </c>
      <c r="F541" t="s">
        <v>411</v>
      </c>
      <c r="G541" t="s">
        <v>441</v>
      </c>
      <c r="H541" t="s">
        <v>543</v>
      </c>
      <c r="I541" t="s">
        <v>442</v>
      </c>
      <c r="J541" t="s">
        <v>35</v>
      </c>
      <c r="K541" t="s">
        <v>37</v>
      </c>
      <c r="L541" t="s">
        <v>809</v>
      </c>
      <c r="M541" t="s">
        <v>90</v>
      </c>
      <c r="N541" t="s">
        <v>815</v>
      </c>
      <c r="O541" t="s">
        <v>403</v>
      </c>
      <c r="P541" t="s">
        <v>833</v>
      </c>
    </row>
    <row r="542" spans="1:16" x14ac:dyDescent="0.25">
      <c r="A542" t="s">
        <v>462</v>
      </c>
      <c r="B542" t="s">
        <v>116</v>
      </c>
      <c r="C542" t="s">
        <v>440</v>
      </c>
      <c r="D542" t="s">
        <v>8</v>
      </c>
      <c r="E542">
        <v>2020</v>
      </c>
      <c r="F542" t="s">
        <v>411</v>
      </c>
      <c r="G542" t="s">
        <v>441</v>
      </c>
      <c r="H542" t="s">
        <v>543</v>
      </c>
      <c r="I542" t="s">
        <v>442</v>
      </c>
      <c r="J542" t="s">
        <v>35</v>
      </c>
      <c r="K542" t="s">
        <v>37</v>
      </c>
      <c r="L542" t="s">
        <v>809</v>
      </c>
      <c r="M542" t="s">
        <v>802</v>
      </c>
      <c r="N542" t="s">
        <v>367</v>
      </c>
      <c r="O542" t="s">
        <v>388</v>
      </c>
      <c r="P542" t="s">
        <v>833</v>
      </c>
    </row>
    <row r="543" spans="1:16" x14ac:dyDescent="0.25">
      <c r="A543" t="s">
        <v>462</v>
      </c>
      <c r="B543" t="s">
        <v>116</v>
      </c>
      <c r="C543" t="s">
        <v>440</v>
      </c>
      <c r="D543" t="s">
        <v>8</v>
      </c>
      <c r="E543">
        <v>2020</v>
      </c>
      <c r="F543" t="s">
        <v>411</v>
      </c>
      <c r="G543" t="s">
        <v>441</v>
      </c>
      <c r="H543" t="s">
        <v>543</v>
      </c>
      <c r="I543" t="s">
        <v>442</v>
      </c>
      <c r="J543" t="s">
        <v>35</v>
      </c>
      <c r="K543" t="s">
        <v>37</v>
      </c>
      <c r="L543" t="s">
        <v>809</v>
      </c>
      <c r="M543" t="s">
        <v>802</v>
      </c>
      <c r="N543" t="s">
        <v>815</v>
      </c>
      <c r="O543" t="s">
        <v>403</v>
      </c>
      <c r="P543" t="s">
        <v>833</v>
      </c>
    </row>
    <row r="544" spans="1:16" x14ac:dyDescent="0.25">
      <c r="A544" t="s">
        <v>463</v>
      </c>
      <c r="B544" t="s">
        <v>116</v>
      </c>
      <c r="C544" t="s">
        <v>554</v>
      </c>
      <c r="D544" t="s">
        <v>8</v>
      </c>
      <c r="E544">
        <v>2021</v>
      </c>
      <c r="F544" t="s">
        <v>139</v>
      </c>
      <c r="G544" t="s">
        <v>443</v>
      </c>
      <c r="H544" t="s">
        <v>354</v>
      </c>
      <c r="I544" t="s">
        <v>1373</v>
      </c>
      <c r="J544" t="s">
        <v>35</v>
      </c>
      <c r="K544" t="s">
        <v>37</v>
      </c>
      <c r="L544" t="s">
        <v>809</v>
      </c>
      <c r="M544" t="s">
        <v>36</v>
      </c>
      <c r="N544" t="s">
        <v>814</v>
      </c>
      <c r="O544" t="s">
        <v>392</v>
      </c>
      <c r="P544" t="s">
        <v>825</v>
      </c>
    </row>
    <row r="545" spans="1:16" x14ac:dyDescent="0.25">
      <c r="A545" t="s">
        <v>463</v>
      </c>
      <c r="B545" t="s">
        <v>116</v>
      </c>
      <c r="C545" t="s">
        <v>554</v>
      </c>
      <c r="D545" t="s">
        <v>8</v>
      </c>
      <c r="E545">
        <v>2021</v>
      </c>
      <c r="F545" t="s">
        <v>139</v>
      </c>
      <c r="G545" t="s">
        <v>443</v>
      </c>
      <c r="H545" t="s">
        <v>354</v>
      </c>
      <c r="I545" t="s">
        <v>1373</v>
      </c>
      <c r="J545" t="s">
        <v>35</v>
      </c>
      <c r="K545" t="s">
        <v>37</v>
      </c>
      <c r="L545" t="s">
        <v>809</v>
      </c>
      <c r="M545" t="s">
        <v>90</v>
      </c>
      <c r="N545" t="s">
        <v>814</v>
      </c>
      <c r="O545" t="s">
        <v>392</v>
      </c>
      <c r="P545" t="s">
        <v>825</v>
      </c>
    </row>
    <row r="546" spans="1:16" x14ac:dyDescent="0.25">
      <c r="A546" t="s">
        <v>463</v>
      </c>
      <c r="B546" t="s">
        <v>116</v>
      </c>
      <c r="C546" t="s">
        <v>554</v>
      </c>
      <c r="D546" t="s">
        <v>8</v>
      </c>
      <c r="E546">
        <v>2021</v>
      </c>
      <c r="F546" t="s">
        <v>139</v>
      </c>
      <c r="G546" t="s">
        <v>443</v>
      </c>
      <c r="H546" t="s">
        <v>354</v>
      </c>
      <c r="I546" t="s">
        <v>1373</v>
      </c>
      <c r="J546" t="s">
        <v>35</v>
      </c>
      <c r="K546" t="s">
        <v>37</v>
      </c>
      <c r="L546" t="s">
        <v>809</v>
      </c>
      <c r="M546" t="s">
        <v>802</v>
      </c>
      <c r="N546" t="s">
        <v>814</v>
      </c>
      <c r="O546" t="s">
        <v>392</v>
      </c>
      <c r="P546" t="s">
        <v>825</v>
      </c>
    </row>
    <row r="547" spans="1:16" x14ac:dyDescent="0.25">
      <c r="A547" t="s">
        <v>464</v>
      </c>
      <c r="B547" t="s">
        <v>116</v>
      </c>
      <c r="C547" t="s">
        <v>444</v>
      </c>
      <c r="D547" t="s">
        <v>8</v>
      </c>
      <c r="E547">
        <v>2022</v>
      </c>
      <c r="F547" t="s">
        <v>141</v>
      </c>
      <c r="G547" t="s">
        <v>445</v>
      </c>
      <c r="H547" t="s">
        <v>354</v>
      </c>
      <c r="I547" t="s">
        <v>309</v>
      </c>
      <c r="J547" t="s">
        <v>35</v>
      </c>
      <c r="K547" t="s">
        <v>37</v>
      </c>
      <c r="L547" t="s">
        <v>204</v>
      </c>
      <c r="M547" t="s">
        <v>36</v>
      </c>
      <c r="N547" t="s">
        <v>814</v>
      </c>
      <c r="O547" t="s">
        <v>392</v>
      </c>
      <c r="P547" t="s">
        <v>825</v>
      </c>
    </row>
    <row r="548" spans="1:16" x14ac:dyDescent="0.25">
      <c r="A548" t="s">
        <v>464</v>
      </c>
      <c r="B548" t="s">
        <v>116</v>
      </c>
      <c r="C548" t="s">
        <v>444</v>
      </c>
      <c r="D548" t="s">
        <v>8</v>
      </c>
      <c r="E548">
        <v>2022</v>
      </c>
      <c r="F548" t="s">
        <v>141</v>
      </c>
      <c r="G548" t="s">
        <v>445</v>
      </c>
      <c r="H548" t="s">
        <v>354</v>
      </c>
      <c r="I548" t="s">
        <v>309</v>
      </c>
      <c r="J548" t="s">
        <v>35</v>
      </c>
      <c r="K548" t="s">
        <v>37</v>
      </c>
      <c r="L548" t="s">
        <v>204</v>
      </c>
      <c r="M548" t="s">
        <v>90</v>
      </c>
      <c r="N548" t="s">
        <v>814</v>
      </c>
      <c r="O548" t="s">
        <v>392</v>
      </c>
      <c r="P548" t="s">
        <v>825</v>
      </c>
    </row>
    <row r="549" spans="1:16" x14ac:dyDescent="0.25">
      <c r="A549" t="s">
        <v>464</v>
      </c>
      <c r="B549" t="s">
        <v>116</v>
      </c>
      <c r="C549" t="s">
        <v>444</v>
      </c>
      <c r="D549" t="s">
        <v>8</v>
      </c>
      <c r="E549">
        <v>2022</v>
      </c>
      <c r="F549" t="s">
        <v>141</v>
      </c>
      <c r="G549" t="s">
        <v>445</v>
      </c>
      <c r="H549" t="s">
        <v>354</v>
      </c>
      <c r="I549" t="s">
        <v>309</v>
      </c>
      <c r="J549" t="s">
        <v>35</v>
      </c>
      <c r="K549" t="s">
        <v>37</v>
      </c>
      <c r="L549" t="s">
        <v>204</v>
      </c>
      <c r="M549" t="s">
        <v>802</v>
      </c>
      <c r="N549" t="s">
        <v>814</v>
      </c>
      <c r="O549" t="s">
        <v>392</v>
      </c>
      <c r="P549" t="s">
        <v>825</v>
      </c>
    </row>
    <row r="550" spans="1:16" x14ac:dyDescent="0.25">
      <c r="A550" t="s">
        <v>464</v>
      </c>
      <c r="B550" t="s">
        <v>116</v>
      </c>
      <c r="C550" t="s">
        <v>444</v>
      </c>
      <c r="D550" t="s">
        <v>8</v>
      </c>
      <c r="E550">
        <v>2022</v>
      </c>
      <c r="F550" t="s">
        <v>141</v>
      </c>
      <c r="G550" t="s">
        <v>445</v>
      </c>
      <c r="H550" t="s">
        <v>354</v>
      </c>
      <c r="I550" t="s">
        <v>309</v>
      </c>
      <c r="J550" t="s">
        <v>35</v>
      </c>
      <c r="K550" t="s">
        <v>37</v>
      </c>
      <c r="L550" t="s">
        <v>204</v>
      </c>
      <c r="M550" t="s">
        <v>803</v>
      </c>
      <c r="N550" t="s">
        <v>814</v>
      </c>
      <c r="O550" t="s">
        <v>392</v>
      </c>
      <c r="P550" t="s">
        <v>825</v>
      </c>
    </row>
    <row r="551" spans="1:16" x14ac:dyDescent="0.25">
      <c r="A551" t="s">
        <v>465</v>
      </c>
      <c r="B551" t="s">
        <v>116</v>
      </c>
      <c r="C551" t="s">
        <v>245</v>
      </c>
      <c r="D551" t="s">
        <v>60</v>
      </c>
      <c r="E551">
        <v>1990</v>
      </c>
      <c r="F551" t="s">
        <v>72</v>
      </c>
      <c r="G551" t="s">
        <v>446</v>
      </c>
      <c r="H551" t="s">
        <v>354</v>
      </c>
      <c r="I551" t="s">
        <v>244</v>
      </c>
      <c r="J551" t="s">
        <v>35</v>
      </c>
      <c r="K551" t="s">
        <v>37</v>
      </c>
      <c r="L551" t="s">
        <v>204</v>
      </c>
      <c r="M551" t="s">
        <v>802</v>
      </c>
      <c r="N551" t="s">
        <v>813</v>
      </c>
      <c r="O551" t="s">
        <v>391</v>
      </c>
      <c r="P551" t="s">
        <v>828</v>
      </c>
    </row>
    <row r="552" spans="1:16" x14ac:dyDescent="0.25">
      <c r="A552" t="s">
        <v>465</v>
      </c>
      <c r="B552" t="s">
        <v>116</v>
      </c>
      <c r="C552" t="s">
        <v>245</v>
      </c>
      <c r="D552" t="s">
        <v>60</v>
      </c>
      <c r="E552">
        <v>1990</v>
      </c>
      <c r="F552" t="s">
        <v>72</v>
      </c>
      <c r="G552" t="s">
        <v>446</v>
      </c>
      <c r="H552" t="s">
        <v>354</v>
      </c>
      <c r="I552" t="s">
        <v>244</v>
      </c>
      <c r="J552" t="s">
        <v>35</v>
      </c>
      <c r="K552" t="s">
        <v>37</v>
      </c>
      <c r="L552" t="s">
        <v>204</v>
      </c>
      <c r="M552" t="s">
        <v>803</v>
      </c>
      <c r="N552" t="s">
        <v>813</v>
      </c>
      <c r="O552" t="s">
        <v>391</v>
      </c>
      <c r="P552" t="s">
        <v>828</v>
      </c>
    </row>
    <row r="553" spans="1:16" x14ac:dyDescent="0.25">
      <c r="A553" t="s">
        <v>466</v>
      </c>
      <c r="B553" t="s">
        <v>116</v>
      </c>
      <c r="C553" t="s">
        <v>246</v>
      </c>
      <c r="D553" t="s">
        <v>60</v>
      </c>
      <c r="E553">
        <v>2017</v>
      </c>
      <c r="F553" t="s">
        <v>192</v>
      </c>
      <c r="G553" t="s">
        <v>447</v>
      </c>
      <c r="H553" t="s">
        <v>247</v>
      </c>
      <c r="I553" t="s">
        <v>1373</v>
      </c>
      <c r="J553" t="s">
        <v>35</v>
      </c>
      <c r="K553" t="s">
        <v>37</v>
      </c>
      <c r="L553" t="s">
        <v>808</v>
      </c>
      <c r="M553" t="s">
        <v>803</v>
      </c>
      <c r="N553" t="s">
        <v>813</v>
      </c>
      <c r="O553" t="s">
        <v>391</v>
      </c>
      <c r="P553" t="s">
        <v>828</v>
      </c>
    </row>
    <row r="554" spans="1:16" x14ac:dyDescent="0.25">
      <c r="A554" t="s">
        <v>466</v>
      </c>
      <c r="B554" t="s">
        <v>116</v>
      </c>
      <c r="C554" t="s">
        <v>246</v>
      </c>
      <c r="D554" t="s">
        <v>60</v>
      </c>
      <c r="E554">
        <v>2017</v>
      </c>
      <c r="F554" t="s">
        <v>192</v>
      </c>
      <c r="G554" t="s">
        <v>447</v>
      </c>
      <c r="H554" t="s">
        <v>247</v>
      </c>
      <c r="I554" t="s">
        <v>1373</v>
      </c>
      <c r="J554" t="s">
        <v>35</v>
      </c>
      <c r="K554" t="s">
        <v>37</v>
      </c>
      <c r="L554" t="s">
        <v>808</v>
      </c>
      <c r="M554" t="s">
        <v>36</v>
      </c>
      <c r="N554" t="s">
        <v>813</v>
      </c>
      <c r="O554" t="s">
        <v>391</v>
      </c>
      <c r="P554" t="s">
        <v>828</v>
      </c>
    </row>
    <row r="555" spans="1:16" x14ac:dyDescent="0.25">
      <c r="A555" t="s">
        <v>467</v>
      </c>
      <c r="B555" t="s">
        <v>116</v>
      </c>
      <c r="C555" t="s">
        <v>248</v>
      </c>
      <c r="D555" t="s">
        <v>60</v>
      </c>
      <c r="E555">
        <v>2005</v>
      </c>
      <c r="F555" t="s">
        <v>192</v>
      </c>
      <c r="G555" t="s">
        <v>448</v>
      </c>
      <c r="H555" t="s">
        <v>249</v>
      </c>
      <c r="I555" t="s">
        <v>1373</v>
      </c>
      <c r="J555" t="s">
        <v>35</v>
      </c>
      <c r="K555" t="s">
        <v>37</v>
      </c>
      <c r="L555" t="s">
        <v>808</v>
      </c>
      <c r="M555" t="s">
        <v>802</v>
      </c>
      <c r="N555" t="s">
        <v>813</v>
      </c>
      <c r="O555" t="s">
        <v>391</v>
      </c>
      <c r="P555" t="s">
        <v>828</v>
      </c>
    </row>
    <row r="556" spans="1:16" x14ac:dyDescent="0.25">
      <c r="A556" t="s">
        <v>467</v>
      </c>
      <c r="B556" t="s">
        <v>116</v>
      </c>
      <c r="C556" t="s">
        <v>248</v>
      </c>
      <c r="D556" t="s">
        <v>60</v>
      </c>
      <c r="E556">
        <v>2005</v>
      </c>
      <c r="F556" t="s">
        <v>192</v>
      </c>
      <c r="G556" t="s">
        <v>448</v>
      </c>
      <c r="H556" t="s">
        <v>249</v>
      </c>
      <c r="I556" t="s">
        <v>1373</v>
      </c>
      <c r="J556" t="s">
        <v>35</v>
      </c>
      <c r="K556" t="s">
        <v>37</v>
      </c>
      <c r="L556" t="s">
        <v>808</v>
      </c>
      <c r="M556" t="s">
        <v>36</v>
      </c>
      <c r="N556" t="s">
        <v>813</v>
      </c>
      <c r="O556" t="s">
        <v>391</v>
      </c>
      <c r="P556" t="s">
        <v>828</v>
      </c>
    </row>
    <row r="557" spans="1:16" x14ac:dyDescent="0.25">
      <c r="A557" t="s">
        <v>467</v>
      </c>
      <c r="B557" t="s">
        <v>116</v>
      </c>
      <c r="C557" t="s">
        <v>248</v>
      </c>
      <c r="D557" t="s">
        <v>60</v>
      </c>
      <c r="E557">
        <v>2005</v>
      </c>
      <c r="F557" t="s">
        <v>192</v>
      </c>
      <c r="G557" t="s">
        <v>448</v>
      </c>
      <c r="H557" t="s">
        <v>249</v>
      </c>
      <c r="I557" t="s">
        <v>1373</v>
      </c>
      <c r="J557" t="s">
        <v>35</v>
      </c>
      <c r="K557" t="s">
        <v>37</v>
      </c>
      <c r="L557" t="s">
        <v>808</v>
      </c>
      <c r="M557" t="s">
        <v>803</v>
      </c>
      <c r="N557" t="s">
        <v>813</v>
      </c>
      <c r="O557" t="s">
        <v>391</v>
      </c>
      <c r="P557" t="s">
        <v>828</v>
      </c>
    </row>
    <row r="558" spans="1:16" x14ac:dyDescent="0.25">
      <c r="A558" t="s">
        <v>468</v>
      </c>
      <c r="B558" t="s">
        <v>116</v>
      </c>
      <c r="C558" t="s">
        <v>250</v>
      </c>
      <c r="D558" t="s">
        <v>60</v>
      </c>
      <c r="E558">
        <v>2006</v>
      </c>
      <c r="F558" t="s">
        <v>145</v>
      </c>
      <c r="G558" t="s">
        <v>449</v>
      </c>
      <c r="H558" t="s">
        <v>251</v>
      </c>
      <c r="I558" t="s">
        <v>1373</v>
      </c>
      <c r="J558" t="s">
        <v>35</v>
      </c>
      <c r="K558" t="s">
        <v>37</v>
      </c>
      <c r="L558" t="s">
        <v>809</v>
      </c>
      <c r="M558" t="s">
        <v>802</v>
      </c>
      <c r="N558" t="s">
        <v>813</v>
      </c>
      <c r="O558" t="s">
        <v>391</v>
      </c>
      <c r="P558" t="s">
        <v>828</v>
      </c>
    </row>
    <row r="559" spans="1:16" x14ac:dyDescent="0.25">
      <c r="A559" t="s">
        <v>468</v>
      </c>
      <c r="B559" t="s">
        <v>116</v>
      </c>
      <c r="C559" t="s">
        <v>250</v>
      </c>
      <c r="D559" t="s">
        <v>60</v>
      </c>
      <c r="E559">
        <v>2006</v>
      </c>
      <c r="F559" t="s">
        <v>145</v>
      </c>
      <c r="G559" t="s">
        <v>449</v>
      </c>
      <c r="H559" t="s">
        <v>251</v>
      </c>
      <c r="I559" t="s">
        <v>1373</v>
      </c>
      <c r="J559" t="s">
        <v>35</v>
      </c>
      <c r="K559" t="s">
        <v>37</v>
      </c>
      <c r="L559" t="s">
        <v>809</v>
      </c>
      <c r="M559" t="s">
        <v>36</v>
      </c>
      <c r="N559" t="s">
        <v>813</v>
      </c>
      <c r="O559" t="s">
        <v>391</v>
      </c>
      <c r="P559" t="s">
        <v>828</v>
      </c>
    </row>
    <row r="560" spans="1:16" x14ac:dyDescent="0.25">
      <c r="A560" t="s">
        <v>468</v>
      </c>
      <c r="B560" t="s">
        <v>116</v>
      </c>
      <c r="C560" t="s">
        <v>250</v>
      </c>
      <c r="D560" t="s">
        <v>60</v>
      </c>
      <c r="E560">
        <v>2006</v>
      </c>
      <c r="F560" t="s">
        <v>145</v>
      </c>
      <c r="G560" t="s">
        <v>449</v>
      </c>
      <c r="H560" t="s">
        <v>251</v>
      </c>
      <c r="I560" t="s">
        <v>1373</v>
      </c>
      <c r="J560" t="s">
        <v>35</v>
      </c>
      <c r="K560" t="s">
        <v>37</v>
      </c>
      <c r="L560" t="s">
        <v>809</v>
      </c>
      <c r="M560" t="s">
        <v>803</v>
      </c>
      <c r="N560" t="s">
        <v>813</v>
      </c>
      <c r="O560" t="s">
        <v>391</v>
      </c>
      <c r="P560" t="s">
        <v>828</v>
      </c>
    </row>
    <row r="561" spans="1:16" x14ac:dyDescent="0.25">
      <c r="A561" t="s">
        <v>470</v>
      </c>
      <c r="B561" t="s">
        <v>116</v>
      </c>
      <c r="C561" t="s">
        <v>253</v>
      </c>
      <c r="D561" t="s">
        <v>354</v>
      </c>
      <c r="E561">
        <v>2016</v>
      </c>
      <c r="F561" t="s">
        <v>186</v>
      </c>
      <c r="G561" t="s">
        <v>451</v>
      </c>
      <c r="H561" t="s">
        <v>254</v>
      </c>
      <c r="I561" t="s">
        <v>452</v>
      </c>
      <c r="J561" t="s">
        <v>321</v>
      </c>
      <c r="K561" t="s">
        <v>37</v>
      </c>
      <c r="L561" t="s">
        <v>5</v>
      </c>
      <c r="M561" t="s">
        <v>802</v>
      </c>
      <c r="N561" t="s">
        <v>813</v>
      </c>
      <c r="O561" t="s">
        <v>391</v>
      </c>
      <c r="P561" t="s">
        <v>828</v>
      </c>
    </row>
    <row r="562" spans="1:16" x14ac:dyDescent="0.25">
      <c r="A562" t="s">
        <v>470</v>
      </c>
      <c r="B562" t="s">
        <v>116</v>
      </c>
      <c r="C562" t="s">
        <v>253</v>
      </c>
      <c r="D562" t="s">
        <v>354</v>
      </c>
      <c r="E562">
        <v>2016</v>
      </c>
      <c r="F562" t="s">
        <v>186</v>
      </c>
      <c r="G562" t="s">
        <v>451</v>
      </c>
      <c r="H562" t="s">
        <v>254</v>
      </c>
      <c r="I562" t="s">
        <v>452</v>
      </c>
      <c r="J562" t="s">
        <v>321</v>
      </c>
      <c r="K562" t="s">
        <v>37</v>
      </c>
      <c r="L562" t="s">
        <v>5</v>
      </c>
      <c r="M562" t="s">
        <v>36</v>
      </c>
      <c r="N562" t="s">
        <v>813</v>
      </c>
      <c r="O562" t="s">
        <v>391</v>
      </c>
      <c r="P562" t="s">
        <v>828</v>
      </c>
    </row>
    <row r="563" spans="1:16" x14ac:dyDescent="0.25">
      <c r="A563" t="s">
        <v>471</v>
      </c>
      <c r="B563" t="s">
        <v>116</v>
      </c>
      <c r="C563" t="s">
        <v>453</v>
      </c>
      <c r="D563" t="s">
        <v>8</v>
      </c>
      <c r="E563">
        <v>2009</v>
      </c>
      <c r="F563" t="s">
        <v>184</v>
      </c>
      <c r="G563" t="s">
        <v>455</v>
      </c>
      <c r="H563" t="s">
        <v>255</v>
      </c>
      <c r="I563" t="s">
        <v>1373</v>
      </c>
      <c r="J563" t="s">
        <v>35</v>
      </c>
      <c r="K563" t="s">
        <v>37</v>
      </c>
      <c r="L563" t="s">
        <v>808</v>
      </c>
      <c r="M563" t="s">
        <v>803</v>
      </c>
      <c r="N563" t="s">
        <v>813</v>
      </c>
      <c r="O563" t="s">
        <v>391</v>
      </c>
      <c r="P563" t="s">
        <v>828</v>
      </c>
    </row>
    <row r="564" spans="1:16" x14ac:dyDescent="0.25">
      <c r="A564" t="s">
        <v>471</v>
      </c>
      <c r="B564" t="s">
        <v>116</v>
      </c>
      <c r="C564" t="s">
        <v>453</v>
      </c>
      <c r="D564" t="s">
        <v>8</v>
      </c>
      <c r="E564">
        <v>2009</v>
      </c>
      <c r="F564" t="s">
        <v>184</v>
      </c>
      <c r="G564" t="s">
        <v>455</v>
      </c>
      <c r="H564" t="s">
        <v>255</v>
      </c>
      <c r="I564" t="s">
        <v>1373</v>
      </c>
      <c r="J564" t="s">
        <v>35</v>
      </c>
      <c r="K564" t="s">
        <v>37</v>
      </c>
      <c r="L564" t="s">
        <v>808</v>
      </c>
      <c r="M564" t="s">
        <v>802</v>
      </c>
      <c r="N564" t="s">
        <v>813</v>
      </c>
      <c r="O564" t="s">
        <v>391</v>
      </c>
      <c r="P564" t="s">
        <v>828</v>
      </c>
    </row>
    <row r="565" spans="1:16" x14ac:dyDescent="0.25">
      <c r="A565" t="s">
        <v>471</v>
      </c>
      <c r="B565" t="s">
        <v>116</v>
      </c>
      <c r="C565" t="s">
        <v>453</v>
      </c>
      <c r="D565" t="s">
        <v>8</v>
      </c>
      <c r="E565">
        <v>2009</v>
      </c>
      <c r="F565" t="s">
        <v>184</v>
      </c>
      <c r="G565" t="s">
        <v>455</v>
      </c>
      <c r="H565" t="s">
        <v>255</v>
      </c>
      <c r="I565" t="s">
        <v>1373</v>
      </c>
      <c r="J565" t="s">
        <v>35</v>
      </c>
      <c r="K565" t="s">
        <v>37</v>
      </c>
      <c r="L565" t="s">
        <v>808</v>
      </c>
      <c r="M565" t="s">
        <v>36</v>
      </c>
      <c r="N565" t="s">
        <v>813</v>
      </c>
      <c r="O565" t="s">
        <v>391</v>
      </c>
      <c r="P565" t="s">
        <v>828</v>
      </c>
    </row>
    <row r="566" spans="1:16" x14ac:dyDescent="0.25">
      <c r="A566" t="s">
        <v>472</v>
      </c>
      <c r="B566" t="s">
        <v>116</v>
      </c>
      <c r="C566" t="s">
        <v>413</v>
      </c>
      <c r="D566" t="s">
        <v>8</v>
      </c>
      <c r="E566">
        <v>2020</v>
      </c>
      <c r="F566" t="s">
        <v>149</v>
      </c>
      <c r="G566" t="s">
        <v>456</v>
      </c>
      <c r="H566" t="s">
        <v>426</v>
      </c>
      <c r="I566" t="s">
        <v>1373</v>
      </c>
      <c r="J566" t="s">
        <v>35</v>
      </c>
      <c r="K566" t="s">
        <v>37</v>
      </c>
      <c r="L566" t="s">
        <v>809</v>
      </c>
      <c r="M566" t="s">
        <v>804</v>
      </c>
      <c r="N566" t="s">
        <v>367</v>
      </c>
      <c r="O566" t="s">
        <v>388</v>
      </c>
      <c r="P566" t="s">
        <v>371</v>
      </c>
    </row>
    <row r="567" spans="1:16" x14ac:dyDescent="0.25">
      <c r="A567" t="s">
        <v>473</v>
      </c>
      <c r="B567" t="s">
        <v>116</v>
      </c>
      <c r="C567" t="s">
        <v>434</v>
      </c>
      <c r="D567" t="s">
        <v>8</v>
      </c>
      <c r="E567">
        <v>2008</v>
      </c>
      <c r="F567" t="s">
        <v>149</v>
      </c>
      <c r="G567" t="s">
        <v>457</v>
      </c>
      <c r="H567" t="s">
        <v>426</v>
      </c>
      <c r="I567" t="s">
        <v>354</v>
      </c>
      <c r="J567" t="s">
        <v>35</v>
      </c>
      <c r="K567" t="s">
        <v>37</v>
      </c>
      <c r="L567" t="s">
        <v>808</v>
      </c>
      <c r="M567" t="s">
        <v>803</v>
      </c>
      <c r="N567" t="s">
        <v>816</v>
      </c>
      <c r="O567" t="s">
        <v>404</v>
      </c>
      <c r="P567" t="s">
        <v>824</v>
      </c>
    </row>
    <row r="568" spans="1:16" x14ac:dyDescent="0.25">
      <c r="A568" t="s">
        <v>474</v>
      </c>
      <c r="B568" t="s">
        <v>116</v>
      </c>
      <c r="C568" t="s">
        <v>415</v>
      </c>
      <c r="D568" t="s">
        <v>8</v>
      </c>
      <c r="E568">
        <v>1995</v>
      </c>
      <c r="F568" t="s">
        <v>520</v>
      </c>
      <c r="G568" t="s">
        <v>458</v>
      </c>
      <c r="H568" t="s">
        <v>427</v>
      </c>
      <c r="I568" t="s">
        <v>1373</v>
      </c>
      <c r="J568" t="s">
        <v>35</v>
      </c>
      <c r="K568" t="s">
        <v>37</v>
      </c>
      <c r="L568" t="s">
        <v>809</v>
      </c>
      <c r="M568" t="s">
        <v>802</v>
      </c>
      <c r="N568" t="s">
        <v>813</v>
      </c>
      <c r="O568" t="s">
        <v>391</v>
      </c>
      <c r="P568" t="s">
        <v>832</v>
      </c>
    </row>
    <row r="569" spans="1:16" x14ac:dyDescent="0.25">
      <c r="A569" t="s">
        <v>474</v>
      </c>
      <c r="B569" t="s">
        <v>116</v>
      </c>
      <c r="C569" t="s">
        <v>415</v>
      </c>
      <c r="D569" t="s">
        <v>8</v>
      </c>
      <c r="E569">
        <v>1995</v>
      </c>
      <c r="F569" t="s">
        <v>520</v>
      </c>
      <c r="G569" t="s">
        <v>458</v>
      </c>
      <c r="H569" t="s">
        <v>427</v>
      </c>
      <c r="I569" t="s">
        <v>1373</v>
      </c>
      <c r="J569" t="s">
        <v>35</v>
      </c>
      <c r="K569" t="s">
        <v>37</v>
      </c>
      <c r="L569" t="s">
        <v>809</v>
      </c>
      <c r="M569" t="s">
        <v>802</v>
      </c>
      <c r="N569" t="s">
        <v>367</v>
      </c>
      <c r="O569" t="s">
        <v>388</v>
      </c>
      <c r="P569" t="s">
        <v>832</v>
      </c>
    </row>
    <row r="570" spans="1:16" x14ac:dyDescent="0.25">
      <c r="A570" t="s">
        <v>475</v>
      </c>
      <c r="B570" t="s">
        <v>116</v>
      </c>
      <c r="C570" t="s">
        <v>417</v>
      </c>
      <c r="D570" t="s">
        <v>8</v>
      </c>
      <c r="E570">
        <v>2021</v>
      </c>
      <c r="F570" t="s">
        <v>127</v>
      </c>
      <c r="G570" t="s">
        <v>459</v>
      </c>
      <c r="H570" t="s">
        <v>298</v>
      </c>
      <c r="I570" t="s">
        <v>1373</v>
      </c>
      <c r="J570" t="s">
        <v>35</v>
      </c>
      <c r="K570" t="s">
        <v>37</v>
      </c>
      <c r="L570" t="s">
        <v>809</v>
      </c>
      <c r="M570" t="s">
        <v>802</v>
      </c>
      <c r="N570" t="s">
        <v>367</v>
      </c>
      <c r="O570" t="s">
        <v>388</v>
      </c>
      <c r="P570" t="s">
        <v>371</v>
      </c>
    </row>
    <row r="571" spans="1:16" x14ac:dyDescent="0.25">
      <c r="A571" t="s">
        <v>475</v>
      </c>
      <c r="B571" t="s">
        <v>116</v>
      </c>
      <c r="C571" t="s">
        <v>417</v>
      </c>
      <c r="D571" t="s">
        <v>8</v>
      </c>
      <c r="E571">
        <v>2021</v>
      </c>
      <c r="F571" t="s">
        <v>127</v>
      </c>
      <c r="G571" t="s">
        <v>459</v>
      </c>
      <c r="H571" t="s">
        <v>298</v>
      </c>
      <c r="I571" t="s">
        <v>1373</v>
      </c>
      <c r="J571" t="s">
        <v>35</v>
      </c>
      <c r="K571" t="s">
        <v>37</v>
      </c>
      <c r="L571" t="s">
        <v>809</v>
      </c>
      <c r="M571" t="s">
        <v>803</v>
      </c>
      <c r="N571" t="s">
        <v>367</v>
      </c>
      <c r="O571" t="s">
        <v>388</v>
      </c>
      <c r="P571" t="s">
        <v>371</v>
      </c>
    </row>
    <row r="572" spans="1:16" x14ac:dyDescent="0.25">
      <c r="A572" t="s">
        <v>476</v>
      </c>
      <c r="B572" t="s">
        <v>116</v>
      </c>
      <c r="C572" t="s">
        <v>237</v>
      </c>
      <c r="D572" t="s">
        <v>8</v>
      </c>
      <c r="E572">
        <v>2018</v>
      </c>
      <c r="F572" t="s">
        <v>129</v>
      </c>
      <c r="G572" t="s">
        <v>289</v>
      </c>
      <c r="H572" t="s">
        <v>238</v>
      </c>
      <c r="I572" t="s">
        <v>1373</v>
      </c>
      <c r="J572" t="s">
        <v>35</v>
      </c>
      <c r="K572" t="s">
        <v>37</v>
      </c>
      <c r="L572" t="s">
        <v>809</v>
      </c>
      <c r="M572" t="s">
        <v>803</v>
      </c>
      <c r="N572" t="s">
        <v>815</v>
      </c>
      <c r="O572" t="s">
        <v>403</v>
      </c>
      <c r="P572" t="s">
        <v>823</v>
      </c>
    </row>
    <row r="573" spans="1:16" x14ac:dyDescent="0.25">
      <c r="A573" t="s">
        <v>476</v>
      </c>
      <c r="B573" t="s">
        <v>116</v>
      </c>
      <c r="C573" t="s">
        <v>237</v>
      </c>
      <c r="D573" t="s">
        <v>8</v>
      </c>
      <c r="E573">
        <v>2018</v>
      </c>
      <c r="F573" t="s">
        <v>129</v>
      </c>
      <c r="G573" t="s">
        <v>289</v>
      </c>
      <c r="H573" t="s">
        <v>238</v>
      </c>
      <c r="I573" t="s">
        <v>1373</v>
      </c>
      <c r="J573" t="s">
        <v>35</v>
      </c>
      <c r="K573" t="s">
        <v>37</v>
      </c>
      <c r="L573" t="s">
        <v>809</v>
      </c>
      <c r="M573" t="s">
        <v>36</v>
      </c>
      <c r="N573" t="s">
        <v>815</v>
      </c>
      <c r="O573" t="s">
        <v>403</v>
      </c>
      <c r="P573" t="s">
        <v>823</v>
      </c>
    </row>
    <row r="574" spans="1:16" x14ac:dyDescent="0.25">
      <c r="A574" t="s">
        <v>506</v>
      </c>
      <c r="B574" t="s">
        <v>116</v>
      </c>
      <c r="C574" t="s">
        <v>241</v>
      </c>
      <c r="D574" t="s">
        <v>8</v>
      </c>
      <c r="E574">
        <v>2023</v>
      </c>
      <c r="F574" t="s">
        <v>75</v>
      </c>
      <c r="G574" t="s">
        <v>477</v>
      </c>
      <c r="H574" t="s">
        <v>354</v>
      </c>
      <c r="I574" t="s">
        <v>478</v>
      </c>
      <c r="J574" t="s">
        <v>321</v>
      </c>
      <c r="K574" t="s">
        <v>807</v>
      </c>
      <c r="L574" t="s">
        <v>809</v>
      </c>
      <c r="M574" t="s">
        <v>802</v>
      </c>
      <c r="N574" t="s">
        <v>367</v>
      </c>
      <c r="O574" t="s">
        <v>388</v>
      </c>
      <c r="P574" t="s">
        <v>831</v>
      </c>
    </row>
    <row r="575" spans="1:16" x14ac:dyDescent="0.25">
      <c r="A575" t="s">
        <v>506</v>
      </c>
      <c r="B575" t="s">
        <v>116</v>
      </c>
      <c r="C575" t="s">
        <v>241</v>
      </c>
      <c r="D575" t="s">
        <v>8</v>
      </c>
      <c r="E575">
        <v>2023</v>
      </c>
      <c r="F575" t="s">
        <v>75</v>
      </c>
      <c r="G575" t="s">
        <v>477</v>
      </c>
      <c r="H575" t="s">
        <v>354</v>
      </c>
      <c r="I575" t="s">
        <v>478</v>
      </c>
      <c r="J575" t="s">
        <v>321</v>
      </c>
      <c r="K575" t="s">
        <v>807</v>
      </c>
      <c r="L575" t="s">
        <v>809</v>
      </c>
      <c r="M575" t="s">
        <v>802</v>
      </c>
      <c r="N575" t="s">
        <v>813</v>
      </c>
      <c r="O575" t="s">
        <v>391</v>
      </c>
      <c r="P575" t="s">
        <v>831</v>
      </c>
    </row>
    <row r="576" spans="1:16" x14ac:dyDescent="0.25">
      <c r="A576" t="s">
        <v>506</v>
      </c>
      <c r="B576" t="s">
        <v>116</v>
      </c>
      <c r="C576" t="s">
        <v>241</v>
      </c>
      <c r="D576" t="s">
        <v>8</v>
      </c>
      <c r="E576">
        <v>2023</v>
      </c>
      <c r="F576" t="s">
        <v>75</v>
      </c>
      <c r="G576" t="s">
        <v>477</v>
      </c>
      <c r="H576" t="s">
        <v>354</v>
      </c>
      <c r="I576" t="s">
        <v>478</v>
      </c>
      <c r="J576" t="s">
        <v>321</v>
      </c>
      <c r="K576" t="s">
        <v>807</v>
      </c>
      <c r="L576" t="s">
        <v>809</v>
      </c>
      <c r="M576" t="s">
        <v>803</v>
      </c>
      <c r="N576" t="s">
        <v>367</v>
      </c>
      <c r="O576" t="s">
        <v>388</v>
      </c>
      <c r="P576" t="s">
        <v>831</v>
      </c>
    </row>
    <row r="577" spans="1:16" x14ac:dyDescent="0.25">
      <c r="A577" t="s">
        <v>506</v>
      </c>
      <c r="B577" t="s">
        <v>116</v>
      </c>
      <c r="C577" t="s">
        <v>241</v>
      </c>
      <c r="D577" t="s">
        <v>8</v>
      </c>
      <c r="E577">
        <v>2023</v>
      </c>
      <c r="F577" t="s">
        <v>75</v>
      </c>
      <c r="G577" t="s">
        <v>477</v>
      </c>
      <c r="H577" t="s">
        <v>354</v>
      </c>
      <c r="I577" t="s">
        <v>478</v>
      </c>
      <c r="J577" t="s">
        <v>321</v>
      </c>
      <c r="K577" t="s">
        <v>807</v>
      </c>
      <c r="L577" t="s">
        <v>809</v>
      </c>
      <c r="M577" t="s">
        <v>803</v>
      </c>
      <c r="N577" t="s">
        <v>813</v>
      </c>
      <c r="O577" t="s">
        <v>391</v>
      </c>
      <c r="P577" t="s">
        <v>831</v>
      </c>
    </row>
    <row r="578" spans="1:16" x14ac:dyDescent="0.25">
      <c r="A578" t="s">
        <v>506</v>
      </c>
      <c r="B578" t="s">
        <v>116</v>
      </c>
      <c r="C578" t="s">
        <v>241</v>
      </c>
      <c r="D578" t="s">
        <v>8</v>
      </c>
      <c r="E578">
        <v>2023</v>
      </c>
      <c r="F578" t="s">
        <v>75</v>
      </c>
      <c r="G578" t="s">
        <v>477</v>
      </c>
      <c r="H578" t="s">
        <v>354</v>
      </c>
      <c r="I578" t="s">
        <v>478</v>
      </c>
      <c r="J578" t="s">
        <v>321</v>
      </c>
      <c r="K578" t="s">
        <v>807</v>
      </c>
      <c r="L578" t="s">
        <v>809</v>
      </c>
      <c r="M578" t="s">
        <v>36</v>
      </c>
      <c r="N578" t="s">
        <v>367</v>
      </c>
      <c r="O578" t="s">
        <v>388</v>
      </c>
      <c r="P578" t="s">
        <v>831</v>
      </c>
    </row>
    <row r="579" spans="1:16" x14ac:dyDescent="0.25">
      <c r="A579" t="s">
        <v>506</v>
      </c>
      <c r="B579" t="s">
        <v>116</v>
      </c>
      <c r="C579" t="s">
        <v>241</v>
      </c>
      <c r="D579" t="s">
        <v>8</v>
      </c>
      <c r="E579">
        <v>2023</v>
      </c>
      <c r="F579" t="s">
        <v>75</v>
      </c>
      <c r="G579" t="s">
        <v>477</v>
      </c>
      <c r="H579" t="s">
        <v>354</v>
      </c>
      <c r="I579" t="s">
        <v>478</v>
      </c>
      <c r="J579" t="s">
        <v>321</v>
      </c>
      <c r="K579" t="s">
        <v>807</v>
      </c>
      <c r="L579" t="s">
        <v>809</v>
      </c>
      <c r="M579" t="s">
        <v>36</v>
      </c>
      <c r="N579" t="s">
        <v>813</v>
      </c>
      <c r="O579" t="s">
        <v>391</v>
      </c>
      <c r="P579" t="s">
        <v>831</v>
      </c>
    </row>
    <row r="580" spans="1:16" x14ac:dyDescent="0.25">
      <c r="A580" t="s">
        <v>507</v>
      </c>
      <c r="B580" t="s">
        <v>116</v>
      </c>
      <c r="C580" t="s">
        <v>479</v>
      </c>
      <c r="D580" t="s">
        <v>8</v>
      </c>
      <c r="E580">
        <v>2022</v>
      </c>
      <c r="F580" t="s">
        <v>174</v>
      </c>
      <c r="G580" t="s">
        <v>481</v>
      </c>
      <c r="H580" t="s">
        <v>354</v>
      </c>
      <c r="I580" t="s">
        <v>482</v>
      </c>
      <c r="J580" t="s">
        <v>35</v>
      </c>
      <c r="K580" t="s">
        <v>37</v>
      </c>
      <c r="L580" t="s">
        <v>809</v>
      </c>
      <c r="M580" t="s">
        <v>36</v>
      </c>
      <c r="N580" t="s">
        <v>815</v>
      </c>
      <c r="O580" t="s">
        <v>403</v>
      </c>
      <c r="P580" t="s">
        <v>834</v>
      </c>
    </row>
    <row r="581" spans="1:16" x14ac:dyDescent="0.25">
      <c r="A581" t="s">
        <v>507</v>
      </c>
      <c r="B581" t="s">
        <v>116</v>
      </c>
      <c r="C581" t="s">
        <v>479</v>
      </c>
      <c r="D581" t="s">
        <v>8</v>
      </c>
      <c r="E581">
        <v>2022</v>
      </c>
      <c r="F581" t="s">
        <v>174</v>
      </c>
      <c r="G581" t="s">
        <v>481</v>
      </c>
      <c r="H581" t="s">
        <v>354</v>
      </c>
      <c r="I581" t="s">
        <v>482</v>
      </c>
      <c r="J581" t="s">
        <v>35</v>
      </c>
      <c r="K581" t="s">
        <v>37</v>
      </c>
      <c r="L581" t="s">
        <v>809</v>
      </c>
      <c r="M581" t="s">
        <v>36</v>
      </c>
      <c r="N581" t="s">
        <v>367</v>
      </c>
      <c r="O581" t="s">
        <v>388</v>
      </c>
      <c r="P581" t="s">
        <v>834</v>
      </c>
    </row>
    <row r="582" spans="1:16" x14ac:dyDescent="0.25">
      <c r="A582" t="s">
        <v>508</v>
      </c>
      <c r="B582" t="s">
        <v>116</v>
      </c>
      <c r="C582" t="s">
        <v>483</v>
      </c>
      <c r="D582" t="s">
        <v>8</v>
      </c>
      <c r="E582">
        <v>2021</v>
      </c>
      <c r="F582" t="s">
        <v>76</v>
      </c>
      <c r="G582" t="s">
        <v>485</v>
      </c>
      <c r="H582" t="s">
        <v>354</v>
      </c>
      <c r="I582" t="s">
        <v>486</v>
      </c>
      <c r="J582" t="s">
        <v>35</v>
      </c>
      <c r="K582" t="s">
        <v>37</v>
      </c>
      <c r="L582" t="s">
        <v>809</v>
      </c>
      <c r="M582" t="s">
        <v>803</v>
      </c>
      <c r="N582" t="s">
        <v>814</v>
      </c>
      <c r="O582" t="s">
        <v>392</v>
      </c>
      <c r="P582" t="s">
        <v>825</v>
      </c>
    </row>
    <row r="583" spans="1:16" x14ac:dyDescent="0.25">
      <c r="A583" t="s">
        <v>508</v>
      </c>
      <c r="B583" t="s">
        <v>116</v>
      </c>
      <c r="C583" t="s">
        <v>483</v>
      </c>
      <c r="D583" t="s">
        <v>8</v>
      </c>
      <c r="E583">
        <v>2021</v>
      </c>
      <c r="F583" t="s">
        <v>76</v>
      </c>
      <c r="G583" t="s">
        <v>485</v>
      </c>
      <c r="H583" t="s">
        <v>354</v>
      </c>
      <c r="I583" t="s">
        <v>486</v>
      </c>
      <c r="J583" t="s">
        <v>35</v>
      </c>
      <c r="K583" t="s">
        <v>37</v>
      </c>
      <c r="L583" t="s">
        <v>809</v>
      </c>
      <c r="M583" t="s">
        <v>802</v>
      </c>
      <c r="N583" t="s">
        <v>814</v>
      </c>
      <c r="O583" t="s">
        <v>392</v>
      </c>
      <c r="P583" t="s">
        <v>825</v>
      </c>
    </row>
    <row r="584" spans="1:16" x14ac:dyDescent="0.25">
      <c r="A584" t="s">
        <v>509</v>
      </c>
      <c r="B584" t="s">
        <v>116</v>
      </c>
      <c r="C584" t="s">
        <v>487</v>
      </c>
      <c r="D584" t="s">
        <v>439</v>
      </c>
      <c r="E584">
        <v>2021</v>
      </c>
      <c r="F584" t="s">
        <v>76</v>
      </c>
      <c r="G584" t="s">
        <v>489</v>
      </c>
      <c r="H584" t="s">
        <v>354</v>
      </c>
      <c r="I584" t="s">
        <v>490</v>
      </c>
      <c r="J584" t="s">
        <v>35</v>
      </c>
      <c r="K584" t="s">
        <v>37</v>
      </c>
      <c r="L584" t="s">
        <v>809</v>
      </c>
      <c r="M584" t="s">
        <v>803</v>
      </c>
      <c r="N584" t="s">
        <v>815</v>
      </c>
      <c r="O584" t="s">
        <v>403</v>
      </c>
      <c r="P584" t="s">
        <v>823</v>
      </c>
    </row>
    <row r="585" spans="1:16" x14ac:dyDescent="0.25">
      <c r="A585" t="s">
        <v>509</v>
      </c>
      <c r="B585" t="s">
        <v>116</v>
      </c>
      <c r="C585" t="s">
        <v>487</v>
      </c>
      <c r="D585" t="s">
        <v>439</v>
      </c>
      <c r="E585">
        <v>2021</v>
      </c>
      <c r="F585" t="s">
        <v>76</v>
      </c>
      <c r="G585" t="s">
        <v>489</v>
      </c>
      <c r="H585" t="s">
        <v>354</v>
      </c>
      <c r="I585" t="s">
        <v>490</v>
      </c>
      <c r="J585" t="s">
        <v>35</v>
      </c>
      <c r="K585" t="s">
        <v>37</v>
      </c>
      <c r="L585" t="s">
        <v>809</v>
      </c>
      <c r="M585" t="s">
        <v>802</v>
      </c>
      <c r="N585" t="s">
        <v>815</v>
      </c>
      <c r="O585" t="s">
        <v>403</v>
      </c>
      <c r="P585" t="s">
        <v>823</v>
      </c>
    </row>
    <row r="586" spans="1:16" x14ac:dyDescent="0.25">
      <c r="A586" t="s">
        <v>510</v>
      </c>
      <c r="B586" t="s">
        <v>116</v>
      </c>
      <c r="C586" t="s">
        <v>492</v>
      </c>
      <c r="D586" t="s">
        <v>8</v>
      </c>
      <c r="E586">
        <v>2017</v>
      </c>
      <c r="F586" t="s">
        <v>818</v>
      </c>
      <c r="G586" t="s">
        <v>494</v>
      </c>
      <c r="H586" t="s">
        <v>354</v>
      </c>
      <c r="I586" t="s">
        <v>495</v>
      </c>
      <c r="J586" t="s">
        <v>35</v>
      </c>
      <c r="K586" t="s">
        <v>37</v>
      </c>
      <c r="L586" t="s">
        <v>204</v>
      </c>
      <c r="M586" t="s">
        <v>804</v>
      </c>
      <c r="N586" t="s">
        <v>813</v>
      </c>
      <c r="O586" t="s">
        <v>391</v>
      </c>
      <c r="P586" t="s">
        <v>832</v>
      </c>
    </row>
    <row r="587" spans="1:16" x14ac:dyDescent="0.25">
      <c r="A587" t="s">
        <v>510</v>
      </c>
      <c r="B587" t="s">
        <v>116</v>
      </c>
      <c r="C587" t="s">
        <v>492</v>
      </c>
      <c r="D587" t="s">
        <v>8</v>
      </c>
      <c r="E587">
        <v>2017</v>
      </c>
      <c r="F587" t="s">
        <v>818</v>
      </c>
      <c r="G587" t="s">
        <v>494</v>
      </c>
      <c r="H587" t="s">
        <v>354</v>
      </c>
      <c r="I587" t="s">
        <v>495</v>
      </c>
      <c r="J587" t="s">
        <v>35</v>
      </c>
      <c r="K587" t="s">
        <v>37</v>
      </c>
      <c r="L587" t="s">
        <v>204</v>
      </c>
      <c r="M587" t="s">
        <v>804</v>
      </c>
      <c r="N587" t="s">
        <v>367</v>
      </c>
      <c r="O587" t="s">
        <v>388</v>
      </c>
      <c r="P587" t="s">
        <v>832</v>
      </c>
    </row>
    <row r="588" spans="1:16" x14ac:dyDescent="0.25">
      <c r="A588" t="s">
        <v>511</v>
      </c>
      <c r="B588" t="s">
        <v>116</v>
      </c>
      <c r="C588" t="s">
        <v>496</v>
      </c>
      <c r="D588" t="s">
        <v>8</v>
      </c>
      <c r="E588">
        <v>2022</v>
      </c>
      <c r="F588" t="s">
        <v>186</v>
      </c>
      <c r="G588" t="s">
        <v>572</v>
      </c>
      <c r="H588" t="s">
        <v>354</v>
      </c>
      <c r="I588" t="s">
        <v>1373</v>
      </c>
      <c r="J588" t="s">
        <v>35</v>
      </c>
      <c r="K588" t="s">
        <v>37</v>
      </c>
      <c r="L588" t="s">
        <v>809</v>
      </c>
      <c r="M588" t="s">
        <v>802</v>
      </c>
      <c r="N588" t="s">
        <v>816</v>
      </c>
      <c r="O588" t="s">
        <v>404</v>
      </c>
      <c r="P588" t="s">
        <v>824</v>
      </c>
    </row>
    <row r="589" spans="1:16" x14ac:dyDescent="0.25">
      <c r="A589" t="s">
        <v>511</v>
      </c>
      <c r="B589" t="s">
        <v>116</v>
      </c>
      <c r="C589" t="s">
        <v>496</v>
      </c>
      <c r="D589" t="s">
        <v>8</v>
      </c>
      <c r="E589">
        <v>2022</v>
      </c>
      <c r="F589" t="s">
        <v>186</v>
      </c>
      <c r="G589" t="s">
        <v>572</v>
      </c>
      <c r="H589" t="s">
        <v>354</v>
      </c>
      <c r="I589" t="s">
        <v>1373</v>
      </c>
      <c r="J589" t="s">
        <v>35</v>
      </c>
      <c r="K589" t="s">
        <v>37</v>
      </c>
      <c r="L589" t="s">
        <v>809</v>
      </c>
      <c r="M589" t="s">
        <v>803</v>
      </c>
      <c r="N589" t="s">
        <v>816</v>
      </c>
      <c r="O589" t="s">
        <v>404</v>
      </c>
      <c r="P589" t="s">
        <v>824</v>
      </c>
    </row>
    <row r="590" spans="1:16" x14ac:dyDescent="0.25">
      <c r="A590" t="s">
        <v>512</v>
      </c>
      <c r="B590" t="s">
        <v>116</v>
      </c>
      <c r="C590" t="s">
        <v>233</v>
      </c>
      <c r="D590" t="s">
        <v>60</v>
      </c>
      <c r="E590">
        <v>2006</v>
      </c>
      <c r="F590" t="s">
        <v>143</v>
      </c>
      <c r="G590" t="s">
        <v>297</v>
      </c>
      <c r="H590" t="s">
        <v>354</v>
      </c>
      <c r="I590" t="s">
        <v>1373</v>
      </c>
      <c r="J590" t="s">
        <v>35</v>
      </c>
      <c r="K590" t="s">
        <v>37</v>
      </c>
      <c r="L590" t="s">
        <v>809</v>
      </c>
      <c r="M590" t="s">
        <v>803</v>
      </c>
      <c r="N590" t="s">
        <v>815</v>
      </c>
      <c r="O590" t="s">
        <v>403</v>
      </c>
      <c r="P590" t="s">
        <v>823</v>
      </c>
    </row>
    <row r="591" spans="1:16" x14ac:dyDescent="0.25">
      <c r="A591" t="s">
        <v>512</v>
      </c>
      <c r="B591" t="s">
        <v>116</v>
      </c>
      <c r="C591" t="s">
        <v>233</v>
      </c>
      <c r="D591" t="s">
        <v>60</v>
      </c>
      <c r="E591">
        <v>2006</v>
      </c>
      <c r="F591" t="s">
        <v>143</v>
      </c>
      <c r="G591" t="s">
        <v>297</v>
      </c>
      <c r="H591" t="s">
        <v>354</v>
      </c>
      <c r="I591" t="s">
        <v>1373</v>
      </c>
      <c r="J591" t="s">
        <v>35</v>
      </c>
      <c r="K591" t="s">
        <v>37</v>
      </c>
      <c r="L591" t="s">
        <v>809</v>
      </c>
      <c r="M591" t="s">
        <v>36</v>
      </c>
      <c r="N591" t="s">
        <v>815</v>
      </c>
      <c r="O591" t="s">
        <v>403</v>
      </c>
      <c r="P591" t="s">
        <v>823</v>
      </c>
    </row>
    <row r="592" spans="1:16" x14ac:dyDescent="0.25">
      <c r="A592" t="s">
        <v>513</v>
      </c>
      <c r="B592" t="s">
        <v>116</v>
      </c>
      <c r="C592" t="s">
        <v>217</v>
      </c>
      <c r="D592" t="s">
        <v>8</v>
      </c>
      <c r="E592">
        <v>2023</v>
      </c>
      <c r="F592" t="s">
        <v>143</v>
      </c>
      <c r="G592" t="s">
        <v>498</v>
      </c>
      <c r="H592" t="s">
        <v>354</v>
      </c>
      <c r="I592" t="s">
        <v>1373</v>
      </c>
      <c r="J592" t="s">
        <v>35</v>
      </c>
      <c r="K592" t="s">
        <v>807</v>
      </c>
      <c r="L592" t="s">
        <v>809</v>
      </c>
      <c r="M592" t="s">
        <v>803</v>
      </c>
      <c r="N592" t="s">
        <v>816</v>
      </c>
      <c r="O592" t="s">
        <v>404</v>
      </c>
      <c r="P592" t="s">
        <v>824</v>
      </c>
    </row>
    <row r="593" spans="1:16" x14ac:dyDescent="0.25">
      <c r="A593" t="s">
        <v>513</v>
      </c>
      <c r="B593" t="s">
        <v>116</v>
      </c>
      <c r="C593" t="s">
        <v>217</v>
      </c>
      <c r="D593" t="s">
        <v>8</v>
      </c>
      <c r="E593">
        <v>2023</v>
      </c>
      <c r="F593" t="s">
        <v>143</v>
      </c>
      <c r="G593" t="s">
        <v>498</v>
      </c>
      <c r="H593" t="s">
        <v>354</v>
      </c>
      <c r="I593" t="s">
        <v>1373</v>
      </c>
      <c r="J593" t="s">
        <v>35</v>
      </c>
      <c r="K593" t="s">
        <v>807</v>
      </c>
      <c r="L593" t="s">
        <v>809</v>
      </c>
      <c r="M593" t="s">
        <v>802</v>
      </c>
      <c r="N593" t="s">
        <v>816</v>
      </c>
      <c r="O593" t="s">
        <v>404</v>
      </c>
      <c r="P593" t="s">
        <v>824</v>
      </c>
    </row>
    <row r="594" spans="1:16" x14ac:dyDescent="0.25">
      <c r="A594" t="s">
        <v>513</v>
      </c>
      <c r="B594" t="s">
        <v>116</v>
      </c>
      <c r="C594" t="s">
        <v>217</v>
      </c>
      <c r="D594" t="s">
        <v>8</v>
      </c>
      <c r="E594">
        <v>2023</v>
      </c>
      <c r="F594" t="s">
        <v>143</v>
      </c>
      <c r="G594" t="s">
        <v>498</v>
      </c>
      <c r="H594" t="s">
        <v>354</v>
      </c>
      <c r="I594" t="s">
        <v>1373</v>
      </c>
      <c r="J594" t="s">
        <v>35</v>
      </c>
      <c r="K594" t="s">
        <v>807</v>
      </c>
      <c r="L594" t="s">
        <v>809</v>
      </c>
      <c r="M594" t="s">
        <v>36</v>
      </c>
      <c r="N594" t="s">
        <v>816</v>
      </c>
      <c r="O594" t="s">
        <v>404</v>
      </c>
      <c r="P594" t="s">
        <v>824</v>
      </c>
    </row>
    <row r="595" spans="1:16" x14ac:dyDescent="0.25">
      <c r="A595" t="s">
        <v>514</v>
      </c>
      <c r="B595" t="s">
        <v>116</v>
      </c>
      <c r="C595" t="s">
        <v>573</v>
      </c>
      <c r="D595" t="s">
        <v>8</v>
      </c>
      <c r="E595">
        <v>2022</v>
      </c>
      <c r="F595" t="s">
        <v>149</v>
      </c>
      <c r="G595" t="s">
        <v>499</v>
      </c>
      <c r="H595" t="s">
        <v>354</v>
      </c>
      <c r="I595" t="s">
        <v>428</v>
      </c>
      <c r="J595" t="s">
        <v>35</v>
      </c>
      <c r="K595" t="s">
        <v>37</v>
      </c>
      <c r="L595" t="s">
        <v>808</v>
      </c>
      <c r="M595" t="s">
        <v>802</v>
      </c>
      <c r="N595" t="s">
        <v>813</v>
      </c>
      <c r="O595" t="s">
        <v>391</v>
      </c>
      <c r="P595" t="s">
        <v>832</v>
      </c>
    </row>
    <row r="596" spans="1:16" x14ac:dyDescent="0.25">
      <c r="A596" t="s">
        <v>514</v>
      </c>
      <c r="B596" t="s">
        <v>116</v>
      </c>
      <c r="C596" t="s">
        <v>573</v>
      </c>
      <c r="D596" t="s">
        <v>8</v>
      </c>
      <c r="E596">
        <v>2022</v>
      </c>
      <c r="F596" t="s">
        <v>149</v>
      </c>
      <c r="G596" t="s">
        <v>499</v>
      </c>
      <c r="H596" t="s">
        <v>354</v>
      </c>
      <c r="I596" t="s">
        <v>428</v>
      </c>
      <c r="J596" t="s">
        <v>35</v>
      </c>
      <c r="K596" t="s">
        <v>37</v>
      </c>
      <c r="L596" t="s">
        <v>808</v>
      </c>
      <c r="M596" t="s">
        <v>802</v>
      </c>
      <c r="N596" t="s">
        <v>367</v>
      </c>
      <c r="O596" t="s">
        <v>388</v>
      </c>
      <c r="P596" t="s">
        <v>832</v>
      </c>
    </row>
    <row r="597" spans="1:16" x14ac:dyDescent="0.25">
      <c r="A597" t="s">
        <v>514</v>
      </c>
      <c r="B597" t="s">
        <v>116</v>
      </c>
      <c r="C597" t="s">
        <v>573</v>
      </c>
      <c r="D597" t="s">
        <v>8</v>
      </c>
      <c r="E597">
        <v>2022</v>
      </c>
      <c r="F597" t="s">
        <v>149</v>
      </c>
      <c r="G597" t="s">
        <v>499</v>
      </c>
      <c r="H597" t="s">
        <v>354</v>
      </c>
      <c r="I597" t="s">
        <v>428</v>
      </c>
      <c r="J597" t="s">
        <v>35</v>
      </c>
      <c r="K597" t="s">
        <v>37</v>
      </c>
      <c r="L597" t="s">
        <v>808</v>
      </c>
      <c r="M597" t="s">
        <v>803</v>
      </c>
      <c r="N597" t="s">
        <v>813</v>
      </c>
      <c r="O597" t="s">
        <v>391</v>
      </c>
      <c r="P597" t="s">
        <v>832</v>
      </c>
    </row>
    <row r="598" spans="1:16" x14ac:dyDescent="0.25">
      <c r="A598" t="s">
        <v>514</v>
      </c>
      <c r="B598" t="s">
        <v>116</v>
      </c>
      <c r="C598" t="s">
        <v>573</v>
      </c>
      <c r="D598" t="s">
        <v>8</v>
      </c>
      <c r="E598">
        <v>2022</v>
      </c>
      <c r="F598" t="s">
        <v>149</v>
      </c>
      <c r="G598" t="s">
        <v>499</v>
      </c>
      <c r="H598" t="s">
        <v>354</v>
      </c>
      <c r="I598" t="s">
        <v>428</v>
      </c>
      <c r="J598" t="s">
        <v>35</v>
      </c>
      <c r="K598" t="s">
        <v>37</v>
      </c>
      <c r="L598" t="s">
        <v>808</v>
      </c>
      <c r="M598" t="s">
        <v>803</v>
      </c>
      <c r="N598" t="s">
        <v>367</v>
      </c>
      <c r="O598" t="s">
        <v>388</v>
      </c>
      <c r="P598" t="s">
        <v>832</v>
      </c>
    </row>
    <row r="599" spans="1:16" x14ac:dyDescent="0.25">
      <c r="A599" t="s">
        <v>515</v>
      </c>
      <c r="B599" t="s">
        <v>116</v>
      </c>
      <c r="C599" t="s">
        <v>423</v>
      </c>
      <c r="D599" t="s">
        <v>8</v>
      </c>
      <c r="E599">
        <v>2023</v>
      </c>
      <c r="F599" t="s">
        <v>127</v>
      </c>
      <c r="G599" t="s">
        <v>500</v>
      </c>
      <c r="H599" t="s">
        <v>354</v>
      </c>
      <c r="I599" t="s">
        <v>1373</v>
      </c>
      <c r="J599" t="s">
        <v>35</v>
      </c>
      <c r="K599" t="s">
        <v>37</v>
      </c>
      <c r="L599" t="s">
        <v>809</v>
      </c>
      <c r="M599" t="s">
        <v>802</v>
      </c>
      <c r="N599" t="s">
        <v>813</v>
      </c>
      <c r="O599" t="s">
        <v>391</v>
      </c>
      <c r="P599" t="s">
        <v>832</v>
      </c>
    </row>
    <row r="600" spans="1:16" x14ac:dyDescent="0.25">
      <c r="A600" t="s">
        <v>515</v>
      </c>
      <c r="B600" t="s">
        <v>116</v>
      </c>
      <c r="C600" t="s">
        <v>423</v>
      </c>
      <c r="D600" t="s">
        <v>8</v>
      </c>
      <c r="E600">
        <v>2023</v>
      </c>
      <c r="F600" t="s">
        <v>127</v>
      </c>
      <c r="G600" t="s">
        <v>500</v>
      </c>
      <c r="H600" t="s">
        <v>354</v>
      </c>
      <c r="I600" t="s">
        <v>1373</v>
      </c>
      <c r="J600" t="s">
        <v>35</v>
      </c>
      <c r="K600" t="s">
        <v>37</v>
      </c>
      <c r="L600" t="s">
        <v>809</v>
      </c>
      <c r="M600" t="s">
        <v>802</v>
      </c>
      <c r="N600" t="s">
        <v>367</v>
      </c>
      <c r="O600" t="s">
        <v>388</v>
      </c>
      <c r="P600" t="s">
        <v>832</v>
      </c>
    </row>
    <row r="601" spans="1:16" x14ac:dyDescent="0.25">
      <c r="A601" t="s">
        <v>515</v>
      </c>
      <c r="B601" t="s">
        <v>116</v>
      </c>
      <c r="C601" t="s">
        <v>423</v>
      </c>
      <c r="D601" t="s">
        <v>8</v>
      </c>
      <c r="E601">
        <v>2023</v>
      </c>
      <c r="F601" t="s">
        <v>127</v>
      </c>
      <c r="G601" t="s">
        <v>500</v>
      </c>
      <c r="H601" t="s">
        <v>354</v>
      </c>
      <c r="I601" t="s">
        <v>1373</v>
      </c>
      <c r="J601" t="s">
        <v>35</v>
      </c>
      <c r="K601" t="s">
        <v>37</v>
      </c>
      <c r="L601" t="s">
        <v>809</v>
      </c>
      <c r="M601" t="s">
        <v>803</v>
      </c>
      <c r="N601" t="s">
        <v>813</v>
      </c>
      <c r="O601" t="s">
        <v>391</v>
      </c>
      <c r="P601" t="s">
        <v>832</v>
      </c>
    </row>
    <row r="602" spans="1:16" x14ac:dyDescent="0.25">
      <c r="A602" t="s">
        <v>515</v>
      </c>
      <c r="B602" t="s">
        <v>116</v>
      </c>
      <c r="C602" t="s">
        <v>423</v>
      </c>
      <c r="D602" t="s">
        <v>8</v>
      </c>
      <c r="E602">
        <v>2023</v>
      </c>
      <c r="F602" t="s">
        <v>127</v>
      </c>
      <c r="G602" t="s">
        <v>500</v>
      </c>
      <c r="H602" t="s">
        <v>354</v>
      </c>
      <c r="I602" t="s">
        <v>1373</v>
      </c>
      <c r="J602" t="s">
        <v>35</v>
      </c>
      <c r="K602" t="s">
        <v>37</v>
      </c>
      <c r="L602" t="s">
        <v>809</v>
      </c>
      <c r="M602" t="s">
        <v>803</v>
      </c>
      <c r="N602" t="s">
        <v>367</v>
      </c>
      <c r="O602" t="s">
        <v>388</v>
      </c>
      <c r="P602" t="s">
        <v>832</v>
      </c>
    </row>
    <row r="603" spans="1:16" x14ac:dyDescent="0.25">
      <c r="A603" t="s">
        <v>515</v>
      </c>
      <c r="B603" t="s">
        <v>116</v>
      </c>
      <c r="C603" t="s">
        <v>423</v>
      </c>
      <c r="D603" t="s">
        <v>8</v>
      </c>
      <c r="E603">
        <v>2023</v>
      </c>
      <c r="F603" t="s">
        <v>127</v>
      </c>
      <c r="G603" t="s">
        <v>500</v>
      </c>
      <c r="H603" t="s">
        <v>354</v>
      </c>
      <c r="I603" t="s">
        <v>1373</v>
      </c>
      <c r="J603" t="s">
        <v>35</v>
      </c>
      <c r="K603" t="s">
        <v>37</v>
      </c>
      <c r="L603" t="s">
        <v>809</v>
      </c>
      <c r="M603" t="s">
        <v>36</v>
      </c>
      <c r="N603" t="s">
        <v>813</v>
      </c>
      <c r="O603" t="s">
        <v>391</v>
      </c>
      <c r="P603" t="s">
        <v>832</v>
      </c>
    </row>
    <row r="604" spans="1:16" x14ac:dyDescent="0.25">
      <c r="A604" t="s">
        <v>515</v>
      </c>
      <c r="B604" t="s">
        <v>116</v>
      </c>
      <c r="C604" t="s">
        <v>423</v>
      </c>
      <c r="D604" t="s">
        <v>8</v>
      </c>
      <c r="E604">
        <v>2023</v>
      </c>
      <c r="F604" t="s">
        <v>127</v>
      </c>
      <c r="G604" t="s">
        <v>500</v>
      </c>
      <c r="H604" t="s">
        <v>354</v>
      </c>
      <c r="I604" t="s">
        <v>1373</v>
      </c>
      <c r="J604" t="s">
        <v>35</v>
      </c>
      <c r="K604" t="s">
        <v>37</v>
      </c>
      <c r="L604" t="s">
        <v>809</v>
      </c>
      <c r="M604" t="s">
        <v>36</v>
      </c>
      <c r="N604" t="s">
        <v>367</v>
      </c>
      <c r="O604" t="s">
        <v>388</v>
      </c>
      <c r="P604" t="s">
        <v>832</v>
      </c>
    </row>
    <row r="605" spans="1:16" x14ac:dyDescent="0.25">
      <c r="A605" t="s">
        <v>922</v>
      </c>
      <c r="B605" t="s">
        <v>116</v>
      </c>
      <c r="C605" t="s">
        <v>915</v>
      </c>
      <c r="D605" t="s">
        <v>8</v>
      </c>
      <c r="E605">
        <v>2023</v>
      </c>
      <c r="F605" t="s">
        <v>72</v>
      </c>
      <c r="G605" t="s">
        <v>918</v>
      </c>
      <c r="H605" t="s">
        <v>354</v>
      </c>
      <c r="I605" t="s">
        <v>919</v>
      </c>
      <c r="J605" t="s">
        <v>34</v>
      </c>
      <c r="K605" t="s">
        <v>37</v>
      </c>
      <c r="L605" t="s">
        <v>5</v>
      </c>
      <c r="M605" t="s">
        <v>36</v>
      </c>
      <c r="N605" t="s">
        <v>817</v>
      </c>
      <c r="O605" t="s">
        <v>394</v>
      </c>
      <c r="P605" t="s">
        <v>829</v>
      </c>
    </row>
    <row r="606" spans="1:16" x14ac:dyDescent="0.25">
      <c r="A606" t="s">
        <v>922</v>
      </c>
      <c r="B606" t="s">
        <v>116</v>
      </c>
      <c r="C606" t="s">
        <v>915</v>
      </c>
      <c r="D606" t="s">
        <v>8</v>
      </c>
      <c r="E606">
        <v>2023</v>
      </c>
      <c r="F606" t="s">
        <v>72</v>
      </c>
      <c r="G606" t="s">
        <v>918</v>
      </c>
      <c r="H606" t="s">
        <v>354</v>
      </c>
      <c r="I606" t="s">
        <v>919</v>
      </c>
      <c r="J606" t="s">
        <v>34</v>
      </c>
      <c r="K606" t="s">
        <v>37</v>
      </c>
      <c r="L606" t="s">
        <v>5</v>
      </c>
      <c r="M606" t="s">
        <v>36</v>
      </c>
      <c r="N606" t="s">
        <v>813</v>
      </c>
      <c r="O606" t="s">
        <v>391</v>
      </c>
      <c r="P606" t="s">
        <v>829</v>
      </c>
    </row>
    <row r="607" spans="1:16" x14ac:dyDescent="0.25">
      <c r="A607" t="s">
        <v>922</v>
      </c>
      <c r="B607" t="s">
        <v>116</v>
      </c>
      <c r="C607" t="s">
        <v>915</v>
      </c>
      <c r="D607" t="s">
        <v>8</v>
      </c>
      <c r="E607">
        <v>2023</v>
      </c>
      <c r="F607" t="s">
        <v>72</v>
      </c>
      <c r="G607" t="s">
        <v>918</v>
      </c>
      <c r="H607" t="s">
        <v>354</v>
      </c>
      <c r="I607" t="s">
        <v>919</v>
      </c>
      <c r="J607" t="s">
        <v>34</v>
      </c>
      <c r="K607" t="s">
        <v>37</v>
      </c>
      <c r="L607" t="s">
        <v>5</v>
      </c>
      <c r="M607" t="s">
        <v>90</v>
      </c>
      <c r="N607" t="s">
        <v>817</v>
      </c>
      <c r="O607" t="s">
        <v>394</v>
      </c>
      <c r="P607" t="s">
        <v>829</v>
      </c>
    </row>
    <row r="608" spans="1:16" x14ac:dyDescent="0.25">
      <c r="A608" t="s">
        <v>922</v>
      </c>
      <c r="B608" t="s">
        <v>116</v>
      </c>
      <c r="C608" t="s">
        <v>915</v>
      </c>
      <c r="D608" t="s">
        <v>8</v>
      </c>
      <c r="E608">
        <v>2023</v>
      </c>
      <c r="F608" t="s">
        <v>72</v>
      </c>
      <c r="G608" t="s">
        <v>918</v>
      </c>
      <c r="H608" t="s">
        <v>354</v>
      </c>
      <c r="I608" t="s">
        <v>919</v>
      </c>
      <c r="J608" t="s">
        <v>34</v>
      </c>
      <c r="K608" t="s">
        <v>37</v>
      </c>
      <c r="L608" t="s">
        <v>5</v>
      </c>
      <c r="M608" t="s">
        <v>90</v>
      </c>
      <c r="N608" t="s">
        <v>813</v>
      </c>
      <c r="O608" t="s">
        <v>391</v>
      </c>
      <c r="P608" t="s">
        <v>829</v>
      </c>
    </row>
    <row r="609" spans="1:16" x14ac:dyDescent="0.25">
      <c r="A609" t="s">
        <v>922</v>
      </c>
      <c r="B609" t="s">
        <v>116</v>
      </c>
      <c r="C609" t="s">
        <v>915</v>
      </c>
      <c r="D609" t="s">
        <v>8</v>
      </c>
      <c r="E609">
        <v>2023</v>
      </c>
      <c r="F609" t="s">
        <v>72</v>
      </c>
      <c r="G609" t="s">
        <v>918</v>
      </c>
      <c r="H609" t="s">
        <v>354</v>
      </c>
      <c r="I609" t="s">
        <v>919</v>
      </c>
      <c r="J609" t="s">
        <v>34</v>
      </c>
      <c r="K609" t="s">
        <v>37</v>
      </c>
      <c r="L609" t="s">
        <v>5</v>
      </c>
      <c r="M609" t="s">
        <v>802</v>
      </c>
      <c r="N609" t="s">
        <v>817</v>
      </c>
      <c r="O609" t="s">
        <v>394</v>
      </c>
      <c r="P609" t="s">
        <v>829</v>
      </c>
    </row>
    <row r="610" spans="1:16" x14ac:dyDescent="0.25">
      <c r="A610" t="s">
        <v>922</v>
      </c>
      <c r="B610" t="s">
        <v>116</v>
      </c>
      <c r="C610" t="s">
        <v>915</v>
      </c>
      <c r="D610" t="s">
        <v>8</v>
      </c>
      <c r="E610">
        <v>2023</v>
      </c>
      <c r="F610" t="s">
        <v>72</v>
      </c>
      <c r="G610" t="s">
        <v>918</v>
      </c>
      <c r="H610" t="s">
        <v>354</v>
      </c>
      <c r="I610" t="s">
        <v>919</v>
      </c>
      <c r="J610" t="s">
        <v>34</v>
      </c>
      <c r="K610" t="s">
        <v>37</v>
      </c>
      <c r="L610" t="s">
        <v>5</v>
      </c>
      <c r="M610" t="s">
        <v>802</v>
      </c>
      <c r="N610" t="s">
        <v>813</v>
      </c>
      <c r="O610" t="s">
        <v>391</v>
      </c>
      <c r="P610" t="s">
        <v>829</v>
      </c>
    </row>
    <row r="611" spans="1:16" x14ac:dyDescent="0.25">
      <c r="A611" t="s">
        <v>516</v>
      </c>
      <c r="B611" t="s">
        <v>116</v>
      </c>
      <c r="C611" t="s">
        <v>418</v>
      </c>
      <c r="D611" t="s">
        <v>8</v>
      </c>
      <c r="E611">
        <v>2022</v>
      </c>
      <c r="F611" t="s">
        <v>149</v>
      </c>
      <c r="G611" t="s">
        <v>501</v>
      </c>
      <c r="H611" t="s">
        <v>354</v>
      </c>
      <c r="I611" t="s">
        <v>429</v>
      </c>
      <c r="J611" t="s">
        <v>35</v>
      </c>
      <c r="K611" t="s">
        <v>807</v>
      </c>
      <c r="L611" t="s">
        <v>808</v>
      </c>
      <c r="M611" t="s">
        <v>802</v>
      </c>
      <c r="N611" t="s">
        <v>815</v>
      </c>
      <c r="O611" t="s">
        <v>403</v>
      </c>
      <c r="P611" t="s">
        <v>834</v>
      </c>
    </row>
    <row r="612" spans="1:16" x14ac:dyDescent="0.25">
      <c r="A612" t="s">
        <v>516</v>
      </c>
      <c r="B612" t="s">
        <v>116</v>
      </c>
      <c r="C612" t="s">
        <v>418</v>
      </c>
      <c r="D612" t="s">
        <v>8</v>
      </c>
      <c r="E612">
        <v>2022</v>
      </c>
      <c r="F612" t="s">
        <v>149</v>
      </c>
      <c r="G612" t="s">
        <v>501</v>
      </c>
      <c r="H612" t="s">
        <v>354</v>
      </c>
      <c r="I612" t="s">
        <v>429</v>
      </c>
      <c r="J612" t="s">
        <v>35</v>
      </c>
      <c r="K612" t="s">
        <v>807</v>
      </c>
      <c r="L612" t="s">
        <v>808</v>
      </c>
      <c r="M612" t="s">
        <v>802</v>
      </c>
      <c r="N612" t="s">
        <v>367</v>
      </c>
      <c r="O612" t="s">
        <v>388</v>
      </c>
      <c r="P612" t="s">
        <v>834</v>
      </c>
    </row>
    <row r="613" spans="1:16" x14ac:dyDescent="0.25">
      <c r="A613" t="s">
        <v>516</v>
      </c>
      <c r="B613" t="s">
        <v>116</v>
      </c>
      <c r="C613" t="s">
        <v>418</v>
      </c>
      <c r="D613" t="s">
        <v>8</v>
      </c>
      <c r="E613">
        <v>2022</v>
      </c>
      <c r="F613" t="s">
        <v>149</v>
      </c>
      <c r="G613" t="s">
        <v>501</v>
      </c>
      <c r="H613" t="s">
        <v>354</v>
      </c>
      <c r="I613" t="s">
        <v>429</v>
      </c>
      <c r="J613" t="s">
        <v>35</v>
      </c>
      <c r="K613" t="s">
        <v>807</v>
      </c>
      <c r="L613" t="s">
        <v>808</v>
      </c>
      <c r="M613" t="s">
        <v>803</v>
      </c>
      <c r="N613" t="s">
        <v>815</v>
      </c>
      <c r="O613" t="s">
        <v>403</v>
      </c>
      <c r="P613" t="s">
        <v>834</v>
      </c>
    </row>
    <row r="614" spans="1:16" x14ac:dyDescent="0.25">
      <c r="A614" t="s">
        <v>516</v>
      </c>
      <c r="B614" t="s">
        <v>116</v>
      </c>
      <c r="C614" t="s">
        <v>418</v>
      </c>
      <c r="D614" t="s">
        <v>8</v>
      </c>
      <c r="E614">
        <v>2022</v>
      </c>
      <c r="F614" t="s">
        <v>149</v>
      </c>
      <c r="G614" t="s">
        <v>501</v>
      </c>
      <c r="H614" t="s">
        <v>354</v>
      </c>
      <c r="I614" t="s">
        <v>429</v>
      </c>
      <c r="J614" t="s">
        <v>35</v>
      </c>
      <c r="K614" t="s">
        <v>807</v>
      </c>
      <c r="L614" t="s">
        <v>808</v>
      </c>
      <c r="M614" t="s">
        <v>803</v>
      </c>
      <c r="N614" t="s">
        <v>367</v>
      </c>
      <c r="O614" t="s">
        <v>388</v>
      </c>
      <c r="P614" t="s">
        <v>834</v>
      </c>
    </row>
    <row r="615" spans="1:16" x14ac:dyDescent="0.25">
      <c r="A615" t="s">
        <v>516</v>
      </c>
      <c r="B615" t="s">
        <v>116</v>
      </c>
      <c r="C615" t="s">
        <v>418</v>
      </c>
      <c r="D615" t="s">
        <v>8</v>
      </c>
      <c r="E615">
        <v>2022</v>
      </c>
      <c r="F615" t="s">
        <v>149</v>
      </c>
      <c r="G615" t="s">
        <v>501</v>
      </c>
      <c r="H615" t="s">
        <v>354</v>
      </c>
      <c r="I615" t="s">
        <v>429</v>
      </c>
      <c r="J615" t="s">
        <v>35</v>
      </c>
      <c r="K615" t="s">
        <v>807</v>
      </c>
      <c r="L615" t="s">
        <v>808</v>
      </c>
      <c r="M615" t="s">
        <v>90</v>
      </c>
      <c r="N615" t="s">
        <v>815</v>
      </c>
      <c r="O615" t="s">
        <v>403</v>
      </c>
      <c r="P615" t="s">
        <v>834</v>
      </c>
    </row>
    <row r="616" spans="1:16" x14ac:dyDescent="0.25">
      <c r="A616" t="s">
        <v>516</v>
      </c>
      <c r="B616" t="s">
        <v>116</v>
      </c>
      <c r="C616" t="s">
        <v>418</v>
      </c>
      <c r="D616" t="s">
        <v>8</v>
      </c>
      <c r="E616">
        <v>2022</v>
      </c>
      <c r="F616" t="s">
        <v>149</v>
      </c>
      <c r="G616" t="s">
        <v>501</v>
      </c>
      <c r="H616" t="s">
        <v>354</v>
      </c>
      <c r="I616" t="s">
        <v>429</v>
      </c>
      <c r="J616" t="s">
        <v>35</v>
      </c>
      <c r="K616" t="s">
        <v>807</v>
      </c>
      <c r="L616" t="s">
        <v>808</v>
      </c>
      <c r="M616" t="s">
        <v>90</v>
      </c>
      <c r="N616" t="s">
        <v>367</v>
      </c>
      <c r="O616" t="s">
        <v>388</v>
      </c>
      <c r="P616" t="s">
        <v>834</v>
      </c>
    </row>
    <row r="617" spans="1:16" x14ac:dyDescent="0.25">
      <c r="A617" t="s">
        <v>517</v>
      </c>
      <c r="B617" t="s">
        <v>116</v>
      </c>
      <c r="C617" t="s">
        <v>419</v>
      </c>
      <c r="D617" t="s">
        <v>8</v>
      </c>
      <c r="E617">
        <v>2020</v>
      </c>
      <c r="F617" t="s">
        <v>149</v>
      </c>
      <c r="G617" t="s">
        <v>502</v>
      </c>
      <c r="H617" t="s">
        <v>354</v>
      </c>
      <c r="I617" t="s">
        <v>426</v>
      </c>
      <c r="J617" t="s">
        <v>35</v>
      </c>
      <c r="K617" t="s">
        <v>807</v>
      </c>
      <c r="L617" t="s">
        <v>808</v>
      </c>
      <c r="M617" t="s">
        <v>803</v>
      </c>
      <c r="N617" t="s">
        <v>814</v>
      </c>
      <c r="O617" t="s">
        <v>392</v>
      </c>
      <c r="P617" t="s">
        <v>825</v>
      </c>
    </row>
    <row r="618" spans="1:16" x14ac:dyDescent="0.25">
      <c r="A618" t="s">
        <v>517</v>
      </c>
      <c r="B618" t="s">
        <v>116</v>
      </c>
      <c r="C618" t="s">
        <v>419</v>
      </c>
      <c r="D618" t="s">
        <v>8</v>
      </c>
      <c r="E618">
        <v>2020</v>
      </c>
      <c r="F618" t="s">
        <v>149</v>
      </c>
      <c r="G618" t="s">
        <v>502</v>
      </c>
      <c r="H618" t="s">
        <v>354</v>
      </c>
      <c r="I618" t="s">
        <v>426</v>
      </c>
      <c r="J618" t="s">
        <v>35</v>
      </c>
      <c r="K618" t="s">
        <v>807</v>
      </c>
      <c r="L618" t="s">
        <v>808</v>
      </c>
      <c r="M618" t="s">
        <v>802</v>
      </c>
      <c r="N618" t="s">
        <v>814</v>
      </c>
      <c r="O618" t="s">
        <v>392</v>
      </c>
      <c r="P618" t="s">
        <v>825</v>
      </c>
    </row>
    <row r="619" spans="1:16" x14ac:dyDescent="0.25">
      <c r="A619" t="s">
        <v>517</v>
      </c>
      <c r="B619" t="s">
        <v>116</v>
      </c>
      <c r="C619" t="s">
        <v>419</v>
      </c>
      <c r="D619" t="s">
        <v>8</v>
      </c>
      <c r="E619">
        <v>2020</v>
      </c>
      <c r="F619" t="s">
        <v>149</v>
      </c>
      <c r="G619" t="s">
        <v>502</v>
      </c>
      <c r="H619" t="s">
        <v>354</v>
      </c>
      <c r="I619" t="s">
        <v>426</v>
      </c>
      <c r="J619" t="s">
        <v>35</v>
      </c>
      <c r="K619" t="s">
        <v>807</v>
      </c>
      <c r="L619" t="s">
        <v>808</v>
      </c>
      <c r="M619" t="s">
        <v>36</v>
      </c>
      <c r="N619" t="s">
        <v>814</v>
      </c>
      <c r="O619" t="s">
        <v>392</v>
      </c>
      <c r="P619" t="s">
        <v>825</v>
      </c>
    </row>
    <row r="620" spans="1:16" x14ac:dyDescent="0.25">
      <c r="A620" t="s">
        <v>518</v>
      </c>
      <c r="B620" t="s">
        <v>116</v>
      </c>
      <c r="C620" t="s">
        <v>503</v>
      </c>
      <c r="D620" t="s">
        <v>8</v>
      </c>
      <c r="E620">
        <v>2020</v>
      </c>
      <c r="F620" t="s">
        <v>149</v>
      </c>
      <c r="G620" t="s">
        <v>504</v>
      </c>
      <c r="H620" t="s">
        <v>354</v>
      </c>
      <c r="I620" t="s">
        <v>426</v>
      </c>
      <c r="J620" t="s">
        <v>35</v>
      </c>
      <c r="K620" t="s">
        <v>807</v>
      </c>
      <c r="L620" t="s">
        <v>808</v>
      </c>
      <c r="M620" t="s">
        <v>802</v>
      </c>
      <c r="N620" t="s">
        <v>815</v>
      </c>
      <c r="O620" t="s">
        <v>403</v>
      </c>
      <c r="P620" t="s">
        <v>823</v>
      </c>
    </row>
    <row r="621" spans="1:16" x14ac:dyDescent="0.25">
      <c r="A621" t="s">
        <v>518</v>
      </c>
      <c r="B621" t="s">
        <v>116</v>
      </c>
      <c r="C621" t="s">
        <v>503</v>
      </c>
      <c r="D621" t="s">
        <v>8</v>
      </c>
      <c r="E621">
        <v>2020</v>
      </c>
      <c r="F621" t="s">
        <v>149</v>
      </c>
      <c r="G621" t="s">
        <v>504</v>
      </c>
      <c r="H621" t="s">
        <v>354</v>
      </c>
      <c r="I621" t="s">
        <v>426</v>
      </c>
      <c r="J621" t="s">
        <v>35</v>
      </c>
      <c r="K621" t="s">
        <v>807</v>
      </c>
      <c r="L621" t="s">
        <v>808</v>
      </c>
      <c r="M621" t="s">
        <v>803</v>
      </c>
      <c r="N621" t="s">
        <v>815</v>
      </c>
      <c r="O621" t="s">
        <v>403</v>
      </c>
      <c r="P621" t="s">
        <v>823</v>
      </c>
    </row>
    <row r="622" spans="1:16" x14ac:dyDescent="0.25">
      <c r="A622" t="s">
        <v>519</v>
      </c>
      <c r="B622" t="s">
        <v>116</v>
      </c>
      <c r="C622" t="s">
        <v>421</v>
      </c>
      <c r="D622" t="s">
        <v>8</v>
      </c>
      <c r="E622">
        <v>2019</v>
      </c>
      <c r="F622" t="s">
        <v>149</v>
      </c>
      <c r="G622" t="s">
        <v>505</v>
      </c>
      <c r="H622" t="s">
        <v>354</v>
      </c>
      <c r="I622" t="s">
        <v>426</v>
      </c>
      <c r="J622" t="s">
        <v>35</v>
      </c>
      <c r="K622" t="s">
        <v>807</v>
      </c>
      <c r="L622" t="s">
        <v>808</v>
      </c>
      <c r="M622" t="s">
        <v>36</v>
      </c>
      <c r="N622" t="s">
        <v>813</v>
      </c>
      <c r="O622" t="s">
        <v>391</v>
      </c>
      <c r="P622" t="s">
        <v>832</v>
      </c>
    </row>
    <row r="623" spans="1:16" x14ac:dyDescent="0.25">
      <c r="A623" t="s">
        <v>519</v>
      </c>
      <c r="B623" t="s">
        <v>116</v>
      </c>
      <c r="C623" t="s">
        <v>421</v>
      </c>
      <c r="D623" t="s">
        <v>8</v>
      </c>
      <c r="E623">
        <v>2019</v>
      </c>
      <c r="F623" t="s">
        <v>149</v>
      </c>
      <c r="G623" t="s">
        <v>505</v>
      </c>
      <c r="H623" t="s">
        <v>354</v>
      </c>
      <c r="I623" t="s">
        <v>426</v>
      </c>
      <c r="J623" t="s">
        <v>35</v>
      </c>
      <c r="K623" t="s">
        <v>807</v>
      </c>
      <c r="L623" t="s">
        <v>808</v>
      </c>
      <c r="M623" t="s">
        <v>36</v>
      </c>
      <c r="N623" t="s">
        <v>367</v>
      </c>
      <c r="O623" t="s">
        <v>388</v>
      </c>
      <c r="P623" t="s">
        <v>832</v>
      </c>
    </row>
    <row r="624" spans="1:16" x14ac:dyDescent="0.25">
      <c r="A624" t="s">
        <v>837</v>
      </c>
      <c r="B624" t="s">
        <v>116</v>
      </c>
      <c r="C624" t="s">
        <v>578</v>
      </c>
      <c r="D624" t="s">
        <v>8</v>
      </c>
      <c r="E624">
        <v>2023</v>
      </c>
      <c r="F624" t="s">
        <v>174</v>
      </c>
      <c r="G624" t="s">
        <v>580</v>
      </c>
      <c r="H624" t="s">
        <v>582</v>
      </c>
      <c r="I624" t="s">
        <v>581</v>
      </c>
      <c r="J624" t="s">
        <v>35</v>
      </c>
      <c r="K624" t="s">
        <v>37</v>
      </c>
      <c r="L624" t="s">
        <v>809</v>
      </c>
      <c r="M624" t="s">
        <v>36</v>
      </c>
      <c r="N624" t="s">
        <v>817</v>
      </c>
      <c r="O624" t="s">
        <v>394</v>
      </c>
      <c r="P624" t="s">
        <v>826</v>
      </c>
    </row>
    <row r="625" spans="1:16" x14ac:dyDescent="0.25">
      <c r="A625" t="s">
        <v>838</v>
      </c>
      <c r="B625" t="s">
        <v>116</v>
      </c>
      <c r="C625" t="s">
        <v>583</v>
      </c>
      <c r="D625" t="s">
        <v>8</v>
      </c>
      <c r="E625">
        <v>2016</v>
      </c>
      <c r="F625" t="s">
        <v>72</v>
      </c>
      <c r="G625" t="s">
        <v>585</v>
      </c>
      <c r="H625" t="s">
        <v>587</v>
      </c>
      <c r="I625" t="s">
        <v>586</v>
      </c>
      <c r="J625" t="s">
        <v>35</v>
      </c>
      <c r="K625" t="s">
        <v>37</v>
      </c>
      <c r="L625" t="s">
        <v>204</v>
      </c>
      <c r="M625" t="s">
        <v>803</v>
      </c>
      <c r="N625" t="s">
        <v>811</v>
      </c>
      <c r="O625" t="s">
        <v>389</v>
      </c>
      <c r="P625" t="s">
        <v>903</v>
      </c>
    </row>
    <row r="626" spans="1:16" x14ac:dyDescent="0.25">
      <c r="A626" t="s">
        <v>838</v>
      </c>
      <c r="B626" t="s">
        <v>116</v>
      </c>
      <c r="C626" t="s">
        <v>583</v>
      </c>
      <c r="D626" t="s">
        <v>8</v>
      </c>
      <c r="E626">
        <v>2016</v>
      </c>
      <c r="F626" t="s">
        <v>72</v>
      </c>
      <c r="G626" t="s">
        <v>585</v>
      </c>
      <c r="H626" t="s">
        <v>587</v>
      </c>
      <c r="I626" t="s">
        <v>586</v>
      </c>
      <c r="J626" t="s">
        <v>35</v>
      </c>
      <c r="K626" t="s">
        <v>37</v>
      </c>
      <c r="L626" t="s">
        <v>204</v>
      </c>
      <c r="M626" t="s">
        <v>803</v>
      </c>
      <c r="N626" t="s">
        <v>817</v>
      </c>
      <c r="O626" t="s">
        <v>394</v>
      </c>
      <c r="P626" t="s">
        <v>903</v>
      </c>
    </row>
    <row r="627" spans="1:16" x14ac:dyDescent="0.25">
      <c r="A627" t="s">
        <v>838</v>
      </c>
      <c r="B627" t="s">
        <v>116</v>
      </c>
      <c r="C627" t="s">
        <v>583</v>
      </c>
      <c r="D627" t="s">
        <v>8</v>
      </c>
      <c r="E627">
        <v>2016</v>
      </c>
      <c r="F627" t="s">
        <v>72</v>
      </c>
      <c r="G627" t="s">
        <v>585</v>
      </c>
      <c r="H627" t="s">
        <v>587</v>
      </c>
      <c r="I627" t="s">
        <v>586</v>
      </c>
      <c r="J627" t="s">
        <v>35</v>
      </c>
      <c r="K627" t="s">
        <v>37</v>
      </c>
      <c r="L627" t="s">
        <v>204</v>
      </c>
      <c r="M627" t="s">
        <v>36</v>
      </c>
      <c r="N627" t="s">
        <v>811</v>
      </c>
      <c r="O627" t="s">
        <v>389</v>
      </c>
      <c r="P627" t="s">
        <v>903</v>
      </c>
    </row>
    <row r="628" spans="1:16" x14ac:dyDescent="0.25">
      <c r="A628" t="s">
        <v>838</v>
      </c>
      <c r="B628" t="s">
        <v>116</v>
      </c>
      <c r="C628" t="s">
        <v>583</v>
      </c>
      <c r="D628" t="s">
        <v>8</v>
      </c>
      <c r="E628">
        <v>2016</v>
      </c>
      <c r="F628" t="s">
        <v>72</v>
      </c>
      <c r="G628" t="s">
        <v>585</v>
      </c>
      <c r="H628" t="s">
        <v>587</v>
      </c>
      <c r="I628" t="s">
        <v>586</v>
      </c>
      <c r="J628" t="s">
        <v>35</v>
      </c>
      <c r="K628" t="s">
        <v>37</v>
      </c>
      <c r="L628" t="s">
        <v>204</v>
      </c>
      <c r="M628" t="s">
        <v>36</v>
      </c>
      <c r="N628" t="s">
        <v>817</v>
      </c>
      <c r="O628" t="s">
        <v>394</v>
      </c>
      <c r="P628" t="s">
        <v>903</v>
      </c>
    </row>
    <row r="629" spans="1:16" x14ac:dyDescent="0.25">
      <c r="A629" t="s">
        <v>839</v>
      </c>
      <c r="B629" t="s">
        <v>116</v>
      </c>
      <c r="C629" t="s">
        <v>588</v>
      </c>
      <c r="D629" t="s">
        <v>8</v>
      </c>
      <c r="E629">
        <v>2019</v>
      </c>
      <c r="F629" t="s">
        <v>819</v>
      </c>
      <c r="G629" t="s">
        <v>591</v>
      </c>
      <c r="H629" t="s">
        <v>587</v>
      </c>
      <c r="I629" t="s">
        <v>592</v>
      </c>
      <c r="J629" t="s">
        <v>35</v>
      </c>
      <c r="K629" t="s">
        <v>37</v>
      </c>
      <c r="L629" t="s">
        <v>809</v>
      </c>
      <c r="M629" t="s">
        <v>36</v>
      </c>
      <c r="N629" t="s">
        <v>816</v>
      </c>
      <c r="O629" t="s">
        <v>404</v>
      </c>
      <c r="P629" t="s">
        <v>904</v>
      </c>
    </row>
    <row r="630" spans="1:16" x14ac:dyDescent="0.25">
      <c r="A630" t="s">
        <v>839</v>
      </c>
      <c r="B630" t="s">
        <v>116</v>
      </c>
      <c r="C630" t="s">
        <v>588</v>
      </c>
      <c r="D630" t="s">
        <v>8</v>
      </c>
      <c r="E630">
        <v>2019</v>
      </c>
      <c r="F630" t="s">
        <v>819</v>
      </c>
      <c r="G630" t="s">
        <v>591</v>
      </c>
      <c r="H630" t="s">
        <v>587</v>
      </c>
      <c r="I630" t="s">
        <v>592</v>
      </c>
      <c r="J630" t="s">
        <v>35</v>
      </c>
      <c r="K630" t="s">
        <v>37</v>
      </c>
      <c r="L630" t="s">
        <v>809</v>
      </c>
      <c r="M630" t="s">
        <v>36</v>
      </c>
      <c r="N630" t="s">
        <v>817</v>
      </c>
      <c r="O630" t="s">
        <v>394</v>
      </c>
      <c r="P630" t="s">
        <v>904</v>
      </c>
    </row>
    <row r="631" spans="1:16" x14ac:dyDescent="0.25">
      <c r="A631" t="s">
        <v>839</v>
      </c>
      <c r="B631" t="s">
        <v>116</v>
      </c>
      <c r="C631" t="s">
        <v>588</v>
      </c>
      <c r="D631" t="s">
        <v>8</v>
      </c>
      <c r="E631">
        <v>2019</v>
      </c>
      <c r="F631" t="s">
        <v>819</v>
      </c>
      <c r="G631" t="s">
        <v>591</v>
      </c>
      <c r="H631" t="s">
        <v>587</v>
      </c>
      <c r="I631" t="s">
        <v>592</v>
      </c>
      <c r="J631" t="s">
        <v>35</v>
      </c>
      <c r="K631" t="s">
        <v>37</v>
      </c>
      <c r="L631" t="s">
        <v>809</v>
      </c>
      <c r="M631" t="s">
        <v>803</v>
      </c>
      <c r="N631" t="s">
        <v>816</v>
      </c>
      <c r="O631" t="s">
        <v>404</v>
      </c>
      <c r="P631" t="s">
        <v>904</v>
      </c>
    </row>
    <row r="632" spans="1:16" x14ac:dyDescent="0.25">
      <c r="A632" t="s">
        <v>839</v>
      </c>
      <c r="B632" t="s">
        <v>116</v>
      </c>
      <c r="C632" t="s">
        <v>588</v>
      </c>
      <c r="D632" t="s">
        <v>8</v>
      </c>
      <c r="E632">
        <v>2019</v>
      </c>
      <c r="F632" t="s">
        <v>819</v>
      </c>
      <c r="G632" t="s">
        <v>591</v>
      </c>
      <c r="H632" t="s">
        <v>587</v>
      </c>
      <c r="I632" t="s">
        <v>592</v>
      </c>
      <c r="J632" t="s">
        <v>35</v>
      </c>
      <c r="K632" t="s">
        <v>37</v>
      </c>
      <c r="L632" t="s">
        <v>809</v>
      </c>
      <c r="M632" t="s">
        <v>803</v>
      </c>
      <c r="N632" t="s">
        <v>817</v>
      </c>
      <c r="O632" t="s">
        <v>394</v>
      </c>
      <c r="P632" t="s">
        <v>904</v>
      </c>
    </row>
    <row r="633" spans="1:16" x14ac:dyDescent="0.25">
      <c r="A633" t="s">
        <v>840</v>
      </c>
      <c r="B633" t="s">
        <v>116</v>
      </c>
      <c r="C633" t="s">
        <v>593</v>
      </c>
      <c r="D633" t="s">
        <v>8</v>
      </c>
      <c r="E633">
        <v>2020</v>
      </c>
      <c r="F633" t="s">
        <v>821</v>
      </c>
      <c r="G633" t="s">
        <v>595</v>
      </c>
      <c r="H633" t="s">
        <v>587</v>
      </c>
      <c r="I633" t="s">
        <v>596</v>
      </c>
      <c r="J633" t="s">
        <v>35</v>
      </c>
      <c r="K633" t="s">
        <v>37</v>
      </c>
      <c r="L633" t="s">
        <v>809</v>
      </c>
      <c r="M633" t="s">
        <v>803</v>
      </c>
      <c r="N633" t="s">
        <v>813</v>
      </c>
      <c r="O633" t="s">
        <v>391</v>
      </c>
      <c r="P633" t="s">
        <v>828</v>
      </c>
    </row>
    <row r="634" spans="1:16" x14ac:dyDescent="0.25">
      <c r="A634" t="s">
        <v>840</v>
      </c>
      <c r="B634" t="s">
        <v>116</v>
      </c>
      <c r="C634" t="s">
        <v>593</v>
      </c>
      <c r="D634" t="s">
        <v>8</v>
      </c>
      <c r="E634">
        <v>2020</v>
      </c>
      <c r="F634" t="s">
        <v>821</v>
      </c>
      <c r="G634" t="s">
        <v>595</v>
      </c>
      <c r="H634" t="s">
        <v>587</v>
      </c>
      <c r="I634" t="s">
        <v>596</v>
      </c>
      <c r="J634" t="s">
        <v>35</v>
      </c>
      <c r="K634" t="s">
        <v>37</v>
      </c>
      <c r="L634" t="s">
        <v>809</v>
      </c>
      <c r="M634" t="s">
        <v>802</v>
      </c>
      <c r="N634" t="s">
        <v>813</v>
      </c>
      <c r="O634" t="s">
        <v>391</v>
      </c>
      <c r="P634" t="s">
        <v>828</v>
      </c>
    </row>
    <row r="635" spans="1:16" x14ac:dyDescent="0.25">
      <c r="A635" t="s">
        <v>840</v>
      </c>
      <c r="B635" t="s">
        <v>116</v>
      </c>
      <c r="C635" t="s">
        <v>593</v>
      </c>
      <c r="D635" t="s">
        <v>8</v>
      </c>
      <c r="E635">
        <v>2020</v>
      </c>
      <c r="F635" t="s">
        <v>821</v>
      </c>
      <c r="G635" t="s">
        <v>595</v>
      </c>
      <c r="H635" t="s">
        <v>587</v>
      </c>
      <c r="I635" t="s">
        <v>596</v>
      </c>
      <c r="J635" t="s">
        <v>35</v>
      </c>
      <c r="K635" t="s">
        <v>37</v>
      </c>
      <c r="L635" t="s">
        <v>809</v>
      </c>
      <c r="M635" t="s">
        <v>36</v>
      </c>
      <c r="N635" t="s">
        <v>813</v>
      </c>
      <c r="O635" t="s">
        <v>391</v>
      </c>
      <c r="P635" t="s">
        <v>828</v>
      </c>
    </row>
    <row r="636" spans="1:16" x14ac:dyDescent="0.25">
      <c r="A636" t="s">
        <v>841</v>
      </c>
      <c r="B636" t="s">
        <v>116</v>
      </c>
      <c r="C636" t="s">
        <v>597</v>
      </c>
      <c r="D636" t="s">
        <v>8</v>
      </c>
      <c r="E636">
        <v>2021</v>
      </c>
      <c r="F636" t="s">
        <v>819</v>
      </c>
      <c r="G636" t="s">
        <v>599</v>
      </c>
      <c r="H636" t="s">
        <v>587</v>
      </c>
      <c r="I636" t="s">
        <v>600</v>
      </c>
      <c r="J636" t="s">
        <v>35</v>
      </c>
      <c r="K636" t="s">
        <v>807</v>
      </c>
      <c r="L636" t="s">
        <v>204</v>
      </c>
      <c r="M636" t="s">
        <v>802</v>
      </c>
      <c r="N636" t="s">
        <v>367</v>
      </c>
      <c r="O636" t="s">
        <v>388</v>
      </c>
      <c r="P636" t="s">
        <v>905</v>
      </c>
    </row>
    <row r="637" spans="1:16" x14ac:dyDescent="0.25">
      <c r="A637" t="s">
        <v>841</v>
      </c>
      <c r="B637" t="s">
        <v>116</v>
      </c>
      <c r="C637" t="s">
        <v>597</v>
      </c>
      <c r="D637" t="s">
        <v>8</v>
      </c>
      <c r="E637">
        <v>2021</v>
      </c>
      <c r="F637" t="s">
        <v>819</v>
      </c>
      <c r="G637" t="s">
        <v>599</v>
      </c>
      <c r="H637" t="s">
        <v>587</v>
      </c>
      <c r="I637" t="s">
        <v>600</v>
      </c>
      <c r="J637" t="s">
        <v>35</v>
      </c>
      <c r="K637" t="s">
        <v>807</v>
      </c>
      <c r="L637" t="s">
        <v>204</v>
      </c>
      <c r="M637" t="s">
        <v>802</v>
      </c>
      <c r="N637" t="s">
        <v>817</v>
      </c>
      <c r="O637" t="s">
        <v>394</v>
      </c>
      <c r="P637" t="s">
        <v>905</v>
      </c>
    </row>
    <row r="638" spans="1:16" x14ac:dyDescent="0.25">
      <c r="A638" t="s">
        <v>842</v>
      </c>
      <c r="B638" t="s">
        <v>116</v>
      </c>
      <c r="C638" t="s">
        <v>602</v>
      </c>
      <c r="D638" t="s">
        <v>491</v>
      </c>
      <c r="E638">
        <v>2004</v>
      </c>
      <c r="F638" t="s">
        <v>89</v>
      </c>
      <c r="G638" t="s">
        <v>604</v>
      </c>
      <c r="H638" t="s">
        <v>606</v>
      </c>
      <c r="I638" t="s">
        <v>605</v>
      </c>
      <c r="J638" t="s">
        <v>35</v>
      </c>
      <c r="K638" t="s">
        <v>37</v>
      </c>
      <c r="L638" t="s">
        <v>809</v>
      </c>
      <c r="M638" t="s">
        <v>803</v>
      </c>
      <c r="N638" t="s">
        <v>814</v>
      </c>
      <c r="O638" t="s">
        <v>392</v>
      </c>
      <c r="P638" t="s">
        <v>825</v>
      </c>
    </row>
    <row r="639" spans="1:16" x14ac:dyDescent="0.25">
      <c r="A639" t="s">
        <v>843</v>
      </c>
      <c r="B639" t="s">
        <v>116</v>
      </c>
      <c r="C639" t="s">
        <v>608</v>
      </c>
      <c r="D639" t="s">
        <v>60</v>
      </c>
      <c r="E639">
        <v>2022</v>
      </c>
      <c r="F639" t="s">
        <v>149</v>
      </c>
      <c r="G639" t="s">
        <v>610</v>
      </c>
      <c r="H639" t="s">
        <v>354</v>
      </c>
      <c r="I639" t="s">
        <v>611</v>
      </c>
      <c r="J639" t="s">
        <v>35</v>
      </c>
      <c r="K639" t="s">
        <v>37</v>
      </c>
      <c r="L639" t="s">
        <v>204</v>
      </c>
      <c r="M639" t="s">
        <v>802</v>
      </c>
      <c r="N639" t="s">
        <v>367</v>
      </c>
      <c r="O639" t="s">
        <v>388</v>
      </c>
      <c r="P639" t="s">
        <v>833</v>
      </c>
    </row>
    <row r="640" spans="1:16" x14ac:dyDescent="0.25">
      <c r="A640" t="s">
        <v>843</v>
      </c>
      <c r="B640" t="s">
        <v>116</v>
      </c>
      <c r="C640" t="s">
        <v>608</v>
      </c>
      <c r="D640" t="s">
        <v>60</v>
      </c>
      <c r="E640">
        <v>2022</v>
      </c>
      <c r="F640" t="s">
        <v>149</v>
      </c>
      <c r="G640" t="s">
        <v>610</v>
      </c>
      <c r="H640" t="s">
        <v>354</v>
      </c>
      <c r="I640" t="s">
        <v>611</v>
      </c>
      <c r="J640" t="s">
        <v>35</v>
      </c>
      <c r="K640" t="s">
        <v>37</v>
      </c>
      <c r="L640" t="s">
        <v>204</v>
      </c>
      <c r="M640" t="s">
        <v>802</v>
      </c>
      <c r="N640" t="s">
        <v>815</v>
      </c>
      <c r="O640" t="s">
        <v>403</v>
      </c>
      <c r="P640" t="s">
        <v>833</v>
      </c>
    </row>
    <row r="641" spans="1:16" x14ac:dyDescent="0.25">
      <c r="A641" t="s">
        <v>844</v>
      </c>
      <c r="B641" t="s">
        <v>116</v>
      </c>
      <c r="C641" t="s">
        <v>612</v>
      </c>
      <c r="D641" t="s">
        <v>8</v>
      </c>
      <c r="E641">
        <v>2023</v>
      </c>
      <c r="F641" t="s">
        <v>182</v>
      </c>
      <c r="G641" t="s">
        <v>614</v>
      </c>
      <c r="H641" t="s">
        <v>354</v>
      </c>
      <c r="I641" t="s">
        <v>354</v>
      </c>
      <c r="J641" t="s">
        <v>35</v>
      </c>
      <c r="K641" t="s">
        <v>807</v>
      </c>
      <c r="L641" t="s">
        <v>809</v>
      </c>
      <c r="M641" t="s">
        <v>803</v>
      </c>
      <c r="N641" t="s">
        <v>815</v>
      </c>
      <c r="O641" t="s">
        <v>403</v>
      </c>
      <c r="P641" t="s">
        <v>906</v>
      </c>
    </row>
    <row r="642" spans="1:16" x14ac:dyDescent="0.25">
      <c r="A642" t="s">
        <v>844</v>
      </c>
      <c r="B642" t="s">
        <v>116</v>
      </c>
      <c r="C642" t="s">
        <v>612</v>
      </c>
      <c r="D642" t="s">
        <v>8</v>
      </c>
      <c r="E642">
        <v>2023</v>
      </c>
      <c r="F642" t="s">
        <v>182</v>
      </c>
      <c r="G642" t="s">
        <v>614</v>
      </c>
      <c r="H642" t="s">
        <v>354</v>
      </c>
      <c r="I642" t="s">
        <v>354</v>
      </c>
      <c r="J642" t="s">
        <v>35</v>
      </c>
      <c r="K642" t="s">
        <v>807</v>
      </c>
      <c r="L642" t="s">
        <v>809</v>
      </c>
      <c r="M642" t="s">
        <v>803</v>
      </c>
      <c r="N642" t="s">
        <v>813</v>
      </c>
      <c r="O642" t="s">
        <v>391</v>
      </c>
      <c r="P642" t="s">
        <v>906</v>
      </c>
    </row>
    <row r="643" spans="1:16" x14ac:dyDescent="0.25">
      <c r="A643" t="s">
        <v>844</v>
      </c>
      <c r="B643" t="s">
        <v>116</v>
      </c>
      <c r="C643" t="s">
        <v>612</v>
      </c>
      <c r="D643" t="s">
        <v>8</v>
      </c>
      <c r="E643">
        <v>2023</v>
      </c>
      <c r="F643" t="s">
        <v>182</v>
      </c>
      <c r="G643" t="s">
        <v>614</v>
      </c>
      <c r="H643" t="s">
        <v>354</v>
      </c>
      <c r="I643" t="s">
        <v>354</v>
      </c>
      <c r="J643" t="s">
        <v>35</v>
      </c>
      <c r="K643" t="s">
        <v>807</v>
      </c>
      <c r="L643" t="s">
        <v>809</v>
      </c>
      <c r="M643" t="s">
        <v>802</v>
      </c>
      <c r="N643" t="s">
        <v>815</v>
      </c>
      <c r="O643" t="s">
        <v>403</v>
      </c>
      <c r="P643" t="s">
        <v>906</v>
      </c>
    </row>
    <row r="644" spans="1:16" x14ac:dyDescent="0.25">
      <c r="A644" t="s">
        <v>844</v>
      </c>
      <c r="B644" t="s">
        <v>116</v>
      </c>
      <c r="C644" t="s">
        <v>612</v>
      </c>
      <c r="D644" t="s">
        <v>8</v>
      </c>
      <c r="E644">
        <v>2023</v>
      </c>
      <c r="F644" t="s">
        <v>182</v>
      </c>
      <c r="G644" t="s">
        <v>614</v>
      </c>
      <c r="H644" t="s">
        <v>354</v>
      </c>
      <c r="I644" t="s">
        <v>354</v>
      </c>
      <c r="J644" t="s">
        <v>35</v>
      </c>
      <c r="K644" t="s">
        <v>807</v>
      </c>
      <c r="L644" t="s">
        <v>809</v>
      </c>
      <c r="M644" t="s">
        <v>802</v>
      </c>
      <c r="N644" t="s">
        <v>813</v>
      </c>
      <c r="O644" t="s">
        <v>391</v>
      </c>
      <c r="P644" t="s">
        <v>906</v>
      </c>
    </row>
    <row r="645" spans="1:16" x14ac:dyDescent="0.25">
      <c r="A645" t="s">
        <v>845</v>
      </c>
      <c r="B645" t="s">
        <v>116</v>
      </c>
      <c r="C645" t="s">
        <v>615</v>
      </c>
      <c r="D645" t="s">
        <v>8</v>
      </c>
      <c r="E645">
        <v>2022</v>
      </c>
      <c r="F645" t="s">
        <v>149</v>
      </c>
      <c r="G645" t="s">
        <v>617</v>
      </c>
      <c r="H645" t="s">
        <v>354</v>
      </c>
      <c r="I645" t="s">
        <v>618</v>
      </c>
      <c r="J645" t="s">
        <v>35</v>
      </c>
      <c r="K645" t="s">
        <v>807</v>
      </c>
      <c r="L645" t="s">
        <v>354</v>
      </c>
      <c r="M645" t="s">
        <v>802</v>
      </c>
      <c r="N645" t="s">
        <v>813</v>
      </c>
      <c r="O645" t="s">
        <v>391</v>
      </c>
      <c r="P645" t="s">
        <v>828</v>
      </c>
    </row>
    <row r="646" spans="1:16" x14ac:dyDescent="0.25">
      <c r="A646" t="s">
        <v>846</v>
      </c>
      <c r="B646" t="s">
        <v>116</v>
      </c>
      <c r="C646" t="s">
        <v>619</v>
      </c>
      <c r="D646" t="s">
        <v>8</v>
      </c>
      <c r="E646">
        <v>2022</v>
      </c>
      <c r="F646" t="s">
        <v>174</v>
      </c>
      <c r="G646" t="s">
        <v>621</v>
      </c>
      <c r="H646" t="s">
        <v>354</v>
      </c>
      <c r="I646" t="s">
        <v>622</v>
      </c>
      <c r="J646" t="s">
        <v>35</v>
      </c>
      <c r="K646" t="s">
        <v>807</v>
      </c>
      <c r="L646" t="s">
        <v>809</v>
      </c>
      <c r="M646" t="s">
        <v>802</v>
      </c>
      <c r="N646" t="s">
        <v>814</v>
      </c>
      <c r="O646" t="s">
        <v>392</v>
      </c>
      <c r="P646" t="s">
        <v>907</v>
      </c>
    </row>
    <row r="647" spans="1:16" x14ac:dyDescent="0.25">
      <c r="A647" t="s">
        <v>846</v>
      </c>
      <c r="B647" t="s">
        <v>116</v>
      </c>
      <c r="C647" t="s">
        <v>619</v>
      </c>
      <c r="D647" t="s">
        <v>8</v>
      </c>
      <c r="E647">
        <v>2022</v>
      </c>
      <c r="F647" t="s">
        <v>174</v>
      </c>
      <c r="G647" t="s">
        <v>621</v>
      </c>
      <c r="H647" t="s">
        <v>354</v>
      </c>
      <c r="I647" t="s">
        <v>622</v>
      </c>
      <c r="J647" t="s">
        <v>35</v>
      </c>
      <c r="K647" t="s">
        <v>807</v>
      </c>
      <c r="L647" t="s">
        <v>809</v>
      </c>
      <c r="M647" t="s">
        <v>802</v>
      </c>
      <c r="N647" t="s">
        <v>367</v>
      </c>
      <c r="O647" t="s">
        <v>388</v>
      </c>
      <c r="P647" t="s">
        <v>907</v>
      </c>
    </row>
    <row r="648" spans="1:16" x14ac:dyDescent="0.25">
      <c r="A648" t="s">
        <v>846</v>
      </c>
      <c r="B648" t="s">
        <v>116</v>
      </c>
      <c r="C648" t="s">
        <v>619</v>
      </c>
      <c r="D648" t="s">
        <v>8</v>
      </c>
      <c r="E648">
        <v>2022</v>
      </c>
      <c r="F648" t="s">
        <v>174</v>
      </c>
      <c r="G648" t="s">
        <v>621</v>
      </c>
      <c r="H648" t="s">
        <v>354</v>
      </c>
      <c r="I648" t="s">
        <v>622</v>
      </c>
      <c r="J648" t="s">
        <v>35</v>
      </c>
      <c r="K648" t="s">
        <v>807</v>
      </c>
      <c r="L648" t="s">
        <v>809</v>
      </c>
      <c r="M648" t="s">
        <v>804</v>
      </c>
      <c r="N648" t="s">
        <v>814</v>
      </c>
      <c r="O648" t="s">
        <v>392</v>
      </c>
      <c r="P648" t="s">
        <v>907</v>
      </c>
    </row>
    <row r="649" spans="1:16" x14ac:dyDescent="0.25">
      <c r="A649" t="s">
        <v>846</v>
      </c>
      <c r="B649" t="s">
        <v>116</v>
      </c>
      <c r="C649" t="s">
        <v>619</v>
      </c>
      <c r="D649" t="s">
        <v>8</v>
      </c>
      <c r="E649">
        <v>2022</v>
      </c>
      <c r="F649" t="s">
        <v>174</v>
      </c>
      <c r="G649" t="s">
        <v>621</v>
      </c>
      <c r="H649" t="s">
        <v>354</v>
      </c>
      <c r="I649" t="s">
        <v>622</v>
      </c>
      <c r="J649" t="s">
        <v>35</v>
      </c>
      <c r="K649" t="s">
        <v>807</v>
      </c>
      <c r="L649" t="s">
        <v>809</v>
      </c>
      <c r="M649" t="s">
        <v>804</v>
      </c>
      <c r="N649" t="s">
        <v>367</v>
      </c>
      <c r="O649" t="s">
        <v>388</v>
      </c>
      <c r="P649" t="s">
        <v>907</v>
      </c>
    </row>
    <row r="650" spans="1:16" x14ac:dyDescent="0.25">
      <c r="A650" t="s">
        <v>846</v>
      </c>
      <c r="B650" t="s">
        <v>116</v>
      </c>
      <c r="C650" t="s">
        <v>619</v>
      </c>
      <c r="D650" t="s">
        <v>8</v>
      </c>
      <c r="E650">
        <v>2022</v>
      </c>
      <c r="F650" t="s">
        <v>174</v>
      </c>
      <c r="G650" t="s">
        <v>621</v>
      </c>
      <c r="H650" t="s">
        <v>354</v>
      </c>
      <c r="I650" t="s">
        <v>622</v>
      </c>
      <c r="J650" t="s">
        <v>35</v>
      </c>
      <c r="K650" t="s">
        <v>807</v>
      </c>
      <c r="L650" t="s">
        <v>809</v>
      </c>
      <c r="M650" t="s">
        <v>90</v>
      </c>
      <c r="N650" t="s">
        <v>814</v>
      </c>
      <c r="O650" t="s">
        <v>392</v>
      </c>
      <c r="P650" t="s">
        <v>907</v>
      </c>
    </row>
    <row r="651" spans="1:16" x14ac:dyDescent="0.25">
      <c r="A651" t="s">
        <v>846</v>
      </c>
      <c r="B651" t="s">
        <v>116</v>
      </c>
      <c r="C651" t="s">
        <v>619</v>
      </c>
      <c r="D651" t="s">
        <v>8</v>
      </c>
      <c r="E651">
        <v>2022</v>
      </c>
      <c r="F651" t="s">
        <v>174</v>
      </c>
      <c r="G651" t="s">
        <v>621</v>
      </c>
      <c r="H651" t="s">
        <v>354</v>
      </c>
      <c r="I651" t="s">
        <v>622</v>
      </c>
      <c r="J651" t="s">
        <v>35</v>
      </c>
      <c r="K651" t="s">
        <v>807</v>
      </c>
      <c r="L651" t="s">
        <v>809</v>
      </c>
      <c r="M651" t="s">
        <v>90</v>
      </c>
      <c r="N651" t="s">
        <v>367</v>
      </c>
      <c r="O651" t="s">
        <v>388</v>
      </c>
      <c r="P651" t="s">
        <v>907</v>
      </c>
    </row>
    <row r="652" spans="1:16" x14ac:dyDescent="0.25">
      <c r="A652" t="s">
        <v>846</v>
      </c>
      <c r="B652" t="s">
        <v>116</v>
      </c>
      <c r="C652" t="s">
        <v>619</v>
      </c>
      <c r="D652" t="s">
        <v>8</v>
      </c>
      <c r="E652">
        <v>2022</v>
      </c>
      <c r="F652" t="s">
        <v>174</v>
      </c>
      <c r="G652" t="s">
        <v>621</v>
      </c>
      <c r="H652" t="s">
        <v>354</v>
      </c>
      <c r="I652" t="s">
        <v>622</v>
      </c>
      <c r="J652" t="s">
        <v>35</v>
      </c>
      <c r="K652" t="s">
        <v>807</v>
      </c>
      <c r="L652" t="s">
        <v>809</v>
      </c>
      <c r="M652" t="s">
        <v>36</v>
      </c>
      <c r="N652" t="s">
        <v>814</v>
      </c>
      <c r="O652" t="s">
        <v>392</v>
      </c>
      <c r="P652" t="s">
        <v>907</v>
      </c>
    </row>
    <row r="653" spans="1:16" x14ac:dyDescent="0.25">
      <c r="A653" t="s">
        <v>846</v>
      </c>
      <c r="B653" t="s">
        <v>116</v>
      </c>
      <c r="C653" t="s">
        <v>619</v>
      </c>
      <c r="D653" t="s">
        <v>8</v>
      </c>
      <c r="E653">
        <v>2022</v>
      </c>
      <c r="F653" t="s">
        <v>174</v>
      </c>
      <c r="G653" t="s">
        <v>621</v>
      </c>
      <c r="H653" t="s">
        <v>354</v>
      </c>
      <c r="I653" t="s">
        <v>622</v>
      </c>
      <c r="J653" t="s">
        <v>35</v>
      </c>
      <c r="K653" t="s">
        <v>807</v>
      </c>
      <c r="L653" t="s">
        <v>809</v>
      </c>
      <c r="M653" t="s">
        <v>36</v>
      </c>
      <c r="N653" t="s">
        <v>367</v>
      </c>
      <c r="O653" t="s">
        <v>388</v>
      </c>
      <c r="P653" t="s">
        <v>907</v>
      </c>
    </row>
    <row r="654" spans="1:16" x14ac:dyDescent="0.25">
      <c r="A654" t="s">
        <v>847</v>
      </c>
      <c r="B654" t="s">
        <v>116</v>
      </c>
      <c r="C654" t="s">
        <v>623</v>
      </c>
      <c r="D654" t="s">
        <v>8</v>
      </c>
      <c r="E654">
        <v>2023</v>
      </c>
      <c r="F654" t="s">
        <v>186</v>
      </c>
      <c r="G654" t="s">
        <v>625</v>
      </c>
      <c r="H654" t="s">
        <v>354</v>
      </c>
      <c r="I654" t="s">
        <v>1373</v>
      </c>
      <c r="J654" t="s">
        <v>35</v>
      </c>
      <c r="K654" t="s">
        <v>807</v>
      </c>
      <c r="L654" t="s">
        <v>809</v>
      </c>
      <c r="M654" t="s">
        <v>36</v>
      </c>
      <c r="N654" t="s">
        <v>814</v>
      </c>
      <c r="O654" t="s">
        <v>392</v>
      </c>
      <c r="P654" t="s">
        <v>825</v>
      </c>
    </row>
    <row r="655" spans="1:16" x14ac:dyDescent="0.25">
      <c r="A655" t="s">
        <v>847</v>
      </c>
      <c r="B655" t="s">
        <v>116</v>
      </c>
      <c r="C655" t="s">
        <v>623</v>
      </c>
      <c r="D655" t="s">
        <v>8</v>
      </c>
      <c r="E655">
        <v>2023</v>
      </c>
      <c r="F655" t="s">
        <v>186</v>
      </c>
      <c r="G655" t="s">
        <v>625</v>
      </c>
      <c r="H655" t="s">
        <v>354</v>
      </c>
      <c r="I655" t="s">
        <v>1373</v>
      </c>
      <c r="J655" t="s">
        <v>35</v>
      </c>
      <c r="K655" t="s">
        <v>807</v>
      </c>
      <c r="L655" t="s">
        <v>809</v>
      </c>
      <c r="M655" t="s">
        <v>90</v>
      </c>
      <c r="N655" t="s">
        <v>814</v>
      </c>
      <c r="O655" t="s">
        <v>392</v>
      </c>
      <c r="P655" t="s">
        <v>825</v>
      </c>
    </row>
    <row r="656" spans="1:16" x14ac:dyDescent="0.25">
      <c r="A656" t="s">
        <v>847</v>
      </c>
      <c r="B656" t="s">
        <v>116</v>
      </c>
      <c r="C656" t="s">
        <v>623</v>
      </c>
      <c r="D656" t="s">
        <v>8</v>
      </c>
      <c r="E656">
        <v>2023</v>
      </c>
      <c r="F656" t="s">
        <v>186</v>
      </c>
      <c r="G656" t="s">
        <v>625</v>
      </c>
      <c r="H656" t="s">
        <v>354</v>
      </c>
      <c r="I656" t="s">
        <v>1373</v>
      </c>
      <c r="J656" t="s">
        <v>35</v>
      </c>
      <c r="K656" t="s">
        <v>807</v>
      </c>
      <c r="L656" t="s">
        <v>809</v>
      </c>
      <c r="M656" t="s">
        <v>802</v>
      </c>
      <c r="N656" t="s">
        <v>814</v>
      </c>
      <c r="O656" t="s">
        <v>392</v>
      </c>
      <c r="P656" t="s">
        <v>825</v>
      </c>
    </row>
    <row r="657" spans="1:16" x14ac:dyDescent="0.25">
      <c r="A657" t="s">
        <v>848</v>
      </c>
      <c r="B657" t="s">
        <v>116</v>
      </c>
      <c r="C657" t="s">
        <v>626</v>
      </c>
      <c r="D657" t="s">
        <v>8</v>
      </c>
      <c r="E657">
        <v>2023</v>
      </c>
      <c r="F657" t="s">
        <v>186</v>
      </c>
      <c r="G657" t="s">
        <v>628</v>
      </c>
      <c r="H657" t="s">
        <v>354</v>
      </c>
      <c r="I657" t="s">
        <v>1373</v>
      </c>
      <c r="J657" t="s">
        <v>35</v>
      </c>
      <c r="K657" t="s">
        <v>807</v>
      </c>
      <c r="L657" t="s">
        <v>809</v>
      </c>
      <c r="M657" t="s">
        <v>802</v>
      </c>
      <c r="N657" t="s">
        <v>367</v>
      </c>
      <c r="O657" t="s">
        <v>388</v>
      </c>
      <c r="P657" t="s">
        <v>371</v>
      </c>
    </row>
    <row r="658" spans="1:16" x14ac:dyDescent="0.25">
      <c r="A658" t="s">
        <v>849</v>
      </c>
      <c r="B658" t="s">
        <v>116</v>
      </c>
      <c r="C658" t="s">
        <v>629</v>
      </c>
      <c r="D658" t="s">
        <v>8</v>
      </c>
      <c r="E658">
        <v>2023</v>
      </c>
      <c r="F658" t="s">
        <v>184</v>
      </c>
      <c r="G658" t="s">
        <v>631</v>
      </c>
      <c r="H658" t="s">
        <v>354</v>
      </c>
      <c r="I658" t="s">
        <v>1373</v>
      </c>
      <c r="J658" t="s">
        <v>35</v>
      </c>
      <c r="K658" t="s">
        <v>37</v>
      </c>
      <c r="L658" t="s">
        <v>354</v>
      </c>
      <c r="M658" t="s">
        <v>803</v>
      </c>
      <c r="N658" t="s">
        <v>816</v>
      </c>
      <c r="O658" t="s">
        <v>404</v>
      </c>
      <c r="P658" t="s">
        <v>908</v>
      </c>
    </row>
    <row r="659" spans="1:16" x14ac:dyDescent="0.25">
      <c r="A659" t="s">
        <v>849</v>
      </c>
      <c r="B659" t="s">
        <v>116</v>
      </c>
      <c r="C659" t="s">
        <v>629</v>
      </c>
      <c r="D659" t="s">
        <v>8</v>
      </c>
      <c r="E659">
        <v>2023</v>
      </c>
      <c r="F659" t="s">
        <v>184</v>
      </c>
      <c r="G659" t="s">
        <v>631</v>
      </c>
      <c r="H659" t="s">
        <v>354</v>
      </c>
      <c r="I659" t="s">
        <v>1373</v>
      </c>
      <c r="J659" t="s">
        <v>35</v>
      </c>
      <c r="K659" t="s">
        <v>37</v>
      </c>
      <c r="L659" t="s">
        <v>354</v>
      </c>
      <c r="M659" t="s">
        <v>803</v>
      </c>
      <c r="N659" t="s">
        <v>813</v>
      </c>
      <c r="O659" t="s">
        <v>391</v>
      </c>
      <c r="P659" t="s">
        <v>908</v>
      </c>
    </row>
    <row r="660" spans="1:16" x14ac:dyDescent="0.25">
      <c r="A660" t="s">
        <v>849</v>
      </c>
      <c r="B660" t="s">
        <v>116</v>
      </c>
      <c r="C660" t="s">
        <v>629</v>
      </c>
      <c r="D660" t="s">
        <v>8</v>
      </c>
      <c r="E660">
        <v>2023</v>
      </c>
      <c r="F660" t="s">
        <v>184</v>
      </c>
      <c r="G660" t="s">
        <v>631</v>
      </c>
      <c r="H660" t="s">
        <v>354</v>
      </c>
      <c r="I660" t="s">
        <v>1373</v>
      </c>
      <c r="J660" t="s">
        <v>35</v>
      </c>
      <c r="K660" t="s">
        <v>37</v>
      </c>
      <c r="L660" t="s">
        <v>354</v>
      </c>
      <c r="M660" t="s">
        <v>802</v>
      </c>
      <c r="N660" t="s">
        <v>816</v>
      </c>
      <c r="O660" t="s">
        <v>404</v>
      </c>
      <c r="P660" t="s">
        <v>908</v>
      </c>
    </row>
    <row r="661" spans="1:16" x14ac:dyDescent="0.25">
      <c r="A661" t="s">
        <v>849</v>
      </c>
      <c r="B661" t="s">
        <v>116</v>
      </c>
      <c r="C661" t="s">
        <v>629</v>
      </c>
      <c r="D661" t="s">
        <v>8</v>
      </c>
      <c r="E661">
        <v>2023</v>
      </c>
      <c r="F661" t="s">
        <v>184</v>
      </c>
      <c r="G661" t="s">
        <v>631</v>
      </c>
      <c r="H661" t="s">
        <v>354</v>
      </c>
      <c r="I661" t="s">
        <v>1373</v>
      </c>
      <c r="J661" t="s">
        <v>35</v>
      </c>
      <c r="K661" t="s">
        <v>37</v>
      </c>
      <c r="L661" t="s">
        <v>354</v>
      </c>
      <c r="M661" t="s">
        <v>802</v>
      </c>
      <c r="N661" t="s">
        <v>813</v>
      </c>
      <c r="O661" t="s">
        <v>391</v>
      </c>
      <c r="P661" t="s">
        <v>908</v>
      </c>
    </row>
    <row r="662" spans="1:16" x14ac:dyDescent="0.25">
      <c r="A662" t="s">
        <v>850</v>
      </c>
      <c r="B662" t="s">
        <v>116</v>
      </c>
      <c r="C662" t="s">
        <v>633</v>
      </c>
      <c r="D662" t="s">
        <v>8</v>
      </c>
      <c r="E662">
        <v>2023</v>
      </c>
      <c r="F662" t="s">
        <v>184</v>
      </c>
      <c r="G662" t="s">
        <v>635</v>
      </c>
      <c r="H662" t="s">
        <v>354</v>
      </c>
      <c r="I662" t="s">
        <v>1373</v>
      </c>
      <c r="J662" t="s">
        <v>35</v>
      </c>
      <c r="K662" t="s">
        <v>37</v>
      </c>
      <c r="L662" t="s">
        <v>354</v>
      </c>
      <c r="M662" t="s">
        <v>802</v>
      </c>
      <c r="N662" t="s">
        <v>816</v>
      </c>
      <c r="O662" t="s">
        <v>404</v>
      </c>
      <c r="P662" t="s">
        <v>824</v>
      </c>
    </row>
    <row r="663" spans="1:16" x14ac:dyDescent="0.25">
      <c r="A663" t="s">
        <v>850</v>
      </c>
      <c r="B663" t="s">
        <v>116</v>
      </c>
      <c r="C663" t="s">
        <v>633</v>
      </c>
      <c r="D663" t="s">
        <v>8</v>
      </c>
      <c r="E663">
        <v>2023</v>
      </c>
      <c r="F663" t="s">
        <v>184</v>
      </c>
      <c r="G663" t="s">
        <v>635</v>
      </c>
      <c r="H663" t="s">
        <v>354</v>
      </c>
      <c r="I663" t="s">
        <v>1373</v>
      </c>
      <c r="J663" t="s">
        <v>35</v>
      </c>
      <c r="K663" t="s">
        <v>37</v>
      </c>
      <c r="L663" t="s">
        <v>354</v>
      </c>
      <c r="M663" t="s">
        <v>804</v>
      </c>
      <c r="N663" t="s">
        <v>816</v>
      </c>
      <c r="O663" t="s">
        <v>404</v>
      </c>
      <c r="P663" t="s">
        <v>824</v>
      </c>
    </row>
    <row r="664" spans="1:16" x14ac:dyDescent="0.25">
      <c r="A664" t="s">
        <v>850</v>
      </c>
      <c r="B664" t="s">
        <v>116</v>
      </c>
      <c r="C664" t="s">
        <v>633</v>
      </c>
      <c r="D664" t="s">
        <v>8</v>
      </c>
      <c r="E664">
        <v>2023</v>
      </c>
      <c r="F664" t="s">
        <v>184</v>
      </c>
      <c r="G664" t="s">
        <v>635</v>
      </c>
      <c r="H664" t="s">
        <v>354</v>
      </c>
      <c r="I664" t="s">
        <v>1373</v>
      </c>
      <c r="J664" t="s">
        <v>35</v>
      </c>
      <c r="K664" t="s">
        <v>37</v>
      </c>
      <c r="L664" t="s">
        <v>354</v>
      </c>
      <c r="M664" t="s">
        <v>803</v>
      </c>
      <c r="N664" t="s">
        <v>816</v>
      </c>
      <c r="O664" t="s">
        <v>404</v>
      </c>
      <c r="P664" t="s">
        <v>824</v>
      </c>
    </row>
    <row r="665" spans="1:16" x14ac:dyDescent="0.25">
      <c r="A665" t="s">
        <v>855</v>
      </c>
      <c r="B665" t="s">
        <v>116</v>
      </c>
      <c r="C665" t="s">
        <v>647</v>
      </c>
      <c r="D665" t="s">
        <v>8</v>
      </c>
      <c r="E665">
        <v>2023</v>
      </c>
      <c r="F665" t="s">
        <v>184</v>
      </c>
      <c r="G665" t="s">
        <v>649</v>
      </c>
      <c r="H665" t="s">
        <v>354</v>
      </c>
      <c r="I665" t="s">
        <v>1373</v>
      </c>
      <c r="J665" t="s">
        <v>35</v>
      </c>
      <c r="K665" t="s">
        <v>37</v>
      </c>
      <c r="L665" t="s">
        <v>354</v>
      </c>
      <c r="M665" t="s">
        <v>804</v>
      </c>
      <c r="N665" t="s">
        <v>367</v>
      </c>
      <c r="O665" t="s">
        <v>388</v>
      </c>
      <c r="P665" t="s">
        <v>831</v>
      </c>
    </row>
    <row r="666" spans="1:16" x14ac:dyDescent="0.25">
      <c r="A666" t="s">
        <v>855</v>
      </c>
      <c r="B666" t="s">
        <v>116</v>
      </c>
      <c r="C666" t="s">
        <v>647</v>
      </c>
      <c r="D666" t="s">
        <v>8</v>
      </c>
      <c r="E666">
        <v>2023</v>
      </c>
      <c r="F666" t="s">
        <v>184</v>
      </c>
      <c r="G666" t="s">
        <v>649</v>
      </c>
      <c r="H666" t="s">
        <v>354</v>
      </c>
      <c r="I666" t="s">
        <v>1373</v>
      </c>
      <c r="J666" t="s">
        <v>35</v>
      </c>
      <c r="K666" t="s">
        <v>37</v>
      </c>
      <c r="L666" t="s">
        <v>354</v>
      </c>
      <c r="M666" t="s">
        <v>804</v>
      </c>
      <c r="N666" t="s">
        <v>813</v>
      </c>
      <c r="O666" t="s">
        <v>391</v>
      </c>
      <c r="P666" t="s">
        <v>831</v>
      </c>
    </row>
    <row r="667" spans="1:16" x14ac:dyDescent="0.25">
      <c r="A667" t="s">
        <v>857</v>
      </c>
      <c r="B667" t="s">
        <v>116</v>
      </c>
      <c r="C667" t="s">
        <v>653</v>
      </c>
      <c r="D667" t="s">
        <v>8</v>
      </c>
      <c r="E667">
        <v>2022</v>
      </c>
      <c r="F667" t="s">
        <v>190</v>
      </c>
      <c r="G667" t="s">
        <v>655</v>
      </c>
      <c r="H667" t="s">
        <v>354</v>
      </c>
      <c r="I667" t="s">
        <v>1373</v>
      </c>
      <c r="J667" t="s">
        <v>35</v>
      </c>
      <c r="K667" t="s">
        <v>37</v>
      </c>
      <c r="L667" t="s">
        <v>809</v>
      </c>
      <c r="M667" t="s">
        <v>36</v>
      </c>
      <c r="N667" t="s">
        <v>815</v>
      </c>
      <c r="O667" t="s">
        <v>403</v>
      </c>
      <c r="P667" t="s">
        <v>823</v>
      </c>
    </row>
    <row r="668" spans="1:16" x14ac:dyDescent="0.25">
      <c r="A668" t="s">
        <v>858</v>
      </c>
      <c r="B668" t="s">
        <v>116</v>
      </c>
      <c r="C668" t="s">
        <v>656</v>
      </c>
      <c r="D668" t="s">
        <v>8</v>
      </c>
      <c r="E668">
        <v>2022</v>
      </c>
      <c r="F668" t="s">
        <v>190</v>
      </c>
      <c r="G668" t="s">
        <v>658</v>
      </c>
      <c r="H668" t="s">
        <v>354</v>
      </c>
      <c r="I668" t="s">
        <v>1373</v>
      </c>
      <c r="J668" t="s">
        <v>35</v>
      </c>
      <c r="K668" t="s">
        <v>37</v>
      </c>
      <c r="L668" t="s">
        <v>809</v>
      </c>
      <c r="M668" t="s">
        <v>36</v>
      </c>
      <c r="N668" t="s">
        <v>815</v>
      </c>
      <c r="O668" t="s">
        <v>403</v>
      </c>
      <c r="P668" t="s">
        <v>823</v>
      </c>
    </row>
    <row r="669" spans="1:16" x14ac:dyDescent="0.25">
      <c r="A669" t="s">
        <v>859</v>
      </c>
      <c r="B669" t="s">
        <v>116</v>
      </c>
      <c r="C669" t="s">
        <v>659</v>
      </c>
      <c r="D669" t="s">
        <v>8</v>
      </c>
      <c r="E669">
        <v>2023</v>
      </c>
      <c r="F669" t="s">
        <v>190</v>
      </c>
      <c r="G669" t="s">
        <v>661</v>
      </c>
      <c r="H669" t="s">
        <v>354</v>
      </c>
      <c r="I669" t="s">
        <v>1373</v>
      </c>
      <c r="J669" t="s">
        <v>35</v>
      </c>
      <c r="K669" t="s">
        <v>807</v>
      </c>
      <c r="L669" t="s">
        <v>809</v>
      </c>
      <c r="M669" t="s">
        <v>36</v>
      </c>
      <c r="N669" t="s">
        <v>813</v>
      </c>
      <c r="O669" t="s">
        <v>391</v>
      </c>
      <c r="P669" t="s">
        <v>828</v>
      </c>
    </row>
    <row r="670" spans="1:16" x14ac:dyDescent="0.25">
      <c r="A670" t="s">
        <v>860</v>
      </c>
      <c r="B670" t="s">
        <v>116</v>
      </c>
      <c r="C670" t="s">
        <v>662</v>
      </c>
      <c r="D670" t="s">
        <v>8</v>
      </c>
      <c r="E670">
        <v>2022</v>
      </c>
      <c r="F670" t="s">
        <v>190</v>
      </c>
      <c r="G670" t="s">
        <v>664</v>
      </c>
      <c r="H670" t="s">
        <v>354</v>
      </c>
      <c r="I670" t="s">
        <v>1373</v>
      </c>
      <c r="J670" t="s">
        <v>35</v>
      </c>
      <c r="K670" t="s">
        <v>37</v>
      </c>
      <c r="L670" t="s">
        <v>809</v>
      </c>
      <c r="M670" t="s">
        <v>36</v>
      </c>
      <c r="N670" t="s">
        <v>367</v>
      </c>
      <c r="O670" t="s">
        <v>388</v>
      </c>
      <c r="P670" t="s">
        <v>831</v>
      </c>
    </row>
    <row r="671" spans="1:16" x14ac:dyDescent="0.25">
      <c r="A671" t="s">
        <v>860</v>
      </c>
      <c r="B671" t="s">
        <v>116</v>
      </c>
      <c r="C671" t="s">
        <v>662</v>
      </c>
      <c r="D671" t="s">
        <v>8</v>
      </c>
      <c r="E671">
        <v>2022</v>
      </c>
      <c r="F671" t="s">
        <v>190</v>
      </c>
      <c r="G671" t="s">
        <v>664</v>
      </c>
      <c r="H671" t="s">
        <v>354</v>
      </c>
      <c r="I671" t="s">
        <v>1373</v>
      </c>
      <c r="J671" t="s">
        <v>35</v>
      </c>
      <c r="K671" t="s">
        <v>37</v>
      </c>
      <c r="L671" t="s">
        <v>809</v>
      </c>
      <c r="M671" t="s">
        <v>36</v>
      </c>
      <c r="N671" t="s">
        <v>813</v>
      </c>
      <c r="O671" t="s">
        <v>391</v>
      </c>
      <c r="P671" t="s">
        <v>831</v>
      </c>
    </row>
    <row r="672" spans="1:16" x14ac:dyDescent="0.25">
      <c r="A672" t="s">
        <v>862</v>
      </c>
      <c r="B672" t="s">
        <v>116</v>
      </c>
      <c r="C672" t="s">
        <v>665</v>
      </c>
      <c r="D672" t="s">
        <v>8</v>
      </c>
      <c r="E672">
        <v>2022</v>
      </c>
      <c r="F672" t="s">
        <v>190</v>
      </c>
      <c r="G672" t="s">
        <v>667</v>
      </c>
      <c r="H672" t="s">
        <v>354</v>
      </c>
      <c r="I672" t="s">
        <v>1373</v>
      </c>
      <c r="J672" t="s">
        <v>35</v>
      </c>
      <c r="K672" t="s">
        <v>37</v>
      </c>
      <c r="L672" t="s">
        <v>809</v>
      </c>
      <c r="M672" t="s">
        <v>36</v>
      </c>
      <c r="N672" t="s">
        <v>367</v>
      </c>
      <c r="O672" t="s">
        <v>388</v>
      </c>
      <c r="P672" t="s">
        <v>371</v>
      </c>
    </row>
    <row r="673" spans="1:16" x14ac:dyDescent="0.25">
      <c r="A673" t="s">
        <v>863</v>
      </c>
      <c r="B673" t="s">
        <v>116</v>
      </c>
      <c r="C673" t="s">
        <v>668</v>
      </c>
      <c r="D673" t="s">
        <v>8</v>
      </c>
      <c r="E673">
        <v>2021</v>
      </c>
      <c r="F673" t="s">
        <v>190</v>
      </c>
      <c r="G673" t="s">
        <v>670</v>
      </c>
      <c r="H673" t="s">
        <v>354</v>
      </c>
      <c r="I673" t="s">
        <v>1373</v>
      </c>
      <c r="J673" t="s">
        <v>35</v>
      </c>
      <c r="K673" t="s">
        <v>37</v>
      </c>
      <c r="L673" t="s">
        <v>809</v>
      </c>
      <c r="M673" t="s">
        <v>36</v>
      </c>
      <c r="N673" t="s">
        <v>817</v>
      </c>
      <c r="O673" t="s">
        <v>394</v>
      </c>
      <c r="P673" t="s">
        <v>826</v>
      </c>
    </row>
    <row r="674" spans="1:16" x14ac:dyDescent="0.25">
      <c r="A674" t="s">
        <v>865</v>
      </c>
      <c r="B674" t="s">
        <v>116</v>
      </c>
      <c r="C674" t="s">
        <v>671</v>
      </c>
      <c r="D674" t="s">
        <v>8</v>
      </c>
      <c r="E674">
        <v>2023</v>
      </c>
      <c r="F674" t="s">
        <v>190</v>
      </c>
      <c r="G674" t="s">
        <v>673</v>
      </c>
      <c r="H674" t="s">
        <v>354</v>
      </c>
      <c r="I674" t="s">
        <v>1373</v>
      </c>
      <c r="J674" t="s">
        <v>35</v>
      </c>
      <c r="K674" t="s">
        <v>807</v>
      </c>
      <c r="L674" t="s">
        <v>809</v>
      </c>
      <c r="M674" t="s">
        <v>36</v>
      </c>
      <c r="N674" t="s">
        <v>815</v>
      </c>
      <c r="O674" t="s">
        <v>403</v>
      </c>
      <c r="P674" t="s">
        <v>823</v>
      </c>
    </row>
    <row r="675" spans="1:16" x14ac:dyDescent="0.25">
      <c r="A675" t="s">
        <v>866</v>
      </c>
      <c r="B675" t="s">
        <v>116</v>
      </c>
      <c r="C675" t="s">
        <v>674</v>
      </c>
      <c r="D675" t="s">
        <v>8</v>
      </c>
      <c r="E675">
        <v>2022</v>
      </c>
      <c r="F675" t="s">
        <v>190</v>
      </c>
      <c r="G675" t="s">
        <v>676</v>
      </c>
      <c r="H675" t="s">
        <v>354</v>
      </c>
      <c r="I675" t="s">
        <v>1373</v>
      </c>
      <c r="J675" t="s">
        <v>35</v>
      </c>
      <c r="K675" t="s">
        <v>807</v>
      </c>
      <c r="L675" t="s">
        <v>809</v>
      </c>
      <c r="M675" t="s">
        <v>804</v>
      </c>
      <c r="N675" t="s">
        <v>816</v>
      </c>
      <c r="O675" t="s">
        <v>404</v>
      </c>
      <c r="P675" t="s">
        <v>824</v>
      </c>
    </row>
    <row r="676" spans="1:16" x14ac:dyDescent="0.25">
      <c r="A676" t="s">
        <v>866</v>
      </c>
      <c r="B676" t="s">
        <v>116</v>
      </c>
      <c r="C676" t="s">
        <v>674</v>
      </c>
      <c r="D676" t="s">
        <v>8</v>
      </c>
      <c r="E676">
        <v>2022</v>
      </c>
      <c r="F676" t="s">
        <v>190</v>
      </c>
      <c r="G676" t="s">
        <v>676</v>
      </c>
      <c r="H676" t="s">
        <v>354</v>
      </c>
      <c r="I676" t="s">
        <v>1373</v>
      </c>
      <c r="J676" t="s">
        <v>35</v>
      </c>
      <c r="K676" t="s">
        <v>807</v>
      </c>
      <c r="L676" t="s">
        <v>809</v>
      </c>
      <c r="M676" t="s">
        <v>802</v>
      </c>
      <c r="N676" t="s">
        <v>816</v>
      </c>
      <c r="O676" t="s">
        <v>404</v>
      </c>
      <c r="P676" t="s">
        <v>824</v>
      </c>
    </row>
    <row r="677" spans="1:16" x14ac:dyDescent="0.25">
      <c r="A677" t="s">
        <v>866</v>
      </c>
      <c r="B677" t="s">
        <v>116</v>
      </c>
      <c r="C677" t="s">
        <v>674</v>
      </c>
      <c r="D677" t="s">
        <v>8</v>
      </c>
      <c r="E677">
        <v>2022</v>
      </c>
      <c r="F677" t="s">
        <v>190</v>
      </c>
      <c r="G677" t="s">
        <v>676</v>
      </c>
      <c r="H677" t="s">
        <v>354</v>
      </c>
      <c r="I677" t="s">
        <v>1373</v>
      </c>
      <c r="J677" t="s">
        <v>35</v>
      </c>
      <c r="K677" t="s">
        <v>807</v>
      </c>
      <c r="L677" t="s">
        <v>809</v>
      </c>
      <c r="M677" t="s">
        <v>36</v>
      </c>
      <c r="N677" t="s">
        <v>816</v>
      </c>
      <c r="O677" t="s">
        <v>404</v>
      </c>
      <c r="P677" t="s">
        <v>824</v>
      </c>
    </row>
    <row r="678" spans="1:16" x14ac:dyDescent="0.25">
      <c r="A678" t="s">
        <v>867</v>
      </c>
      <c r="B678" t="s">
        <v>116</v>
      </c>
      <c r="C678" t="s">
        <v>677</v>
      </c>
      <c r="D678" t="s">
        <v>8</v>
      </c>
      <c r="E678">
        <v>2022</v>
      </c>
      <c r="F678" t="s">
        <v>190</v>
      </c>
      <c r="G678" t="s">
        <v>679</v>
      </c>
      <c r="H678" t="s">
        <v>354</v>
      </c>
      <c r="I678" t="s">
        <v>1373</v>
      </c>
      <c r="J678" t="s">
        <v>35</v>
      </c>
      <c r="K678" t="s">
        <v>807</v>
      </c>
      <c r="L678" t="s">
        <v>809</v>
      </c>
      <c r="M678" t="s">
        <v>803</v>
      </c>
      <c r="N678" t="s">
        <v>367</v>
      </c>
      <c r="O678" t="s">
        <v>388</v>
      </c>
      <c r="P678" t="s">
        <v>831</v>
      </c>
    </row>
    <row r="679" spans="1:16" x14ac:dyDescent="0.25">
      <c r="A679" t="s">
        <v>867</v>
      </c>
      <c r="B679" t="s">
        <v>116</v>
      </c>
      <c r="C679" t="s">
        <v>677</v>
      </c>
      <c r="D679" t="s">
        <v>8</v>
      </c>
      <c r="E679">
        <v>2022</v>
      </c>
      <c r="F679" t="s">
        <v>190</v>
      </c>
      <c r="G679" t="s">
        <v>679</v>
      </c>
      <c r="H679" t="s">
        <v>354</v>
      </c>
      <c r="I679" t="s">
        <v>1373</v>
      </c>
      <c r="J679" t="s">
        <v>35</v>
      </c>
      <c r="K679" t="s">
        <v>807</v>
      </c>
      <c r="L679" t="s">
        <v>809</v>
      </c>
      <c r="M679" t="s">
        <v>803</v>
      </c>
      <c r="N679" t="s">
        <v>813</v>
      </c>
      <c r="O679" t="s">
        <v>391</v>
      </c>
      <c r="P679" t="s">
        <v>831</v>
      </c>
    </row>
    <row r="680" spans="1:16" x14ac:dyDescent="0.25">
      <c r="A680" t="s">
        <v>867</v>
      </c>
      <c r="B680" t="s">
        <v>116</v>
      </c>
      <c r="C680" t="s">
        <v>677</v>
      </c>
      <c r="D680" t="s">
        <v>8</v>
      </c>
      <c r="E680">
        <v>2022</v>
      </c>
      <c r="F680" t="s">
        <v>190</v>
      </c>
      <c r="G680" t="s">
        <v>679</v>
      </c>
      <c r="H680" t="s">
        <v>354</v>
      </c>
      <c r="I680" t="s">
        <v>1373</v>
      </c>
      <c r="J680" t="s">
        <v>35</v>
      </c>
      <c r="K680" t="s">
        <v>807</v>
      </c>
      <c r="L680" t="s">
        <v>809</v>
      </c>
      <c r="M680" t="s">
        <v>90</v>
      </c>
      <c r="N680" t="s">
        <v>367</v>
      </c>
      <c r="O680" t="s">
        <v>388</v>
      </c>
      <c r="P680" t="s">
        <v>831</v>
      </c>
    </row>
    <row r="681" spans="1:16" x14ac:dyDescent="0.25">
      <c r="A681" t="s">
        <v>867</v>
      </c>
      <c r="B681" t="s">
        <v>116</v>
      </c>
      <c r="C681" t="s">
        <v>677</v>
      </c>
      <c r="D681" t="s">
        <v>8</v>
      </c>
      <c r="E681">
        <v>2022</v>
      </c>
      <c r="F681" t="s">
        <v>190</v>
      </c>
      <c r="G681" t="s">
        <v>679</v>
      </c>
      <c r="H681" t="s">
        <v>354</v>
      </c>
      <c r="I681" t="s">
        <v>1373</v>
      </c>
      <c r="J681" t="s">
        <v>35</v>
      </c>
      <c r="K681" t="s">
        <v>807</v>
      </c>
      <c r="L681" t="s">
        <v>809</v>
      </c>
      <c r="M681" t="s">
        <v>90</v>
      </c>
      <c r="N681" t="s">
        <v>813</v>
      </c>
      <c r="O681" t="s">
        <v>391</v>
      </c>
      <c r="P681" t="s">
        <v>831</v>
      </c>
    </row>
    <row r="682" spans="1:16" x14ac:dyDescent="0.25">
      <c r="A682" t="s">
        <v>867</v>
      </c>
      <c r="B682" t="s">
        <v>116</v>
      </c>
      <c r="C682" t="s">
        <v>677</v>
      </c>
      <c r="D682" t="s">
        <v>8</v>
      </c>
      <c r="E682">
        <v>2022</v>
      </c>
      <c r="F682" t="s">
        <v>190</v>
      </c>
      <c r="G682" t="s">
        <v>679</v>
      </c>
      <c r="H682" t="s">
        <v>354</v>
      </c>
      <c r="I682" t="s">
        <v>1373</v>
      </c>
      <c r="J682" t="s">
        <v>35</v>
      </c>
      <c r="K682" t="s">
        <v>807</v>
      </c>
      <c r="L682" t="s">
        <v>809</v>
      </c>
      <c r="M682" t="s">
        <v>36</v>
      </c>
      <c r="N682" t="s">
        <v>367</v>
      </c>
      <c r="O682" t="s">
        <v>388</v>
      </c>
      <c r="P682" t="s">
        <v>831</v>
      </c>
    </row>
    <row r="683" spans="1:16" x14ac:dyDescent="0.25">
      <c r="A683" t="s">
        <v>867</v>
      </c>
      <c r="B683" t="s">
        <v>116</v>
      </c>
      <c r="C683" t="s">
        <v>677</v>
      </c>
      <c r="D683" t="s">
        <v>8</v>
      </c>
      <c r="E683">
        <v>2022</v>
      </c>
      <c r="F683" t="s">
        <v>190</v>
      </c>
      <c r="G683" t="s">
        <v>679</v>
      </c>
      <c r="H683" t="s">
        <v>354</v>
      </c>
      <c r="I683" t="s">
        <v>1373</v>
      </c>
      <c r="J683" t="s">
        <v>35</v>
      </c>
      <c r="K683" t="s">
        <v>807</v>
      </c>
      <c r="L683" t="s">
        <v>809</v>
      </c>
      <c r="M683" t="s">
        <v>36</v>
      </c>
      <c r="N683" t="s">
        <v>813</v>
      </c>
      <c r="O683" t="s">
        <v>391</v>
      </c>
      <c r="P683" t="s">
        <v>831</v>
      </c>
    </row>
    <row r="684" spans="1:16" x14ac:dyDescent="0.25">
      <c r="A684" t="s">
        <v>868</v>
      </c>
      <c r="B684" t="s">
        <v>116</v>
      </c>
      <c r="C684" t="s">
        <v>680</v>
      </c>
      <c r="D684" t="s">
        <v>8</v>
      </c>
      <c r="E684">
        <v>2022</v>
      </c>
      <c r="F684" t="s">
        <v>190</v>
      </c>
      <c r="G684" t="s">
        <v>682</v>
      </c>
      <c r="H684" t="s">
        <v>354</v>
      </c>
      <c r="I684" t="s">
        <v>1373</v>
      </c>
      <c r="J684" t="s">
        <v>35</v>
      </c>
      <c r="K684" t="s">
        <v>807</v>
      </c>
      <c r="L684" t="s">
        <v>809</v>
      </c>
      <c r="M684" t="s">
        <v>804</v>
      </c>
      <c r="N684" t="s">
        <v>813</v>
      </c>
      <c r="O684" t="s">
        <v>391</v>
      </c>
      <c r="P684" t="s">
        <v>832</v>
      </c>
    </row>
    <row r="685" spans="1:16" x14ac:dyDescent="0.25">
      <c r="A685" t="s">
        <v>868</v>
      </c>
      <c r="B685" t="s">
        <v>116</v>
      </c>
      <c r="C685" t="s">
        <v>680</v>
      </c>
      <c r="D685" t="s">
        <v>8</v>
      </c>
      <c r="E685">
        <v>2022</v>
      </c>
      <c r="F685" t="s">
        <v>190</v>
      </c>
      <c r="G685" t="s">
        <v>682</v>
      </c>
      <c r="H685" t="s">
        <v>354</v>
      </c>
      <c r="I685" t="s">
        <v>1373</v>
      </c>
      <c r="J685" t="s">
        <v>35</v>
      </c>
      <c r="K685" t="s">
        <v>807</v>
      </c>
      <c r="L685" t="s">
        <v>809</v>
      </c>
      <c r="M685" t="s">
        <v>804</v>
      </c>
      <c r="N685" t="s">
        <v>367</v>
      </c>
      <c r="O685" t="s">
        <v>388</v>
      </c>
      <c r="P685" t="s">
        <v>832</v>
      </c>
    </row>
    <row r="686" spans="1:16" x14ac:dyDescent="0.25">
      <c r="A686" t="s">
        <v>869</v>
      </c>
      <c r="B686" t="s">
        <v>116</v>
      </c>
      <c r="C686" t="s">
        <v>683</v>
      </c>
      <c r="D686" t="s">
        <v>8</v>
      </c>
      <c r="E686">
        <v>2022</v>
      </c>
      <c r="F686" t="s">
        <v>190</v>
      </c>
      <c r="G686" t="s">
        <v>685</v>
      </c>
      <c r="H686" t="s">
        <v>354</v>
      </c>
      <c r="I686" t="s">
        <v>1373</v>
      </c>
      <c r="J686" t="s">
        <v>35</v>
      </c>
      <c r="K686" t="s">
        <v>807</v>
      </c>
      <c r="L686" t="s">
        <v>809</v>
      </c>
      <c r="M686" t="s">
        <v>802</v>
      </c>
      <c r="N686" t="s">
        <v>813</v>
      </c>
      <c r="O686" t="s">
        <v>391</v>
      </c>
      <c r="P686" t="s">
        <v>832</v>
      </c>
    </row>
    <row r="687" spans="1:16" x14ac:dyDescent="0.25">
      <c r="A687" t="s">
        <v>869</v>
      </c>
      <c r="B687" t="s">
        <v>116</v>
      </c>
      <c r="C687" t="s">
        <v>683</v>
      </c>
      <c r="D687" t="s">
        <v>8</v>
      </c>
      <c r="E687">
        <v>2022</v>
      </c>
      <c r="F687" t="s">
        <v>190</v>
      </c>
      <c r="G687" t="s">
        <v>685</v>
      </c>
      <c r="H687" t="s">
        <v>354</v>
      </c>
      <c r="I687" t="s">
        <v>1373</v>
      </c>
      <c r="J687" t="s">
        <v>35</v>
      </c>
      <c r="K687" t="s">
        <v>807</v>
      </c>
      <c r="L687" t="s">
        <v>809</v>
      </c>
      <c r="M687" t="s">
        <v>802</v>
      </c>
      <c r="N687" t="s">
        <v>367</v>
      </c>
      <c r="O687" t="s">
        <v>388</v>
      </c>
      <c r="P687" t="s">
        <v>832</v>
      </c>
    </row>
    <row r="688" spans="1:16" x14ac:dyDescent="0.25">
      <c r="A688" t="s">
        <v>871</v>
      </c>
      <c r="B688" t="s">
        <v>116</v>
      </c>
      <c r="C688" t="s">
        <v>686</v>
      </c>
      <c r="D688" t="s">
        <v>8</v>
      </c>
      <c r="E688">
        <v>2023</v>
      </c>
      <c r="F688" t="s">
        <v>822</v>
      </c>
      <c r="G688" t="s">
        <v>689</v>
      </c>
      <c r="H688" t="s">
        <v>354</v>
      </c>
      <c r="I688" t="s">
        <v>690</v>
      </c>
      <c r="J688" t="s">
        <v>35</v>
      </c>
      <c r="K688" t="s">
        <v>807</v>
      </c>
      <c r="L688" t="s">
        <v>809</v>
      </c>
      <c r="M688" t="s">
        <v>36</v>
      </c>
      <c r="N688" t="s">
        <v>811</v>
      </c>
      <c r="O688" t="s">
        <v>389</v>
      </c>
      <c r="P688" t="s">
        <v>903</v>
      </c>
    </row>
    <row r="689" spans="1:16" x14ac:dyDescent="0.25">
      <c r="A689" t="s">
        <v>871</v>
      </c>
      <c r="B689" t="s">
        <v>116</v>
      </c>
      <c r="C689" t="s">
        <v>686</v>
      </c>
      <c r="D689" t="s">
        <v>8</v>
      </c>
      <c r="E689">
        <v>2023</v>
      </c>
      <c r="F689" t="s">
        <v>822</v>
      </c>
      <c r="G689" t="s">
        <v>689</v>
      </c>
      <c r="H689" t="s">
        <v>354</v>
      </c>
      <c r="I689" t="s">
        <v>690</v>
      </c>
      <c r="J689" t="s">
        <v>35</v>
      </c>
      <c r="K689" t="s">
        <v>807</v>
      </c>
      <c r="L689" t="s">
        <v>809</v>
      </c>
      <c r="M689" t="s">
        <v>36</v>
      </c>
      <c r="N689" t="s">
        <v>817</v>
      </c>
      <c r="O689" t="s">
        <v>394</v>
      </c>
      <c r="P689" t="s">
        <v>903</v>
      </c>
    </row>
    <row r="690" spans="1:16" x14ac:dyDescent="0.25">
      <c r="A690" t="s">
        <v>872</v>
      </c>
      <c r="B690" t="s">
        <v>116</v>
      </c>
      <c r="C690" t="s">
        <v>692</v>
      </c>
      <c r="D690" t="s">
        <v>439</v>
      </c>
      <c r="E690">
        <v>2023</v>
      </c>
      <c r="F690" t="s">
        <v>822</v>
      </c>
      <c r="G690" t="s">
        <v>694</v>
      </c>
      <c r="H690" t="s">
        <v>354</v>
      </c>
      <c r="I690" t="s">
        <v>695</v>
      </c>
      <c r="J690" t="s">
        <v>35</v>
      </c>
      <c r="K690" t="s">
        <v>807</v>
      </c>
      <c r="L690" t="s">
        <v>354</v>
      </c>
      <c r="M690" t="s">
        <v>36</v>
      </c>
      <c r="N690" t="s">
        <v>817</v>
      </c>
      <c r="O690" t="s">
        <v>394</v>
      </c>
      <c r="P690" t="s">
        <v>910</v>
      </c>
    </row>
    <row r="691" spans="1:16" x14ac:dyDescent="0.25">
      <c r="A691" t="s">
        <v>872</v>
      </c>
      <c r="B691" t="s">
        <v>116</v>
      </c>
      <c r="C691" t="s">
        <v>692</v>
      </c>
      <c r="D691" t="s">
        <v>439</v>
      </c>
      <c r="E691">
        <v>2023</v>
      </c>
      <c r="F691" t="s">
        <v>822</v>
      </c>
      <c r="G691" t="s">
        <v>694</v>
      </c>
      <c r="H691" t="s">
        <v>354</v>
      </c>
      <c r="I691" t="s">
        <v>695</v>
      </c>
      <c r="J691" t="s">
        <v>35</v>
      </c>
      <c r="K691" t="s">
        <v>807</v>
      </c>
      <c r="L691" t="s">
        <v>354</v>
      </c>
      <c r="M691" t="s">
        <v>36</v>
      </c>
      <c r="N691" t="s">
        <v>811</v>
      </c>
      <c r="O691" t="s">
        <v>389</v>
      </c>
      <c r="P691" t="s">
        <v>910</v>
      </c>
    </row>
    <row r="692" spans="1:16" x14ac:dyDescent="0.25">
      <c r="A692" t="s">
        <v>873</v>
      </c>
      <c r="B692" t="s">
        <v>116</v>
      </c>
      <c r="C692" t="s">
        <v>696</v>
      </c>
      <c r="D692" t="s">
        <v>439</v>
      </c>
      <c r="E692">
        <v>2023</v>
      </c>
      <c r="F692" t="s">
        <v>822</v>
      </c>
      <c r="G692" t="s">
        <v>698</v>
      </c>
      <c r="H692" t="s">
        <v>354</v>
      </c>
      <c r="I692" t="s">
        <v>699</v>
      </c>
      <c r="J692" t="s">
        <v>35</v>
      </c>
      <c r="K692" t="s">
        <v>807</v>
      </c>
      <c r="L692" t="s">
        <v>354</v>
      </c>
      <c r="M692" t="s">
        <v>36</v>
      </c>
      <c r="N692" t="s">
        <v>817</v>
      </c>
      <c r="O692" t="s">
        <v>394</v>
      </c>
      <c r="P692" t="s">
        <v>910</v>
      </c>
    </row>
    <row r="693" spans="1:16" x14ac:dyDescent="0.25">
      <c r="A693" t="s">
        <v>873</v>
      </c>
      <c r="B693" t="s">
        <v>116</v>
      </c>
      <c r="C693" t="s">
        <v>696</v>
      </c>
      <c r="D693" t="s">
        <v>439</v>
      </c>
      <c r="E693">
        <v>2023</v>
      </c>
      <c r="F693" t="s">
        <v>822</v>
      </c>
      <c r="G693" t="s">
        <v>698</v>
      </c>
      <c r="H693" t="s">
        <v>354</v>
      </c>
      <c r="I693" t="s">
        <v>699</v>
      </c>
      <c r="J693" t="s">
        <v>35</v>
      </c>
      <c r="K693" t="s">
        <v>807</v>
      </c>
      <c r="L693" t="s">
        <v>354</v>
      </c>
      <c r="M693" t="s">
        <v>36</v>
      </c>
      <c r="N693" t="s">
        <v>811</v>
      </c>
      <c r="O693" t="s">
        <v>389</v>
      </c>
      <c r="P693" t="s">
        <v>910</v>
      </c>
    </row>
    <row r="694" spans="1:16" x14ac:dyDescent="0.25">
      <c r="A694" t="s">
        <v>874</v>
      </c>
      <c r="B694" t="s">
        <v>116</v>
      </c>
      <c r="C694" t="s">
        <v>700</v>
      </c>
      <c r="D694" t="s">
        <v>8</v>
      </c>
      <c r="E694">
        <v>2023</v>
      </c>
      <c r="F694" t="s">
        <v>822</v>
      </c>
      <c r="G694" t="s">
        <v>702</v>
      </c>
      <c r="H694" t="s">
        <v>354</v>
      </c>
      <c r="I694" t="s">
        <v>703</v>
      </c>
      <c r="J694" t="s">
        <v>35</v>
      </c>
      <c r="K694" t="s">
        <v>807</v>
      </c>
      <c r="L694" t="s">
        <v>354</v>
      </c>
      <c r="M694" t="s">
        <v>36</v>
      </c>
      <c r="N694" t="s">
        <v>817</v>
      </c>
      <c r="O694" t="s">
        <v>394</v>
      </c>
      <c r="P694" t="s">
        <v>910</v>
      </c>
    </row>
    <row r="695" spans="1:16" x14ac:dyDescent="0.25">
      <c r="A695" t="s">
        <v>874</v>
      </c>
      <c r="B695" t="s">
        <v>116</v>
      </c>
      <c r="C695" t="s">
        <v>700</v>
      </c>
      <c r="D695" t="s">
        <v>8</v>
      </c>
      <c r="E695">
        <v>2023</v>
      </c>
      <c r="F695" t="s">
        <v>822</v>
      </c>
      <c r="G695" t="s">
        <v>702</v>
      </c>
      <c r="H695" t="s">
        <v>354</v>
      </c>
      <c r="I695" t="s">
        <v>703</v>
      </c>
      <c r="J695" t="s">
        <v>35</v>
      </c>
      <c r="K695" t="s">
        <v>807</v>
      </c>
      <c r="L695" t="s">
        <v>354</v>
      </c>
      <c r="M695" t="s">
        <v>36</v>
      </c>
      <c r="N695" t="s">
        <v>811</v>
      </c>
      <c r="O695" t="s">
        <v>389</v>
      </c>
      <c r="P695" t="s">
        <v>910</v>
      </c>
    </row>
    <row r="696" spans="1:16" x14ac:dyDescent="0.25">
      <c r="A696" t="s">
        <v>875</v>
      </c>
      <c r="B696" t="s">
        <v>116</v>
      </c>
      <c r="C696" t="s">
        <v>704</v>
      </c>
      <c r="D696" t="s">
        <v>8</v>
      </c>
      <c r="E696">
        <v>2024</v>
      </c>
      <c r="F696" t="s">
        <v>149</v>
      </c>
      <c r="G696" t="s">
        <v>706</v>
      </c>
      <c r="H696" t="s">
        <v>354</v>
      </c>
      <c r="I696" t="s">
        <v>354</v>
      </c>
      <c r="J696" t="s">
        <v>35</v>
      </c>
      <c r="K696" t="s">
        <v>806</v>
      </c>
      <c r="L696" t="s">
        <v>808</v>
      </c>
      <c r="M696" t="s">
        <v>802</v>
      </c>
      <c r="N696" t="s">
        <v>813</v>
      </c>
      <c r="O696" t="s">
        <v>391</v>
      </c>
      <c r="P696" t="s">
        <v>828</v>
      </c>
    </row>
    <row r="697" spans="1:16" x14ac:dyDescent="0.25">
      <c r="A697" t="s">
        <v>876</v>
      </c>
      <c r="B697" t="s">
        <v>116</v>
      </c>
      <c r="C697" t="s">
        <v>708</v>
      </c>
      <c r="D697" t="s">
        <v>8</v>
      </c>
      <c r="E697">
        <v>2024</v>
      </c>
      <c r="F697" t="s">
        <v>149</v>
      </c>
      <c r="G697" t="s">
        <v>710</v>
      </c>
      <c r="H697" t="s">
        <v>354</v>
      </c>
      <c r="I697" t="s">
        <v>354</v>
      </c>
      <c r="J697" t="s">
        <v>35</v>
      </c>
      <c r="K697" t="s">
        <v>807</v>
      </c>
      <c r="L697" t="s">
        <v>354</v>
      </c>
      <c r="M697" t="s">
        <v>802</v>
      </c>
      <c r="N697" t="s">
        <v>814</v>
      </c>
      <c r="O697" t="s">
        <v>392</v>
      </c>
      <c r="P697" t="s">
        <v>825</v>
      </c>
    </row>
    <row r="698" spans="1:16" x14ac:dyDescent="0.25">
      <c r="A698" t="s">
        <v>876</v>
      </c>
      <c r="B698" t="s">
        <v>116</v>
      </c>
      <c r="C698" t="s">
        <v>708</v>
      </c>
      <c r="D698" t="s">
        <v>8</v>
      </c>
      <c r="E698">
        <v>2024</v>
      </c>
      <c r="F698" t="s">
        <v>149</v>
      </c>
      <c r="G698" t="s">
        <v>710</v>
      </c>
      <c r="H698" t="s">
        <v>354</v>
      </c>
      <c r="I698" t="s">
        <v>354</v>
      </c>
      <c r="J698" t="s">
        <v>35</v>
      </c>
      <c r="K698" t="s">
        <v>807</v>
      </c>
      <c r="L698" t="s">
        <v>354</v>
      </c>
      <c r="M698" t="s">
        <v>803</v>
      </c>
      <c r="N698" t="s">
        <v>814</v>
      </c>
      <c r="O698" t="s">
        <v>392</v>
      </c>
      <c r="P698" t="s">
        <v>825</v>
      </c>
    </row>
    <row r="699" spans="1:16" x14ac:dyDescent="0.25">
      <c r="A699" t="s">
        <v>877</v>
      </c>
      <c r="B699" t="s">
        <v>116</v>
      </c>
      <c r="C699" t="s">
        <v>711</v>
      </c>
      <c r="D699" t="s">
        <v>8</v>
      </c>
      <c r="E699">
        <v>2024</v>
      </c>
      <c r="F699" t="s">
        <v>149</v>
      </c>
      <c r="G699" t="s">
        <v>713</v>
      </c>
      <c r="H699" t="s">
        <v>354</v>
      </c>
      <c r="I699" t="s">
        <v>354</v>
      </c>
      <c r="J699" t="s">
        <v>321</v>
      </c>
      <c r="K699" t="s">
        <v>806</v>
      </c>
      <c r="L699" t="s">
        <v>354</v>
      </c>
      <c r="M699" t="s">
        <v>36</v>
      </c>
      <c r="N699" t="s">
        <v>811</v>
      </c>
      <c r="O699" t="s">
        <v>389</v>
      </c>
      <c r="P699" t="s">
        <v>911</v>
      </c>
    </row>
    <row r="700" spans="1:16" x14ac:dyDescent="0.25">
      <c r="A700" t="s">
        <v>877</v>
      </c>
      <c r="B700" t="s">
        <v>116</v>
      </c>
      <c r="C700" t="s">
        <v>711</v>
      </c>
      <c r="D700" t="s">
        <v>8</v>
      </c>
      <c r="E700">
        <v>2024</v>
      </c>
      <c r="F700" t="s">
        <v>149</v>
      </c>
      <c r="G700" t="s">
        <v>713</v>
      </c>
      <c r="H700" t="s">
        <v>354</v>
      </c>
      <c r="I700" t="s">
        <v>354</v>
      </c>
      <c r="J700" t="s">
        <v>321</v>
      </c>
      <c r="K700" t="s">
        <v>806</v>
      </c>
      <c r="L700" t="s">
        <v>354</v>
      </c>
      <c r="M700" t="s">
        <v>36</v>
      </c>
      <c r="N700" t="s">
        <v>815</v>
      </c>
      <c r="O700" t="s">
        <v>403</v>
      </c>
      <c r="P700" t="s">
        <v>911</v>
      </c>
    </row>
    <row r="701" spans="1:16" x14ac:dyDescent="0.25">
      <c r="A701" t="s">
        <v>877</v>
      </c>
      <c r="B701" t="s">
        <v>116</v>
      </c>
      <c r="C701" t="s">
        <v>711</v>
      </c>
      <c r="D701" t="s">
        <v>8</v>
      </c>
      <c r="E701">
        <v>2024</v>
      </c>
      <c r="F701" t="s">
        <v>149</v>
      </c>
      <c r="G701" t="s">
        <v>713</v>
      </c>
      <c r="H701" t="s">
        <v>354</v>
      </c>
      <c r="I701" t="s">
        <v>354</v>
      </c>
      <c r="J701" t="s">
        <v>321</v>
      </c>
      <c r="K701" t="s">
        <v>806</v>
      </c>
      <c r="L701" t="s">
        <v>354</v>
      </c>
      <c r="M701" t="s">
        <v>802</v>
      </c>
      <c r="N701" t="s">
        <v>811</v>
      </c>
      <c r="O701" t="s">
        <v>389</v>
      </c>
      <c r="P701" t="s">
        <v>911</v>
      </c>
    </row>
    <row r="702" spans="1:16" x14ac:dyDescent="0.25">
      <c r="A702" t="s">
        <v>877</v>
      </c>
      <c r="B702" t="s">
        <v>116</v>
      </c>
      <c r="C702" t="s">
        <v>711</v>
      </c>
      <c r="D702" t="s">
        <v>8</v>
      </c>
      <c r="E702">
        <v>2024</v>
      </c>
      <c r="F702" t="s">
        <v>149</v>
      </c>
      <c r="G702" t="s">
        <v>713</v>
      </c>
      <c r="H702" t="s">
        <v>354</v>
      </c>
      <c r="I702" t="s">
        <v>354</v>
      </c>
      <c r="J702" t="s">
        <v>321</v>
      </c>
      <c r="K702" t="s">
        <v>806</v>
      </c>
      <c r="L702" t="s">
        <v>354</v>
      </c>
      <c r="M702" t="s">
        <v>802</v>
      </c>
      <c r="N702" t="s">
        <v>815</v>
      </c>
      <c r="O702" t="s">
        <v>403</v>
      </c>
      <c r="P702" t="s">
        <v>911</v>
      </c>
    </row>
    <row r="703" spans="1:16" x14ac:dyDescent="0.25">
      <c r="A703" t="s">
        <v>877</v>
      </c>
      <c r="B703" t="s">
        <v>116</v>
      </c>
      <c r="C703" t="s">
        <v>711</v>
      </c>
      <c r="D703" t="s">
        <v>8</v>
      </c>
      <c r="E703">
        <v>2024</v>
      </c>
      <c r="F703" t="s">
        <v>149</v>
      </c>
      <c r="G703" t="s">
        <v>713</v>
      </c>
      <c r="H703" t="s">
        <v>354</v>
      </c>
      <c r="I703" t="s">
        <v>354</v>
      </c>
      <c r="J703" t="s">
        <v>321</v>
      </c>
      <c r="K703" t="s">
        <v>806</v>
      </c>
      <c r="L703" t="s">
        <v>354</v>
      </c>
      <c r="M703" t="s">
        <v>90</v>
      </c>
      <c r="N703" t="s">
        <v>811</v>
      </c>
      <c r="O703" t="s">
        <v>389</v>
      </c>
      <c r="P703" t="s">
        <v>911</v>
      </c>
    </row>
    <row r="704" spans="1:16" x14ac:dyDescent="0.25">
      <c r="A704" t="s">
        <v>877</v>
      </c>
      <c r="B704" t="s">
        <v>116</v>
      </c>
      <c r="C704" t="s">
        <v>711</v>
      </c>
      <c r="D704" t="s">
        <v>8</v>
      </c>
      <c r="E704">
        <v>2024</v>
      </c>
      <c r="F704" t="s">
        <v>149</v>
      </c>
      <c r="G704" t="s">
        <v>713</v>
      </c>
      <c r="H704" t="s">
        <v>354</v>
      </c>
      <c r="I704" t="s">
        <v>354</v>
      </c>
      <c r="J704" t="s">
        <v>321</v>
      </c>
      <c r="K704" t="s">
        <v>806</v>
      </c>
      <c r="L704" t="s">
        <v>354</v>
      </c>
      <c r="M704" t="s">
        <v>90</v>
      </c>
      <c r="N704" t="s">
        <v>815</v>
      </c>
      <c r="O704" t="s">
        <v>403</v>
      </c>
      <c r="P704" t="s">
        <v>911</v>
      </c>
    </row>
    <row r="705" spans="1:16" x14ac:dyDescent="0.25">
      <c r="A705" t="s">
        <v>878</v>
      </c>
      <c r="B705" t="s">
        <v>116</v>
      </c>
      <c r="C705" t="s">
        <v>714</v>
      </c>
      <c r="D705" t="s">
        <v>8</v>
      </c>
      <c r="E705">
        <v>2024</v>
      </c>
      <c r="F705" t="s">
        <v>149</v>
      </c>
      <c r="G705" t="s">
        <v>716</v>
      </c>
      <c r="H705" t="s">
        <v>354</v>
      </c>
      <c r="I705" t="s">
        <v>354</v>
      </c>
      <c r="J705" t="s">
        <v>35</v>
      </c>
      <c r="K705" t="s">
        <v>807</v>
      </c>
      <c r="L705" t="s">
        <v>808</v>
      </c>
      <c r="M705" t="s">
        <v>802</v>
      </c>
      <c r="N705" t="s">
        <v>813</v>
      </c>
      <c r="O705" t="s">
        <v>391</v>
      </c>
      <c r="P705" t="s">
        <v>912</v>
      </c>
    </row>
    <row r="706" spans="1:16" x14ac:dyDescent="0.25">
      <c r="A706" t="s">
        <v>878</v>
      </c>
      <c r="B706" t="s">
        <v>116</v>
      </c>
      <c r="C706" t="s">
        <v>714</v>
      </c>
      <c r="D706" t="s">
        <v>8</v>
      </c>
      <c r="E706">
        <v>2024</v>
      </c>
      <c r="F706" t="s">
        <v>149</v>
      </c>
      <c r="G706" t="s">
        <v>716</v>
      </c>
      <c r="H706" t="s">
        <v>354</v>
      </c>
      <c r="I706" t="s">
        <v>354</v>
      </c>
      <c r="J706" t="s">
        <v>35</v>
      </c>
      <c r="K706" t="s">
        <v>807</v>
      </c>
      <c r="L706" t="s">
        <v>808</v>
      </c>
      <c r="M706" t="s">
        <v>802</v>
      </c>
      <c r="N706" t="s">
        <v>815</v>
      </c>
      <c r="O706" t="s">
        <v>403</v>
      </c>
      <c r="P706" t="s">
        <v>912</v>
      </c>
    </row>
    <row r="707" spans="1:16" x14ac:dyDescent="0.25">
      <c r="A707" t="s">
        <v>879</v>
      </c>
      <c r="B707" t="s">
        <v>116</v>
      </c>
      <c r="C707" t="s">
        <v>717</v>
      </c>
      <c r="D707" t="s">
        <v>8</v>
      </c>
      <c r="E707">
        <v>2024</v>
      </c>
      <c r="F707" t="s">
        <v>149</v>
      </c>
      <c r="G707" t="s">
        <v>719</v>
      </c>
      <c r="H707" t="s">
        <v>354</v>
      </c>
      <c r="I707" t="s">
        <v>354</v>
      </c>
      <c r="J707" t="s">
        <v>35</v>
      </c>
      <c r="K707" t="s">
        <v>807</v>
      </c>
      <c r="L707" t="s">
        <v>808</v>
      </c>
      <c r="M707" t="s">
        <v>802</v>
      </c>
      <c r="N707" t="s">
        <v>813</v>
      </c>
      <c r="O707" t="s">
        <v>391</v>
      </c>
      <c r="P707" t="s">
        <v>912</v>
      </c>
    </row>
    <row r="708" spans="1:16" x14ac:dyDescent="0.25">
      <c r="A708" t="s">
        <v>879</v>
      </c>
      <c r="B708" t="s">
        <v>116</v>
      </c>
      <c r="C708" t="s">
        <v>717</v>
      </c>
      <c r="D708" t="s">
        <v>8</v>
      </c>
      <c r="E708">
        <v>2024</v>
      </c>
      <c r="F708" t="s">
        <v>149</v>
      </c>
      <c r="G708" t="s">
        <v>719</v>
      </c>
      <c r="H708" t="s">
        <v>354</v>
      </c>
      <c r="I708" t="s">
        <v>354</v>
      </c>
      <c r="J708" t="s">
        <v>35</v>
      </c>
      <c r="K708" t="s">
        <v>807</v>
      </c>
      <c r="L708" t="s">
        <v>808</v>
      </c>
      <c r="M708" t="s">
        <v>802</v>
      </c>
      <c r="N708" t="s">
        <v>815</v>
      </c>
      <c r="O708" t="s">
        <v>403</v>
      </c>
      <c r="P708" t="s">
        <v>912</v>
      </c>
    </row>
    <row r="709" spans="1:16" x14ac:dyDescent="0.25">
      <c r="A709" t="s">
        <v>880</v>
      </c>
      <c r="B709" t="s">
        <v>116</v>
      </c>
      <c r="C709" t="s">
        <v>720</v>
      </c>
      <c r="D709" t="s">
        <v>8</v>
      </c>
      <c r="E709">
        <v>2024</v>
      </c>
      <c r="F709" t="s">
        <v>149</v>
      </c>
      <c r="G709" t="s">
        <v>722</v>
      </c>
      <c r="H709" t="s">
        <v>354</v>
      </c>
      <c r="I709" t="s">
        <v>354</v>
      </c>
      <c r="J709" t="s">
        <v>35</v>
      </c>
      <c r="K709" t="s">
        <v>806</v>
      </c>
      <c r="L709" t="s">
        <v>808</v>
      </c>
      <c r="M709" t="s">
        <v>802</v>
      </c>
      <c r="N709" t="s">
        <v>813</v>
      </c>
      <c r="O709" t="s">
        <v>391</v>
      </c>
      <c r="P709" t="s">
        <v>912</v>
      </c>
    </row>
    <row r="710" spans="1:16" x14ac:dyDescent="0.25">
      <c r="A710" t="s">
        <v>880</v>
      </c>
      <c r="B710" t="s">
        <v>116</v>
      </c>
      <c r="C710" t="s">
        <v>720</v>
      </c>
      <c r="D710" t="s">
        <v>8</v>
      </c>
      <c r="E710">
        <v>2024</v>
      </c>
      <c r="F710" t="s">
        <v>149</v>
      </c>
      <c r="G710" t="s">
        <v>722</v>
      </c>
      <c r="H710" t="s">
        <v>354</v>
      </c>
      <c r="I710" t="s">
        <v>354</v>
      </c>
      <c r="J710" t="s">
        <v>35</v>
      </c>
      <c r="K710" t="s">
        <v>806</v>
      </c>
      <c r="L710" t="s">
        <v>808</v>
      </c>
      <c r="M710" t="s">
        <v>802</v>
      </c>
      <c r="N710" t="s">
        <v>815</v>
      </c>
      <c r="O710" t="s">
        <v>403</v>
      </c>
      <c r="P710" t="s">
        <v>912</v>
      </c>
    </row>
    <row r="711" spans="1:16" x14ac:dyDescent="0.25">
      <c r="A711" t="s">
        <v>881</v>
      </c>
      <c r="B711" t="s">
        <v>116</v>
      </c>
      <c r="C711" t="s">
        <v>723</v>
      </c>
      <c r="D711" t="s">
        <v>8</v>
      </c>
      <c r="E711">
        <v>2024</v>
      </c>
      <c r="F711" t="s">
        <v>149</v>
      </c>
      <c r="G711" t="s">
        <v>725</v>
      </c>
      <c r="H711" t="s">
        <v>354</v>
      </c>
      <c r="I711" t="s">
        <v>354</v>
      </c>
      <c r="J711" t="s">
        <v>35</v>
      </c>
      <c r="K711" t="s">
        <v>807</v>
      </c>
      <c r="L711" t="s">
        <v>808</v>
      </c>
      <c r="M711" t="s">
        <v>804</v>
      </c>
      <c r="N711" t="s">
        <v>367</v>
      </c>
      <c r="O711" t="s">
        <v>388</v>
      </c>
      <c r="P711" t="s">
        <v>371</v>
      </c>
    </row>
    <row r="712" spans="1:16" x14ac:dyDescent="0.25">
      <c r="A712" t="s">
        <v>882</v>
      </c>
      <c r="B712" t="s">
        <v>116</v>
      </c>
      <c r="C712" t="s">
        <v>726</v>
      </c>
      <c r="D712" t="s">
        <v>8</v>
      </c>
      <c r="E712">
        <v>2024</v>
      </c>
      <c r="F712" t="s">
        <v>149</v>
      </c>
      <c r="G712" t="s">
        <v>728</v>
      </c>
      <c r="H712" t="s">
        <v>354</v>
      </c>
      <c r="I712" t="s">
        <v>354</v>
      </c>
      <c r="J712" t="s">
        <v>35</v>
      </c>
      <c r="K712" t="s">
        <v>807</v>
      </c>
      <c r="L712" t="s">
        <v>808</v>
      </c>
      <c r="M712" t="s">
        <v>804</v>
      </c>
      <c r="N712" t="s">
        <v>367</v>
      </c>
      <c r="O712" t="s">
        <v>388</v>
      </c>
      <c r="P712" t="s">
        <v>371</v>
      </c>
    </row>
    <row r="713" spans="1:16" x14ac:dyDescent="0.25">
      <c r="A713" t="s">
        <v>883</v>
      </c>
      <c r="B713" t="s">
        <v>116</v>
      </c>
      <c r="C713" t="s">
        <v>729</v>
      </c>
      <c r="D713" t="s">
        <v>8</v>
      </c>
      <c r="E713">
        <v>2024</v>
      </c>
      <c r="F713" t="s">
        <v>149</v>
      </c>
      <c r="G713" t="s">
        <v>731</v>
      </c>
      <c r="H713" t="s">
        <v>354</v>
      </c>
      <c r="I713" t="s">
        <v>354</v>
      </c>
      <c r="J713" t="s">
        <v>35</v>
      </c>
      <c r="K713" t="s">
        <v>807</v>
      </c>
      <c r="L713" t="s">
        <v>808</v>
      </c>
      <c r="M713" t="s">
        <v>802</v>
      </c>
      <c r="N713" t="s">
        <v>367</v>
      </c>
      <c r="O713" t="s">
        <v>388</v>
      </c>
      <c r="P713" t="s">
        <v>833</v>
      </c>
    </row>
    <row r="714" spans="1:16" x14ac:dyDescent="0.25">
      <c r="A714" t="s">
        <v>883</v>
      </c>
      <c r="B714" t="s">
        <v>116</v>
      </c>
      <c r="C714" t="s">
        <v>729</v>
      </c>
      <c r="D714" t="s">
        <v>8</v>
      </c>
      <c r="E714">
        <v>2024</v>
      </c>
      <c r="F714" t="s">
        <v>149</v>
      </c>
      <c r="G714" t="s">
        <v>731</v>
      </c>
      <c r="H714" t="s">
        <v>354</v>
      </c>
      <c r="I714" t="s">
        <v>354</v>
      </c>
      <c r="J714" t="s">
        <v>35</v>
      </c>
      <c r="K714" t="s">
        <v>807</v>
      </c>
      <c r="L714" t="s">
        <v>808</v>
      </c>
      <c r="M714" t="s">
        <v>802</v>
      </c>
      <c r="N714" t="s">
        <v>815</v>
      </c>
      <c r="O714" t="s">
        <v>403</v>
      </c>
      <c r="P714" t="s">
        <v>833</v>
      </c>
    </row>
    <row r="715" spans="1:16" x14ac:dyDescent="0.25">
      <c r="A715" t="s">
        <v>884</v>
      </c>
      <c r="B715" t="s">
        <v>116</v>
      </c>
      <c r="C715" t="s">
        <v>732</v>
      </c>
      <c r="D715" t="s">
        <v>8</v>
      </c>
      <c r="E715">
        <v>2024</v>
      </c>
      <c r="F715" t="s">
        <v>149</v>
      </c>
      <c r="G715" t="s">
        <v>734</v>
      </c>
      <c r="H715" t="s">
        <v>354</v>
      </c>
      <c r="I715" t="s">
        <v>354</v>
      </c>
      <c r="J715" t="s">
        <v>35</v>
      </c>
      <c r="K715" t="s">
        <v>37</v>
      </c>
      <c r="L715" t="s">
        <v>808</v>
      </c>
      <c r="M715" t="s">
        <v>802</v>
      </c>
      <c r="N715" t="s">
        <v>816</v>
      </c>
      <c r="O715" t="s">
        <v>404</v>
      </c>
      <c r="P715" t="s">
        <v>824</v>
      </c>
    </row>
    <row r="716" spans="1:16" x14ac:dyDescent="0.25">
      <c r="A716" t="s">
        <v>884</v>
      </c>
      <c r="B716" t="s">
        <v>116</v>
      </c>
      <c r="C716" t="s">
        <v>732</v>
      </c>
      <c r="D716" t="s">
        <v>8</v>
      </c>
      <c r="E716">
        <v>2024</v>
      </c>
      <c r="F716" t="s">
        <v>149</v>
      </c>
      <c r="G716" t="s">
        <v>734</v>
      </c>
      <c r="H716" t="s">
        <v>354</v>
      </c>
      <c r="I716" t="s">
        <v>354</v>
      </c>
      <c r="J716" t="s">
        <v>35</v>
      </c>
      <c r="K716" t="s">
        <v>37</v>
      </c>
      <c r="L716" t="s">
        <v>808</v>
      </c>
      <c r="M716" t="s">
        <v>803</v>
      </c>
      <c r="N716" t="s">
        <v>816</v>
      </c>
      <c r="O716" t="s">
        <v>404</v>
      </c>
      <c r="P716" t="s">
        <v>824</v>
      </c>
    </row>
    <row r="717" spans="1:16" x14ac:dyDescent="0.25">
      <c r="A717" t="s">
        <v>885</v>
      </c>
      <c r="B717" t="s">
        <v>116</v>
      </c>
      <c r="C717" t="s">
        <v>735</v>
      </c>
      <c r="D717" t="s">
        <v>8</v>
      </c>
      <c r="E717">
        <v>2024</v>
      </c>
      <c r="F717" t="s">
        <v>149</v>
      </c>
      <c r="G717" t="s">
        <v>737</v>
      </c>
      <c r="H717" t="s">
        <v>354</v>
      </c>
      <c r="I717" t="s">
        <v>354</v>
      </c>
      <c r="J717" t="s">
        <v>35</v>
      </c>
      <c r="K717" t="s">
        <v>807</v>
      </c>
      <c r="L717" t="s">
        <v>808</v>
      </c>
      <c r="M717" t="s">
        <v>802</v>
      </c>
      <c r="N717" t="s">
        <v>813</v>
      </c>
      <c r="O717" t="s">
        <v>391</v>
      </c>
      <c r="P717" t="s">
        <v>912</v>
      </c>
    </row>
    <row r="718" spans="1:16" x14ac:dyDescent="0.25">
      <c r="A718" t="s">
        <v>885</v>
      </c>
      <c r="B718" t="s">
        <v>116</v>
      </c>
      <c r="C718" t="s">
        <v>735</v>
      </c>
      <c r="D718" t="s">
        <v>8</v>
      </c>
      <c r="E718">
        <v>2024</v>
      </c>
      <c r="F718" t="s">
        <v>149</v>
      </c>
      <c r="G718" t="s">
        <v>737</v>
      </c>
      <c r="H718" t="s">
        <v>354</v>
      </c>
      <c r="I718" t="s">
        <v>354</v>
      </c>
      <c r="J718" t="s">
        <v>35</v>
      </c>
      <c r="K718" t="s">
        <v>807</v>
      </c>
      <c r="L718" t="s">
        <v>808</v>
      </c>
      <c r="M718" t="s">
        <v>802</v>
      </c>
      <c r="N718" t="s">
        <v>815</v>
      </c>
      <c r="O718" t="s">
        <v>403</v>
      </c>
      <c r="P718" t="s">
        <v>912</v>
      </c>
    </row>
    <row r="719" spans="1:16" x14ac:dyDescent="0.25">
      <c r="A719" t="s">
        <v>885</v>
      </c>
      <c r="B719" t="s">
        <v>116</v>
      </c>
      <c r="C719" t="s">
        <v>735</v>
      </c>
      <c r="D719" t="s">
        <v>8</v>
      </c>
      <c r="E719">
        <v>2024</v>
      </c>
      <c r="F719" t="s">
        <v>149</v>
      </c>
      <c r="G719" t="s">
        <v>737</v>
      </c>
      <c r="H719" t="s">
        <v>354</v>
      </c>
      <c r="I719" t="s">
        <v>354</v>
      </c>
      <c r="J719" t="s">
        <v>35</v>
      </c>
      <c r="K719" t="s">
        <v>807</v>
      </c>
      <c r="L719" t="s">
        <v>808</v>
      </c>
      <c r="M719" t="s">
        <v>803</v>
      </c>
      <c r="N719" t="s">
        <v>813</v>
      </c>
      <c r="O719" t="s">
        <v>391</v>
      </c>
      <c r="P719" t="s">
        <v>912</v>
      </c>
    </row>
    <row r="720" spans="1:16" x14ac:dyDescent="0.25">
      <c r="A720" t="s">
        <v>885</v>
      </c>
      <c r="B720" t="s">
        <v>116</v>
      </c>
      <c r="C720" t="s">
        <v>735</v>
      </c>
      <c r="D720" t="s">
        <v>8</v>
      </c>
      <c r="E720">
        <v>2024</v>
      </c>
      <c r="F720" t="s">
        <v>149</v>
      </c>
      <c r="G720" t="s">
        <v>737</v>
      </c>
      <c r="H720" t="s">
        <v>354</v>
      </c>
      <c r="I720" t="s">
        <v>354</v>
      </c>
      <c r="J720" t="s">
        <v>35</v>
      </c>
      <c r="K720" t="s">
        <v>807</v>
      </c>
      <c r="L720" t="s">
        <v>808</v>
      </c>
      <c r="M720" t="s">
        <v>803</v>
      </c>
      <c r="N720" t="s">
        <v>815</v>
      </c>
      <c r="O720" t="s">
        <v>403</v>
      </c>
      <c r="P720" t="s">
        <v>912</v>
      </c>
    </row>
    <row r="721" spans="1:16" x14ac:dyDescent="0.25">
      <c r="A721" t="s">
        <v>886</v>
      </c>
      <c r="B721" t="s">
        <v>116</v>
      </c>
      <c r="C721" t="s">
        <v>738</v>
      </c>
      <c r="D721" t="s">
        <v>8</v>
      </c>
      <c r="E721">
        <v>2024</v>
      </c>
      <c r="F721" t="s">
        <v>149</v>
      </c>
      <c r="G721" t="s">
        <v>740</v>
      </c>
      <c r="H721" t="s">
        <v>354</v>
      </c>
      <c r="I721" t="s">
        <v>354</v>
      </c>
      <c r="J721" t="s">
        <v>35</v>
      </c>
      <c r="K721" t="s">
        <v>807</v>
      </c>
      <c r="L721" t="s">
        <v>808</v>
      </c>
      <c r="M721" t="s">
        <v>802</v>
      </c>
      <c r="N721" t="s">
        <v>813</v>
      </c>
      <c r="O721" t="s">
        <v>391</v>
      </c>
      <c r="P721" t="s">
        <v>912</v>
      </c>
    </row>
    <row r="722" spans="1:16" x14ac:dyDescent="0.25">
      <c r="A722" t="s">
        <v>886</v>
      </c>
      <c r="B722" t="s">
        <v>116</v>
      </c>
      <c r="C722" t="s">
        <v>738</v>
      </c>
      <c r="D722" t="s">
        <v>8</v>
      </c>
      <c r="E722">
        <v>2024</v>
      </c>
      <c r="F722" t="s">
        <v>149</v>
      </c>
      <c r="G722" t="s">
        <v>740</v>
      </c>
      <c r="H722" t="s">
        <v>354</v>
      </c>
      <c r="I722" t="s">
        <v>354</v>
      </c>
      <c r="J722" t="s">
        <v>35</v>
      </c>
      <c r="K722" t="s">
        <v>807</v>
      </c>
      <c r="L722" t="s">
        <v>808</v>
      </c>
      <c r="M722" t="s">
        <v>802</v>
      </c>
      <c r="N722" t="s">
        <v>815</v>
      </c>
      <c r="O722" t="s">
        <v>403</v>
      </c>
      <c r="P722" t="s">
        <v>912</v>
      </c>
    </row>
    <row r="723" spans="1:16" x14ac:dyDescent="0.25">
      <c r="A723" t="s">
        <v>886</v>
      </c>
      <c r="B723" t="s">
        <v>116</v>
      </c>
      <c r="C723" t="s">
        <v>738</v>
      </c>
      <c r="D723" t="s">
        <v>8</v>
      </c>
      <c r="E723">
        <v>2024</v>
      </c>
      <c r="F723" t="s">
        <v>149</v>
      </c>
      <c r="G723" t="s">
        <v>740</v>
      </c>
      <c r="H723" t="s">
        <v>354</v>
      </c>
      <c r="I723" t="s">
        <v>354</v>
      </c>
      <c r="J723" t="s">
        <v>35</v>
      </c>
      <c r="K723" t="s">
        <v>807</v>
      </c>
      <c r="L723" t="s">
        <v>808</v>
      </c>
      <c r="M723" t="s">
        <v>803</v>
      </c>
      <c r="N723" t="s">
        <v>813</v>
      </c>
      <c r="O723" t="s">
        <v>391</v>
      </c>
      <c r="P723" t="s">
        <v>912</v>
      </c>
    </row>
    <row r="724" spans="1:16" x14ac:dyDescent="0.25">
      <c r="A724" t="s">
        <v>886</v>
      </c>
      <c r="B724" t="s">
        <v>116</v>
      </c>
      <c r="C724" t="s">
        <v>738</v>
      </c>
      <c r="D724" t="s">
        <v>8</v>
      </c>
      <c r="E724">
        <v>2024</v>
      </c>
      <c r="F724" t="s">
        <v>149</v>
      </c>
      <c r="G724" t="s">
        <v>740</v>
      </c>
      <c r="H724" t="s">
        <v>354</v>
      </c>
      <c r="I724" t="s">
        <v>354</v>
      </c>
      <c r="J724" t="s">
        <v>35</v>
      </c>
      <c r="K724" t="s">
        <v>807</v>
      </c>
      <c r="L724" t="s">
        <v>808</v>
      </c>
      <c r="M724" t="s">
        <v>803</v>
      </c>
      <c r="N724" t="s">
        <v>815</v>
      </c>
      <c r="O724" t="s">
        <v>403</v>
      </c>
      <c r="P724" t="s">
        <v>912</v>
      </c>
    </row>
    <row r="725" spans="1:16" x14ac:dyDescent="0.25">
      <c r="A725" t="s">
        <v>887</v>
      </c>
      <c r="B725" t="s">
        <v>116</v>
      </c>
      <c r="C725" t="s">
        <v>741</v>
      </c>
      <c r="D725" t="s">
        <v>8</v>
      </c>
      <c r="E725">
        <v>2024</v>
      </c>
      <c r="F725" t="s">
        <v>149</v>
      </c>
      <c r="G725" t="s">
        <v>743</v>
      </c>
      <c r="H725" t="s">
        <v>354</v>
      </c>
      <c r="I725" t="s">
        <v>354</v>
      </c>
      <c r="J725" t="s">
        <v>35</v>
      </c>
      <c r="K725" t="s">
        <v>807</v>
      </c>
      <c r="L725" t="s">
        <v>808</v>
      </c>
      <c r="M725" t="s">
        <v>802</v>
      </c>
      <c r="N725" t="s">
        <v>814</v>
      </c>
      <c r="O725" t="s">
        <v>392</v>
      </c>
      <c r="P725" t="s">
        <v>825</v>
      </c>
    </row>
    <row r="726" spans="1:16" x14ac:dyDescent="0.25">
      <c r="A726" t="s">
        <v>887</v>
      </c>
      <c r="B726" t="s">
        <v>116</v>
      </c>
      <c r="C726" t="s">
        <v>741</v>
      </c>
      <c r="D726" t="s">
        <v>8</v>
      </c>
      <c r="E726">
        <v>2024</v>
      </c>
      <c r="F726" t="s">
        <v>149</v>
      </c>
      <c r="G726" t="s">
        <v>743</v>
      </c>
      <c r="H726" t="s">
        <v>354</v>
      </c>
      <c r="I726" t="s">
        <v>354</v>
      </c>
      <c r="J726" t="s">
        <v>35</v>
      </c>
      <c r="K726" t="s">
        <v>807</v>
      </c>
      <c r="L726" t="s">
        <v>808</v>
      </c>
      <c r="M726" t="s">
        <v>803</v>
      </c>
      <c r="N726" t="s">
        <v>814</v>
      </c>
      <c r="O726" t="s">
        <v>392</v>
      </c>
      <c r="P726" t="s">
        <v>825</v>
      </c>
    </row>
    <row r="727" spans="1:16" x14ac:dyDescent="0.25">
      <c r="A727" t="s">
        <v>888</v>
      </c>
      <c r="B727" t="s">
        <v>116</v>
      </c>
      <c r="C727" t="s">
        <v>744</v>
      </c>
      <c r="D727" t="s">
        <v>8</v>
      </c>
      <c r="E727">
        <v>2024</v>
      </c>
      <c r="F727" t="s">
        <v>149</v>
      </c>
      <c r="G727" t="s">
        <v>746</v>
      </c>
      <c r="H727" t="s">
        <v>354</v>
      </c>
      <c r="I727" t="s">
        <v>354</v>
      </c>
      <c r="J727" t="s">
        <v>35</v>
      </c>
      <c r="K727" t="s">
        <v>37</v>
      </c>
      <c r="L727" t="s">
        <v>808</v>
      </c>
      <c r="M727" t="s">
        <v>36</v>
      </c>
      <c r="N727" t="s">
        <v>817</v>
      </c>
      <c r="O727" t="s">
        <v>394</v>
      </c>
      <c r="P727" t="s">
        <v>826</v>
      </c>
    </row>
    <row r="728" spans="1:16" x14ac:dyDescent="0.25">
      <c r="A728" t="s">
        <v>888</v>
      </c>
      <c r="B728" t="s">
        <v>116</v>
      </c>
      <c r="C728" t="s">
        <v>744</v>
      </c>
      <c r="D728" t="s">
        <v>8</v>
      </c>
      <c r="E728">
        <v>2024</v>
      </c>
      <c r="F728" t="s">
        <v>149</v>
      </c>
      <c r="G728" t="s">
        <v>746</v>
      </c>
      <c r="H728" t="s">
        <v>354</v>
      </c>
      <c r="I728" t="s">
        <v>354</v>
      </c>
      <c r="J728" t="s">
        <v>35</v>
      </c>
      <c r="K728" t="s">
        <v>37</v>
      </c>
      <c r="L728" t="s">
        <v>808</v>
      </c>
      <c r="M728" t="s">
        <v>803</v>
      </c>
      <c r="N728" t="s">
        <v>817</v>
      </c>
      <c r="O728" t="s">
        <v>394</v>
      </c>
      <c r="P728" t="s">
        <v>826</v>
      </c>
    </row>
    <row r="729" spans="1:16" x14ac:dyDescent="0.25">
      <c r="A729" t="s">
        <v>889</v>
      </c>
      <c r="B729" t="s">
        <v>116</v>
      </c>
      <c r="C729" t="s">
        <v>747</v>
      </c>
      <c r="D729" t="s">
        <v>8</v>
      </c>
      <c r="E729">
        <v>2024</v>
      </c>
      <c r="F729" t="s">
        <v>149</v>
      </c>
      <c r="G729" t="s">
        <v>749</v>
      </c>
      <c r="H729" t="s">
        <v>354</v>
      </c>
      <c r="I729" t="s">
        <v>354</v>
      </c>
      <c r="J729" t="s">
        <v>35</v>
      </c>
      <c r="K729" t="s">
        <v>806</v>
      </c>
      <c r="L729" t="s">
        <v>808</v>
      </c>
      <c r="M729" t="s">
        <v>802</v>
      </c>
      <c r="N729" t="s">
        <v>815</v>
      </c>
      <c r="O729" t="s">
        <v>403</v>
      </c>
      <c r="P729" t="s">
        <v>823</v>
      </c>
    </row>
    <row r="730" spans="1:16" x14ac:dyDescent="0.25">
      <c r="A730" t="s">
        <v>889</v>
      </c>
      <c r="B730" t="s">
        <v>116</v>
      </c>
      <c r="C730" t="s">
        <v>747</v>
      </c>
      <c r="D730" t="s">
        <v>8</v>
      </c>
      <c r="E730">
        <v>2024</v>
      </c>
      <c r="F730" t="s">
        <v>149</v>
      </c>
      <c r="G730" t="s">
        <v>749</v>
      </c>
      <c r="H730" t="s">
        <v>354</v>
      </c>
      <c r="I730" t="s">
        <v>354</v>
      </c>
      <c r="J730" t="s">
        <v>35</v>
      </c>
      <c r="K730" t="s">
        <v>806</v>
      </c>
      <c r="L730" t="s">
        <v>808</v>
      </c>
      <c r="M730" t="s">
        <v>805</v>
      </c>
      <c r="N730" t="s">
        <v>815</v>
      </c>
      <c r="O730" t="s">
        <v>403</v>
      </c>
      <c r="P730" t="s">
        <v>823</v>
      </c>
    </row>
    <row r="731" spans="1:16" x14ac:dyDescent="0.25">
      <c r="A731" t="s">
        <v>890</v>
      </c>
      <c r="B731" t="s">
        <v>116</v>
      </c>
      <c r="C731" t="s">
        <v>418</v>
      </c>
      <c r="D731" t="s">
        <v>439</v>
      </c>
      <c r="E731">
        <v>2024</v>
      </c>
      <c r="F731" t="s">
        <v>149</v>
      </c>
      <c r="G731" t="s">
        <v>752</v>
      </c>
      <c r="H731" t="s">
        <v>354</v>
      </c>
      <c r="I731" t="s">
        <v>354</v>
      </c>
      <c r="J731" t="s">
        <v>35</v>
      </c>
      <c r="K731" t="s">
        <v>807</v>
      </c>
      <c r="L731" t="s">
        <v>808</v>
      </c>
      <c r="M731" t="s">
        <v>802</v>
      </c>
      <c r="N731" t="s">
        <v>813</v>
      </c>
      <c r="O731" t="s">
        <v>391</v>
      </c>
      <c r="P731" t="s">
        <v>912</v>
      </c>
    </row>
    <row r="732" spans="1:16" x14ac:dyDescent="0.25">
      <c r="A732" t="s">
        <v>890</v>
      </c>
      <c r="B732" t="s">
        <v>116</v>
      </c>
      <c r="C732" t="s">
        <v>418</v>
      </c>
      <c r="D732" t="s">
        <v>439</v>
      </c>
      <c r="E732">
        <v>2024</v>
      </c>
      <c r="F732" t="s">
        <v>149</v>
      </c>
      <c r="G732" t="s">
        <v>752</v>
      </c>
      <c r="H732" t="s">
        <v>354</v>
      </c>
      <c r="I732" t="s">
        <v>354</v>
      </c>
      <c r="J732" t="s">
        <v>35</v>
      </c>
      <c r="K732" t="s">
        <v>807</v>
      </c>
      <c r="L732" t="s">
        <v>808</v>
      </c>
      <c r="M732" t="s">
        <v>802</v>
      </c>
      <c r="N732" t="s">
        <v>815</v>
      </c>
      <c r="O732" t="s">
        <v>403</v>
      </c>
      <c r="P732" t="s">
        <v>912</v>
      </c>
    </row>
    <row r="733" spans="1:16" x14ac:dyDescent="0.25">
      <c r="A733" t="s">
        <v>890</v>
      </c>
      <c r="B733" t="s">
        <v>116</v>
      </c>
      <c r="C733" t="s">
        <v>418</v>
      </c>
      <c r="D733" t="s">
        <v>439</v>
      </c>
      <c r="E733">
        <v>2024</v>
      </c>
      <c r="F733" t="s">
        <v>149</v>
      </c>
      <c r="G733" t="s">
        <v>752</v>
      </c>
      <c r="H733" t="s">
        <v>354</v>
      </c>
      <c r="I733" t="s">
        <v>354</v>
      </c>
      <c r="J733" t="s">
        <v>35</v>
      </c>
      <c r="K733" t="s">
        <v>807</v>
      </c>
      <c r="L733" t="s">
        <v>808</v>
      </c>
      <c r="M733" t="s">
        <v>803</v>
      </c>
      <c r="N733" t="s">
        <v>813</v>
      </c>
      <c r="O733" t="s">
        <v>391</v>
      </c>
      <c r="P733" t="s">
        <v>912</v>
      </c>
    </row>
    <row r="734" spans="1:16" x14ac:dyDescent="0.25">
      <c r="A734" t="s">
        <v>890</v>
      </c>
      <c r="B734" t="s">
        <v>116</v>
      </c>
      <c r="C734" t="s">
        <v>418</v>
      </c>
      <c r="D734" t="s">
        <v>439</v>
      </c>
      <c r="E734">
        <v>2024</v>
      </c>
      <c r="F734" t="s">
        <v>149</v>
      </c>
      <c r="G734" t="s">
        <v>752</v>
      </c>
      <c r="H734" t="s">
        <v>354</v>
      </c>
      <c r="I734" t="s">
        <v>354</v>
      </c>
      <c r="J734" t="s">
        <v>35</v>
      </c>
      <c r="K734" t="s">
        <v>807</v>
      </c>
      <c r="L734" t="s">
        <v>808</v>
      </c>
      <c r="M734" t="s">
        <v>803</v>
      </c>
      <c r="N734" t="s">
        <v>815</v>
      </c>
      <c r="O734" t="s">
        <v>403</v>
      </c>
      <c r="P734" t="s">
        <v>912</v>
      </c>
    </row>
    <row r="735" spans="1:16" x14ac:dyDescent="0.25">
      <c r="A735" t="s">
        <v>891</v>
      </c>
      <c r="B735" t="s">
        <v>116</v>
      </c>
      <c r="C735" t="s">
        <v>753</v>
      </c>
      <c r="D735" t="s">
        <v>8</v>
      </c>
      <c r="E735">
        <v>2024</v>
      </c>
      <c r="F735" t="s">
        <v>149</v>
      </c>
      <c r="G735" t="s">
        <v>755</v>
      </c>
      <c r="H735" t="s">
        <v>354</v>
      </c>
      <c r="I735" t="s">
        <v>354</v>
      </c>
      <c r="J735" t="s">
        <v>35</v>
      </c>
      <c r="K735" t="s">
        <v>806</v>
      </c>
      <c r="L735" t="s">
        <v>808</v>
      </c>
      <c r="M735" t="s">
        <v>802</v>
      </c>
      <c r="N735" t="s">
        <v>813</v>
      </c>
      <c r="O735" t="s">
        <v>391</v>
      </c>
      <c r="P735" t="s">
        <v>912</v>
      </c>
    </row>
    <row r="736" spans="1:16" x14ac:dyDescent="0.25">
      <c r="A736" t="s">
        <v>891</v>
      </c>
      <c r="B736" t="s">
        <v>116</v>
      </c>
      <c r="C736" t="s">
        <v>753</v>
      </c>
      <c r="D736" t="s">
        <v>8</v>
      </c>
      <c r="E736">
        <v>2024</v>
      </c>
      <c r="F736" t="s">
        <v>149</v>
      </c>
      <c r="G736" t="s">
        <v>755</v>
      </c>
      <c r="H736" t="s">
        <v>354</v>
      </c>
      <c r="I736" t="s">
        <v>354</v>
      </c>
      <c r="J736" t="s">
        <v>35</v>
      </c>
      <c r="K736" t="s">
        <v>806</v>
      </c>
      <c r="L736" t="s">
        <v>808</v>
      </c>
      <c r="M736" t="s">
        <v>802</v>
      </c>
      <c r="N736" t="s">
        <v>815</v>
      </c>
      <c r="O736" t="s">
        <v>403</v>
      </c>
      <c r="P736" t="s">
        <v>912</v>
      </c>
    </row>
    <row r="737" spans="1:16" x14ac:dyDescent="0.25">
      <c r="A737" t="s">
        <v>891</v>
      </c>
      <c r="B737" t="s">
        <v>116</v>
      </c>
      <c r="C737" t="s">
        <v>753</v>
      </c>
      <c r="D737" t="s">
        <v>8</v>
      </c>
      <c r="E737">
        <v>2024</v>
      </c>
      <c r="F737" t="s">
        <v>149</v>
      </c>
      <c r="G737" t="s">
        <v>755</v>
      </c>
      <c r="H737" t="s">
        <v>354</v>
      </c>
      <c r="I737" t="s">
        <v>354</v>
      </c>
      <c r="J737" t="s">
        <v>35</v>
      </c>
      <c r="K737" t="s">
        <v>806</v>
      </c>
      <c r="L737" t="s">
        <v>808</v>
      </c>
      <c r="M737" t="s">
        <v>803</v>
      </c>
      <c r="N737" t="s">
        <v>813</v>
      </c>
      <c r="O737" t="s">
        <v>391</v>
      </c>
      <c r="P737" t="s">
        <v>912</v>
      </c>
    </row>
    <row r="738" spans="1:16" x14ac:dyDescent="0.25">
      <c r="A738" t="s">
        <v>891</v>
      </c>
      <c r="B738" t="s">
        <v>116</v>
      </c>
      <c r="C738" t="s">
        <v>753</v>
      </c>
      <c r="D738" t="s">
        <v>8</v>
      </c>
      <c r="E738">
        <v>2024</v>
      </c>
      <c r="F738" t="s">
        <v>149</v>
      </c>
      <c r="G738" t="s">
        <v>755</v>
      </c>
      <c r="H738" t="s">
        <v>354</v>
      </c>
      <c r="I738" t="s">
        <v>354</v>
      </c>
      <c r="J738" t="s">
        <v>35</v>
      </c>
      <c r="K738" t="s">
        <v>806</v>
      </c>
      <c r="L738" t="s">
        <v>808</v>
      </c>
      <c r="M738" t="s">
        <v>803</v>
      </c>
      <c r="N738" t="s">
        <v>815</v>
      </c>
      <c r="O738" t="s">
        <v>403</v>
      </c>
      <c r="P738" t="s">
        <v>912</v>
      </c>
    </row>
    <row r="739" spans="1:16" x14ac:dyDescent="0.25">
      <c r="A739" t="s">
        <v>892</v>
      </c>
      <c r="B739" t="s">
        <v>116</v>
      </c>
      <c r="C739" t="s">
        <v>756</v>
      </c>
      <c r="D739" t="s">
        <v>439</v>
      </c>
      <c r="E739">
        <v>2024</v>
      </c>
      <c r="F739" t="s">
        <v>149</v>
      </c>
      <c r="G739" t="s">
        <v>758</v>
      </c>
      <c r="H739" t="s">
        <v>354</v>
      </c>
      <c r="I739" t="s">
        <v>354</v>
      </c>
      <c r="J739" t="s">
        <v>35</v>
      </c>
      <c r="K739" t="s">
        <v>806</v>
      </c>
      <c r="L739" t="s">
        <v>808</v>
      </c>
      <c r="M739" t="s">
        <v>36</v>
      </c>
      <c r="N739" t="s">
        <v>817</v>
      </c>
      <c r="O739" t="s">
        <v>394</v>
      </c>
      <c r="P739" t="s">
        <v>826</v>
      </c>
    </row>
    <row r="740" spans="1:16" x14ac:dyDescent="0.25">
      <c r="A740" t="s">
        <v>893</v>
      </c>
      <c r="B740" t="s">
        <v>116</v>
      </c>
      <c r="C740" t="s">
        <v>759</v>
      </c>
      <c r="D740" t="s">
        <v>439</v>
      </c>
      <c r="E740">
        <v>2024</v>
      </c>
      <c r="F740" t="s">
        <v>149</v>
      </c>
      <c r="G740" t="s">
        <v>761</v>
      </c>
      <c r="H740" t="s">
        <v>354</v>
      </c>
      <c r="I740" t="s">
        <v>354</v>
      </c>
      <c r="J740" t="s">
        <v>35</v>
      </c>
      <c r="K740" t="s">
        <v>806</v>
      </c>
      <c r="L740" t="s">
        <v>808</v>
      </c>
      <c r="M740" t="s">
        <v>802</v>
      </c>
      <c r="N740" t="s">
        <v>814</v>
      </c>
      <c r="O740" t="s">
        <v>392</v>
      </c>
      <c r="P740" t="s">
        <v>825</v>
      </c>
    </row>
    <row r="741" spans="1:16" x14ac:dyDescent="0.25">
      <c r="A741" t="s">
        <v>893</v>
      </c>
      <c r="B741" t="s">
        <v>116</v>
      </c>
      <c r="C741" t="s">
        <v>759</v>
      </c>
      <c r="D741" t="s">
        <v>439</v>
      </c>
      <c r="E741">
        <v>2024</v>
      </c>
      <c r="F741" t="s">
        <v>149</v>
      </c>
      <c r="G741" t="s">
        <v>761</v>
      </c>
      <c r="H741" t="s">
        <v>354</v>
      </c>
      <c r="I741" t="s">
        <v>354</v>
      </c>
      <c r="J741" t="s">
        <v>35</v>
      </c>
      <c r="K741" t="s">
        <v>806</v>
      </c>
      <c r="L741" t="s">
        <v>808</v>
      </c>
      <c r="M741" t="s">
        <v>803</v>
      </c>
      <c r="N741" t="s">
        <v>814</v>
      </c>
      <c r="O741" t="s">
        <v>392</v>
      </c>
      <c r="P741" t="s">
        <v>825</v>
      </c>
    </row>
    <row r="742" spans="1:16" x14ac:dyDescent="0.25">
      <c r="A742" t="s">
        <v>894</v>
      </c>
      <c r="B742" t="s">
        <v>116</v>
      </c>
      <c r="C742" t="s">
        <v>762</v>
      </c>
      <c r="D742" t="s">
        <v>439</v>
      </c>
      <c r="E742">
        <v>2024</v>
      </c>
      <c r="F742" t="s">
        <v>149</v>
      </c>
      <c r="G742" t="s">
        <v>764</v>
      </c>
      <c r="H742" t="s">
        <v>354</v>
      </c>
      <c r="I742" t="s">
        <v>354</v>
      </c>
      <c r="J742" t="s">
        <v>35</v>
      </c>
      <c r="K742" t="s">
        <v>807</v>
      </c>
      <c r="L742" t="s">
        <v>808</v>
      </c>
      <c r="M742" t="s">
        <v>802</v>
      </c>
      <c r="N742" t="s">
        <v>813</v>
      </c>
      <c r="O742" t="s">
        <v>391</v>
      </c>
      <c r="P742" t="s">
        <v>912</v>
      </c>
    </row>
    <row r="743" spans="1:16" x14ac:dyDescent="0.25">
      <c r="A743" t="s">
        <v>894</v>
      </c>
      <c r="B743" t="s">
        <v>116</v>
      </c>
      <c r="C743" t="s">
        <v>762</v>
      </c>
      <c r="D743" t="s">
        <v>439</v>
      </c>
      <c r="E743">
        <v>2024</v>
      </c>
      <c r="F743" t="s">
        <v>149</v>
      </c>
      <c r="G743" t="s">
        <v>764</v>
      </c>
      <c r="H743" t="s">
        <v>354</v>
      </c>
      <c r="I743" t="s">
        <v>354</v>
      </c>
      <c r="J743" t="s">
        <v>35</v>
      </c>
      <c r="K743" t="s">
        <v>807</v>
      </c>
      <c r="L743" t="s">
        <v>808</v>
      </c>
      <c r="M743" t="s">
        <v>802</v>
      </c>
      <c r="N743" t="s">
        <v>815</v>
      </c>
      <c r="O743" t="s">
        <v>403</v>
      </c>
      <c r="P743" t="s">
        <v>912</v>
      </c>
    </row>
    <row r="744" spans="1:16" x14ac:dyDescent="0.25">
      <c r="A744" t="s">
        <v>895</v>
      </c>
      <c r="B744" t="s">
        <v>116</v>
      </c>
      <c r="C744" t="s">
        <v>765</v>
      </c>
      <c r="D744" t="s">
        <v>439</v>
      </c>
      <c r="E744">
        <v>2024</v>
      </c>
      <c r="F744" t="s">
        <v>149</v>
      </c>
      <c r="G744" t="s">
        <v>767</v>
      </c>
      <c r="H744" t="s">
        <v>354</v>
      </c>
      <c r="I744" t="s">
        <v>354</v>
      </c>
      <c r="J744" t="s">
        <v>35</v>
      </c>
      <c r="K744" t="s">
        <v>807</v>
      </c>
      <c r="L744" t="s">
        <v>808</v>
      </c>
      <c r="M744" t="s">
        <v>802</v>
      </c>
      <c r="N744" t="s">
        <v>367</v>
      </c>
      <c r="O744" t="s">
        <v>388</v>
      </c>
      <c r="P744" t="s">
        <v>371</v>
      </c>
    </row>
    <row r="745" spans="1:16" x14ac:dyDescent="0.25">
      <c r="A745" t="s">
        <v>896</v>
      </c>
      <c r="B745" t="s">
        <v>116</v>
      </c>
      <c r="C745" t="s">
        <v>768</v>
      </c>
      <c r="D745" t="s">
        <v>439</v>
      </c>
      <c r="E745">
        <v>2024</v>
      </c>
      <c r="F745" t="s">
        <v>149</v>
      </c>
      <c r="G745" t="s">
        <v>770</v>
      </c>
      <c r="H745" t="s">
        <v>354</v>
      </c>
      <c r="I745" t="s">
        <v>354</v>
      </c>
      <c r="J745" t="s">
        <v>35</v>
      </c>
      <c r="K745" t="s">
        <v>806</v>
      </c>
      <c r="L745" t="s">
        <v>808</v>
      </c>
      <c r="M745" t="s">
        <v>802</v>
      </c>
      <c r="N745" t="s">
        <v>814</v>
      </c>
      <c r="O745" t="s">
        <v>392</v>
      </c>
      <c r="P745" t="s">
        <v>825</v>
      </c>
    </row>
    <row r="746" spans="1:16" x14ac:dyDescent="0.25">
      <c r="A746" t="s">
        <v>897</v>
      </c>
      <c r="B746" t="s">
        <v>116</v>
      </c>
      <c r="C746" t="s">
        <v>771</v>
      </c>
      <c r="D746" t="s">
        <v>439</v>
      </c>
      <c r="E746">
        <v>2024</v>
      </c>
      <c r="F746" t="s">
        <v>149</v>
      </c>
      <c r="G746" t="s">
        <v>773</v>
      </c>
      <c r="H746" t="s">
        <v>354</v>
      </c>
      <c r="I746" t="s">
        <v>354</v>
      </c>
      <c r="J746" t="s">
        <v>35</v>
      </c>
      <c r="K746" t="s">
        <v>37</v>
      </c>
      <c r="L746" t="s">
        <v>808</v>
      </c>
      <c r="M746" t="s">
        <v>802</v>
      </c>
      <c r="N746" t="s">
        <v>816</v>
      </c>
      <c r="O746" t="s">
        <v>404</v>
      </c>
      <c r="P746" t="s">
        <v>824</v>
      </c>
    </row>
    <row r="747" spans="1:16" x14ac:dyDescent="0.25">
      <c r="A747" t="s">
        <v>898</v>
      </c>
      <c r="B747" t="s">
        <v>116</v>
      </c>
      <c r="C747" t="s">
        <v>774</v>
      </c>
      <c r="D747" t="s">
        <v>8</v>
      </c>
      <c r="E747">
        <v>2024</v>
      </c>
      <c r="F747" t="s">
        <v>149</v>
      </c>
      <c r="G747" t="s">
        <v>776</v>
      </c>
      <c r="H747" t="s">
        <v>354</v>
      </c>
      <c r="I747" t="s">
        <v>354</v>
      </c>
      <c r="J747" t="s">
        <v>35</v>
      </c>
      <c r="K747" t="s">
        <v>807</v>
      </c>
      <c r="L747" t="s">
        <v>808</v>
      </c>
      <c r="M747" t="s">
        <v>802</v>
      </c>
      <c r="N747" t="s">
        <v>367</v>
      </c>
      <c r="O747" t="s">
        <v>388</v>
      </c>
      <c r="P747" t="s">
        <v>831</v>
      </c>
    </row>
    <row r="748" spans="1:16" x14ac:dyDescent="0.25">
      <c r="A748" t="s">
        <v>898</v>
      </c>
      <c r="B748" t="s">
        <v>116</v>
      </c>
      <c r="C748" t="s">
        <v>774</v>
      </c>
      <c r="D748" t="s">
        <v>8</v>
      </c>
      <c r="E748">
        <v>2024</v>
      </c>
      <c r="F748" t="s">
        <v>149</v>
      </c>
      <c r="G748" t="s">
        <v>776</v>
      </c>
      <c r="H748" t="s">
        <v>354</v>
      </c>
      <c r="I748" t="s">
        <v>354</v>
      </c>
      <c r="J748" t="s">
        <v>35</v>
      </c>
      <c r="K748" t="s">
        <v>807</v>
      </c>
      <c r="L748" t="s">
        <v>808</v>
      </c>
      <c r="M748" t="s">
        <v>802</v>
      </c>
      <c r="N748" t="s">
        <v>813</v>
      </c>
      <c r="O748" t="s">
        <v>391</v>
      </c>
      <c r="P748" t="s">
        <v>831</v>
      </c>
    </row>
    <row r="749" spans="1:16" x14ac:dyDescent="0.25">
      <c r="A749" t="s">
        <v>899</v>
      </c>
      <c r="B749" t="s">
        <v>116</v>
      </c>
      <c r="C749" t="s">
        <v>777</v>
      </c>
      <c r="D749" t="s">
        <v>439</v>
      </c>
      <c r="E749">
        <v>2024</v>
      </c>
      <c r="F749" t="s">
        <v>149</v>
      </c>
      <c r="G749" t="s">
        <v>779</v>
      </c>
      <c r="H749" t="s">
        <v>354</v>
      </c>
      <c r="I749" t="s">
        <v>354</v>
      </c>
      <c r="J749" t="s">
        <v>35</v>
      </c>
      <c r="K749" t="s">
        <v>806</v>
      </c>
      <c r="L749" t="s">
        <v>808</v>
      </c>
      <c r="M749" t="s">
        <v>802</v>
      </c>
      <c r="N749" t="s">
        <v>817</v>
      </c>
      <c r="O749" t="s">
        <v>394</v>
      </c>
      <c r="P749" t="s">
        <v>909</v>
      </c>
    </row>
    <row r="750" spans="1:16" x14ac:dyDescent="0.25">
      <c r="A750" t="s">
        <v>899</v>
      </c>
      <c r="B750" t="s">
        <v>116</v>
      </c>
      <c r="C750" t="s">
        <v>777</v>
      </c>
      <c r="D750" t="s">
        <v>439</v>
      </c>
      <c r="E750">
        <v>2024</v>
      </c>
      <c r="F750" t="s">
        <v>149</v>
      </c>
      <c r="G750" t="s">
        <v>779</v>
      </c>
      <c r="H750" t="s">
        <v>354</v>
      </c>
      <c r="I750" t="s">
        <v>354</v>
      </c>
      <c r="J750" t="s">
        <v>35</v>
      </c>
      <c r="K750" t="s">
        <v>806</v>
      </c>
      <c r="L750" t="s">
        <v>808</v>
      </c>
      <c r="M750" t="s">
        <v>802</v>
      </c>
      <c r="N750" t="s">
        <v>815</v>
      </c>
      <c r="O750" t="s">
        <v>403</v>
      </c>
      <c r="P750" t="s">
        <v>909</v>
      </c>
    </row>
    <row r="751" spans="1:16" x14ac:dyDescent="0.25">
      <c r="A751" t="s">
        <v>899</v>
      </c>
      <c r="B751" t="s">
        <v>116</v>
      </c>
      <c r="C751" t="s">
        <v>777</v>
      </c>
      <c r="D751" t="s">
        <v>439</v>
      </c>
      <c r="E751">
        <v>2024</v>
      </c>
      <c r="F751" t="s">
        <v>149</v>
      </c>
      <c r="G751" t="s">
        <v>779</v>
      </c>
      <c r="H751" t="s">
        <v>354</v>
      </c>
      <c r="I751" t="s">
        <v>354</v>
      </c>
      <c r="J751" t="s">
        <v>35</v>
      </c>
      <c r="K751" t="s">
        <v>806</v>
      </c>
      <c r="L751" t="s">
        <v>808</v>
      </c>
      <c r="M751" t="s">
        <v>36</v>
      </c>
      <c r="N751" t="s">
        <v>817</v>
      </c>
      <c r="O751" t="s">
        <v>394</v>
      </c>
      <c r="P751" t="s">
        <v>909</v>
      </c>
    </row>
    <row r="752" spans="1:16" x14ac:dyDescent="0.25">
      <c r="A752" t="s">
        <v>899</v>
      </c>
      <c r="B752" t="s">
        <v>116</v>
      </c>
      <c r="C752" t="s">
        <v>777</v>
      </c>
      <c r="D752" t="s">
        <v>439</v>
      </c>
      <c r="E752">
        <v>2024</v>
      </c>
      <c r="F752" t="s">
        <v>149</v>
      </c>
      <c r="G752" t="s">
        <v>779</v>
      </c>
      <c r="H752" t="s">
        <v>354</v>
      </c>
      <c r="I752" t="s">
        <v>354</v>
      </c>
      <c r="J752" t="s">
        <v>35</v>
      </c>
      <c r="K752" t="s">
        <v>806</v>
      </c>
      <c r="L752" t="s">
        <v>808</v>
      </c>
      <c r="M752" t="s">
        <v>36</v>
      </c>
      <c r="N752" t="s">
        <v>815</v>
      </c>
      <c r="O752" t="s">
        <v>403</v>
      </c>
      <c r="P752" t="s">
        <v>909</v>
      </c>
    </row>
    <row r="753" spans="1:16" x14ac:dyDescent="0.25">
      <c r="A753" t="s">
        <v>899</v>
      </c>
      <c r="B753" t="s">
        <v>116</v>
      </c>
      <c r="C753" t="s">
        <v>777</v>
      </c>
      <c r="D753" t="s">
        <v>439</v>
      </c>
      <c r="E753">
        <v>2024</v>
      </c>
      <c r="F753" t="s">
        <v>149</v>
      </c>
      <c r="G753" t="s">
        <v>779</v>
      </c>
      <c r="H753" t="s">
        <v>354</v>
      </c>
      <c r="I753" t="s">
        <v>354</v>
      </c>
      <c r="J753" t="s">
        <v>35</v>
      </c>
      <c r="K753" t="s">
        <v>806</v>
      </c>
      <c r="L753" t="s">
        <v>808</v>
      </c>
      <c r="M753" t="s">
        <v>90</v>
      </c>
      <c r="N753" t="s">
        <v>817</v>
      </c>
      <c r="O753" t="s">
        <v>394</v>
      </c>
      <c r="P753" t="s">
        <v>909</v>
      </c>
    </row>
    <row r="754" spans="1:16" x14ac:dyDescent="0.25">
      <c r="A754" t="s">
        <v>899</v>
      </c>
      <c r="B754" t="s">
        <v>116</v>
      </c>
      <c r="C754" t="s">
        <v>777</v>
      </c>
      <c r="D754" t="s">
        <v>439</v>
      </c>
      <c r="E754">
        <v>2024</v>
      </c>
      <c r="F754" t="s">
        <v>149</v>
      </c>
      <c r="G754" t="s">
        <v>779</v>
      </c>
      <c r="H754" t="s">
        <v>354</v>
      </c>
      <c r="I754" t="s">
        <v>354</v>
      </c>
      <c r="J754" t="s">
        <v>35</v>
      </c>
      <c r="K754" t="s">
        <v>806</v>
      </c>
      <c r="L754" t="s">
        <v>808</v>
      </c>
      <c r="M754" t="s">
        <v>90</v>
      </c>
      <c r="N754" t="s">
        <v>815</v>
      </c>
      <c r="O754" t="s">
        <v>403</v>
      </c>
      <c r="P754" t="s">
        <v>909</v>
      </c>
    </row>
    <row r="755" spans="1:16" x14ac:dyDescent="0.25">
      <c r="A755" t="s">
        <v>900</v>
      </c>
      <c r="B755" t="s">
        <v>116</v>
      </c>
      <c r="C755" t="s">
        <v>780</v>
      </c>
      <c r="D755" t="s">
        <v>8</v>
      </c>
      <c r="E755">
        <v>2024</v>
      </c>
      <c r="F755" t="s">
        <v>149</v>
      </c>
      <c r="G755" t="s">
        <v>782</v>
      </c>
      <c r="H755" t="s">
        <v>354</v>
      </c>
      <c r="I755" t="s">
        <v>354</v>
      </c>
      <c r="J755" t="s">
        <v>35</v>
      </c>
      <c r="K755" t="s">
        <v>806</v>
      </c>
      <c r="L755" t="s">
        <v>808</v>
      </c>
      <c r="M755" t="s">
        <v>802</v>
      </c>
      <c r="N755" t="s">
        <v>813</v>
      </c>
      <c r="O755" t="s">
        <v>391</v>
      </c>
      <c r="P755" t="s">
        <v>828</v>
      </c>
    </row>
    <row r="756" spans="1:16" x14ac:dyDescent="0.25">
      <c r="A756" t="s">
        <v>901</v>
      </c>
      <c r="B756" t="s">
        <v>116</v>
      </c>
      <c r="C756" t="s">
        <v>783</v>
      </c>
      <c r="D756" t="s">
        <v>60</v>
      </c>
      <c r="E756">
        <v>2019</v>
      </c>
      <c r="F756" t="s">
        <v>75</v>
      </c>
      <c r="G756" t="s">
        <v>785</v>
      </c>
      <c r="H756" t="s">
        <v>354</v>
      </c>
      <c r="I756" t="s">
        <v>786</v>
      </c>
      <c r="J756" t="s">
        <v>321</v>
      </c>
      <c r="K756" t="s">
        <v>37</v>
      </c>
      <c r="L756" t="s">
        <v>809</v>
      </c>
      <c r="M756" t="s">
        <v>802</v>
      </c>
      <c r="N756" t="s">
        <v>368</v>
      </c>
      <c r="O756" t="s">
        <v>390</v>
      </c>
      <c r="P756" t="s">
        <v>913</v>
      </c>
    </row>
    <row r="757" spans="1:16" x14ac:dyDescent="0.25">
      <c r="A757" t="s">
        <v>901</v>
      </c>
      <c r="B757" t="s">
        <v>116</v>
      </c>
      <c r="C757" t="s">
        <v>783</v>
      </c>
      <c r="D757" t="s">
        <v>60</v>
      </c>
      <c r="E757">
        <v>2019</v>
      </c>
      <c r="F757" t="s">
        <v>75</v>
      </c>
      <c r="G757" t="s">
        <v>785</v>
      </c>
      <c r="H757" t="s">
        <v>354</v>
      </c>
      <c r="I757" t="s">
        <v>786</v>
      </c>
      <c r="J757" t="s">
        <v>321</v>
      </c>
      <c r="K757" t="s">
        <v>37</v>
      </c>
      <c r="L757" t="s">
        <v>809</v>
      </c>
      <c r="M757" t="s">
        <v>802</v>
      </c>
      <c r="N757" t="s">
        <v>813</v>
      </c>
      <c r="O757" t="s">
        <v>391</v>
      </c>
      <c r="P757" t="s">
        <v>913</v>
      </c>
    </row>
    <row r="758" spans="1:16" x14ac:dyDescent="0.25">
      <c r="A758" t="s">
        <v>901</v>
      </c>
      <c r="B758" t="s">
        <v>116</v>
      </c>
      <c r="C758" t="s">
        <v>783</v>
      </c>
      <c r="D758" t="s">
        <v>60</v>
      </c>
      <c r="E758">
        <v>2019</v>
      </c>
      <c r="F758" t="s">
        <v>75</v>
      </c>
      <c r="G758" t="s">
        <v>785</v>
      </c>
      <c r="H758" t="s">
        <v>354</v>
      </c>
      <c r="I758" t="s">
        <v>786</v>
      </c>
      <c r="J758" t="s">
        <v>321</v>
      </c>
      <c r="K758" t="s">
        <v>37</v>
      </c>
      <c r="L758" t="s">
        <v>809</v>
      </c>
      <c r="M758" t="s">
        <v>36</v>
      </c>
      <c r="N758" t="s">
        <v>368</v>
      </c>
      <c r="O758" t="s">
        <v>390</v>
      </c>
      <c r="P758" t="s">
        <v>913</v>
      </c>
    </row>
    <row r="759" spans="1:16" x14ac:dyDescent="0.25">
      <c r="A759" t="s">
        <v>901</v>
      </c>
      <c r="B759" t="s">
        <v>116</v>
      </c>
      <c r="C759" t="s">
        <v>783</v>
      </c>
      <c r="D759" t="s">
        <v>60</v>
      </c>
      <c r="E759">
        <v>2019</v>
      </c>
      <c r="F759" t="s">
        <v>75</v>
      </c>
      <c r="G759" t="s">
        <v>785</v>
      </c>
      <c r="H759" t="s">
        <v>354</v>
      </c>
      <c r="I759" t="s">
        <v>786</v>
      </c>
      <c r="J759" t="s">
        <v>321</v>
      </c>
      <c r="K759" t="s">
        <v>37</v>
      </c>
      <c r="L759" t="s">
        <v>809</v>
      </c>
      <c r="M759" t="s">
        <v>36</v>
      </c>
      <c r="N759" t="s">
        <v>813</v>
      </c>
      <c r="O759" t="s">
        <v>391</v>
      </c>
      <c r="P759" t="s">
        <v>913</v>
      </c>
    </row>
    <row r="760" spans="1:16" x14ac:dyDescent="0.25">
      <c r="A760" t="s">
        <v>902</v>
      </c>
      <c r="B760" t="s">
        <v>116</v>
      </c>
      <c r="C760" t="s">
        <v>787</v>
      </c>
      <c r="D760" t="s">
        <v>8</v>
      </c>
      <c r="E760">
        <v>2023</v>
      </c>
      <c r="F760" t="s">
        <v>182</v>
      </c>
      <c r="G760" t="s">
        <v>789</v>
      </c>
      <c r="H760" t="s">
        <v>354</v>
      </c>
      <c r="I760" t="s">
        <v>354</v>
      </c>
      <c r="J760" t="s">
        <v>35</v>
      </c>
      <c r="K760" t="s">
        <v>37</v>
      </c>
      <c r="L760" t="s">
        <v>809</v>
      </c>
      <c r="M760" t="s">
        <v>803</v>
      </c>
      <c r="N760" t="s">
        <v>816</v>
      </c>
      <c r="O760" t="s">
        <v>404</v>
      </c>
      <c r="P760" t="s">
        <v>824</v>
      </c>
    </row>
    <row r="761" spans="1:16" x14ac:dyDescent="0.25">
      <c r="A761" t="s">
        <v>902</v>
      </c>
      <c r="B761" t="s">
        <v>116</v>
      </c>
      <c r="C761" t="s">
        <v>787</v>
      </c>
      <c r="D761" t="s">
        <v>8</v>
      </c>
      <c r="E761">
        <v>2023</v>
      </c>
      <c r="F761" t="s">
        <v>182</v>
      </c>
      <c r="G761" t="s">
        <v>789</v>
      </c>
      <c r="H761" t="s">
        <v>354</v>
      </c>
      <c r="I761" t="s">
        <v>354</v>
      </c>
      <c r="J761" t="s">
        <v>35</v>
      </c>
      <c r="K761" t="s">
        <v>37</v>
      </c>
      <c r="L761" t="s">
        <v>809</v>
      </c>
      <c r="M761" t="s">
        <v>36</v>
      </c>
      <c r="N761" t="s">
        <v>816</v>
      </c>
      <c r="O761" t="s">
        <v>404</v>
      </c>
      <c r="P761" t="s">
        <v>824</v>
      </c>
    </row>
    <row r="762" spans="1:16" x14ac:dyDescent="0.25">
      <c r="A762" t="s">
        <v>1183</v>
      </c>
      <c r="B762" t="s">
        <v>116</v>
      </c>
      <c r="C762" t="s">
        <v>790</v>
      </c>
      <c r="D762" t="s">
        <v>8</v>
      </c>
      <c r="E762">
        <v>2018</v>
      </c>
      <c r="F762" t="s">
        <v>196</v>
      </c>
      <c r="G762" t="s">
        <v>1133</v>
      </c>
      <c r="H762" t="s">
        <v>354</v>
      </c>
      <c r="I762" t="s">
        <v>791</v>
      </c>
      <c r="J762" t="s">
        <v>35</v>
      </c>
      <c r="K762" t="s">
        <v>37</v>
      </c>
      <c r="L762" t="s">
        <v>808</v>
      </c>
      <c r="M762" t="s">
        <v>802</v>
      </c>
      <c r="N762" t="s">
        <v>816</v>
      </c>
      <c r="O762" t="s">
        <v>404</v>
      </c>
      <c r="P762" t="s">
        <v>908</v>
      </c>
    </row>
    <row r="763" spans="1:16" x14ac:dyDescent="0.25">
      <c r="A763" t="s">
        <v>1183</v>
      </c>
      <c r="B763" t="s">
        <v>116</v>
      </c>
      <c r="C763" t="s">
        <v>790</v>
      </c>
      <c r="D763" t="s">
        <v>8</v>
      </c>
      <c r="E763">
        <v>2018</v>
      </c>
      <c r="F763" t="s">
        <v>196</v>
      </c>
      <c r="G763" t="s">
        <v>1133</v>
      </c>
      <c r="H763" t="s">
        <v>354</v>
      </c>
      <c r="I763" t="s">
        <v>791</v>
      </c>
      <c r="J763" t="s">
        <v>35</v>
      </c>
      <c r="K763" t="s">
        <v>37</v>
      </c>
      <c r="L763" t="s">
        <v>808</v>
      </c>
      <c r="M763" t="s">
        <v>802</v>
      </c>
      <c r="N763" t="s">
        <v>813</v>
      </c>
      <c r="O763" t="s">
        <v>391</v>
      </c>
      <c r="P763" t="s">
        <v>908</v>
      </c>
    </row>
    <row r="764" spans="1:16" x14ac:dyDescent="0.25">
      <c r="A764" t="s">
        <v>1183</v>
      </c>
      <c r="B764" t="s">
        <v>116</v>
      </c>
      <c r="C764" t="s">
        <v>790</v>
      </c>
      <c r="D764" t="s">
        <v>8</v>
      </c>
      <c r="E764">
        <v>2018</v>
      </c>
      <c r="F764" t="s">
        <v>196</v>
      </c>
      <c r="G764" t="s">
        <v>1133</v>
      </c>
      <c r="H764" t="s">
        <v>354</v>
      </c>
      <c r="I764" t="s">
        <v>791</v>
      </c>
      <c r="J764" t="s">
        <v>35</v>
      </c>
      <c r="K764" t="s">
        <v>37</v>
      </c>
      <c r="L764" t="s">
        <v>808</v>
      </c>
      <c r="M764" t="s">
        <v>803</v>
      </c>
      <c r="N764" t="s">
        <v>816</v>
      </c>
      <c r="O764" t="s">
        <v>404</v>
      </c>
      <c r="P764" t="s">
        <v>908</v>
      </c>
    </row>
    <row r="765" spans="1:16" x14ac:dyDescent="0.25">
      <c r="A765" t="s">
        <v>1183</v>
      </c>
      <c r="B765" t="s">
        <v>116</v>
      </c>
      <c r="C765" t="s">
        <v>790</v>
      </c>
      <c r="D765" t="s">
        <v>8</v>
      </c>
      <c r="E765">
        <v>2018</v>
      </c>
      <c r="F765" t="s">
        <v>196</v>
      </c>
      <c r="G765" t="s">
        <v>1133</v>
      </c>
      <c r="H765" t="s">
        <v>354</v>
      </c>
      <c r="I765" t="s">
        <v>791</v>
      </c>
      <c r="J765" t="s">
        <v>35</v>
      </c>
      <c r="K765" t="s">
        <v>37</v>
      </c>
      <c r="L765" t="s">
        <v>808</v>
      </c>
      <c r="M765" t="s">
        <v>803</v>
      </c>
      <c r="N765" t="s">
        <v>813</v>
      </c>
      <c r="O765" t="s">
        <v>391</v>
      </c>
      <c r="P765" t="s">
        <v>908</v>
      </c>
    </row>
    <row r="766" spans="1:16" x14ac:dyDescent="0.25">
      <c r="A766" t="s">
        <v>1184</v>
      </c>
      <c r="B766" t="s">
        <v>116</v>
      </c>
      <c r="C766" t="s">
        <v>792</v>
      </c>
      <c r="D766" t="s">
        <v>8</v>
      </c>
      <c r="E766">
        <v>2019</v>
      </c>
      <c r="F766" t="s">
        <v>196</v>
      </c>
      <c r="G766" t="s">
        <v>1136</v>
      </c>
      <c r="H766" t="s">
        <v>354</v>
      </c>
      <c r="I766" t="s">
        <v>793</v>
      </c>
      <c r="J766" t="s">
        <v>35</v>
      </c>
      <c r="K766" t="s">
        <v>37</v>
      </c>
      <c r="L766" t="s">
        <v>808</v>
      </c>
      <c r="M766" t="s">
        <v>802</v>
      </c>
      <c r="N766" t="s">
        <v>813</v>
      </c>
      <c r="O766" t="s">
        <v>391</v>
      </c>
      <c r="P766" t="s">
        <v>1197</v>
      </c>
    </row>
    <row r="767" spans="1:16" x14ac:dyDescent="0.25">
      <c r="A767" t="s">
        <v>1184</v>
      </c>
      <c r="B767" t="s">
        <v>116</v>
      </c>
      <c r="C767" t="s">
        <v>792</v>
      </c>
      <c r="D767" t="s">
        <v>8</v>
      </c>
      <c r="E767">
        <v>2019</v>
      </c>
      <c r="F767" t="s">
        <v>196</v>
      </c>
      <c r="G767" t="s">
        <v>1136</v>
      </c>
      <c r="H767" t="s">
        <v>354</v>
      </c>
      <c r="I767" t="s">
        <v>793</v>
      </c>
      <c r="J767" t="s">
        <v>35</v>
      </c>
      <c r="K767" t="s">
        <v>37</v>
      </c>
      <c r="L767" t="s">
        <v>808</v>
      </c>
      <c r="M767" t="s">
        <v>802</v>
      </c>
      <c r="N767" t="s">
        <v>368</v>
      </c>
      <c r="O767" t="s">
        <v>390</v>
      </c>
      <c r="P767" t="s">
        <v>1197</v>
      </c>
    </row>
    <row r="768" spans="1:16" x14ac:dyDescent="0.25">
      <c r="A768" t="s">
        <v>1185</v>
      </c>
      <c r="B768" t="s">
        <v>116</v>
      </c>
      <c r="C768" t="s">
        <v>794</v>
      </c>
      <c r="D768" t="s">
        <v>60</v>
      </c>
      <c r="E768">
        <v>2021</v>
      </c>
      <c r="F768" t="s">
        <v>196</v>
      </c>
      <c r="G768" t="s">
        <v>1137</v>
      </c>
      <c r="H768" t="s">
        <v>354</v>
      </c>
      <c r="I768" t="s">
        <v>796</v>
      </c>
      <c r="J768" t="s">
        <v>35</v>
      </c>
      <c r="K768" t="s">
        <v>37</v>
      </c>
      <c r="L768" t="s">
        <v>809</v>
      </c>
      <c r="M768" t="s">
        <v>36</v>
      </c>
      <c r="N768" t="s">
        <v>811</v>
      </c>
      <c r="O768" t="s">
        <v>389</v>
      </c>
      <c r="P768" t="s">
        <v>830</v>
      </c>
    </row>
    <row r="769" spans="1:16" x14ac:dyDescent="0.25">
      <c r="A769" t="s">
        <v>1185</v>
      </c>
      <c r="B769" t="s">
        <v>116</v>
      </c>
      <c r="C769" t="s">
        <v>794</v>
      </c>
      <c r="D769" t="s">
        <v>60</v>
      </c>
      <c r="E769">
        <v>2021</v>
      </c>
      <c r="F769" t="s">
        <v>196</v>
      </c>
      <c r="G769" t="s">
        <v>1137</v>
      </c>
      <c r="H769" t="s">
        <v>354</v>
      </c>
      <c r="I769" t="s">
        <v>796</v>
      </c>
      <c r="J769" t="s">
        <v>35</v>
      </c>
      <c r="K769" t="s">
        <v>37</v>
      </c>
      <c r="L769" t="s">
        <v>809</v>
      </c>
      <c r="M769" t="s">
        <v>803</v>
      </c>
      <c r="N769" t="s">
        <v>811</v>
      </c>
      <c r="O769" t="s">
        <v>389</v>
      </c>
      <c r="P769" t="s">
        <v>830</v>
      </c>
    </row>
    <row r="770" spans="1:16" x14ac:dyDescent="0.25">
      <c r="A770" t="s">
        <v>1186</v>
      </c>
      <c r="B770" t="s">
        <v>116</v>
      </c>
      <c r="C770" t="s">
        <v>797</v>
      </c>
      <c r="D770" t="s">
        <v>8</v>
      </c>
      <c r="E770">
        <v>2017</v>
      </c>
      <c r="F770" t="s">
        <v>196</v>
      </c>
      <c r="G770" t="s">
        <v>1139</v>
      </c>
      <c r="H770" t="s">
        <v>354</v>
      </c>
      <c r="I770" t="s">
        <v>798</v>
      </c>
      <c r="J770" t="s">
        <v>35</v>
      </c>
      <c r="K770" t="s">
        <v>37</v>
      </c>
      <c r="L770" t="s">
        <v>809</v>
      </c>
      <c r="M770" t="s">
        <v>36</v>
      </c>
      <c r="N770" t="s">
        <v>811</v>
      </c>
      <c r="O770" t="s">
        <v>389</v>
      </c>
      <c r="P770" t="s">
        <v>830</v>
      </c>
    </row>
    <row r="771" spans="1:16" x14ac:dyDescent="0.25">
      <c r="A771" t="s">
        <v>1186</v>
      </c>
      <c r="B771" t="s">
        <v>116</v>
      </c>
      <c r="C771" t="s">
        <v>797</v>
      </c>
      <c r="D771" t="s">
        <v>8</v>
      </c>
      <c r="E771">
        <v>2017</v>
      </c>
      <c r="F771" t="s">
        <v>196</v>
      </c>
      <c r="G771" t="s">
        <v>1139</v>
      </c>
      <c r="H771" t="s">
        <v>354</v>
      </c>
      <c r="I771" t="s">
        <v>798</v>
      </c>
      <c r="J771" t="s">
        <v>35</v>
      </c>
      <c r="K771" t="s">
        <v>37</v>
      </c>
      <c r="L771" t="s">
        <v>809</v>
      </c>
      <c r="M771" t="s">
        <v>803</v>
      </c>
      <c r="N771" t="s">
        <v>811</v>
      </c>
      <c r="O771" t="s">
        <v>389</v>
      </c>
      <c r="P771" t="s">
        <v>830</v>
      </c>
    </row>
    <row r="772" spans="1:16" x14ac:dyDescent="0.25">
      <c r="A772" t="s">
        <v>1187</v>
      </c>
      <c r="B772" t="s">
        <v>116</v>
      </c>
      <c r="C772" t="s">
        <v>1140</v>
      </c>
      <c r="D772" t="s">
        <v>8</v>
      </c>
      <c r="E772">
        <v>2023</v>
      </c>
      <c r="F772" t="s">
        <v>72</v>
      </c>
      <c r="G772" t="s">
        <v>1142</v>
      </c>
      <c r="H772" t="s">
        <v>1144</v>
      </c>
      <c r="I772" t="s">
        <v>1143</v>
      </c>
      <c r="J772" t="s">
        <v>34</v>
      </c>
      <c r="K772" t="s">
        <v>37</v>
      </c>
      <c r="L772" t="s">
        <v>5</v>
      </c>
      <c r="M772" t="s">
        <v>36</v>
      </c>
      <c r="N772" t="s">
        <v>817</v>
      </c>
      <c r="O772" t="s">
        <v>394</v>
      </c>
      <c r="P772" t="s">
        <v>829</v>
      </c>
    </row>
    <row r="773" spans="1:16" x14ac:dyDescent="0.25">
      <c r="A773" t="s">
        <v>1187</v>
      </c>
      <c r="B773" t="s">
        <v>116</v>
      </c>
      <c r="C773" t="s">
        <v>1140</v>
      </c>
      <c r="D773" t="s">
        <v>8</v>
      </c>
      <c r="E773">
        <v>2023</v>
      </c>
      <c r="F773" t="s">
        <v>72</v>
      </c>
      <c r="G773" t="s">
        <v>1142</v>
      </c>
      <c r="H773" t="s">
        <v>1144</v>
      </c>
      <c r="I773" t="s">
        <v>1143</v>
      </c>
      <c r="J773" t="s">
        <v>34</v>
      </c>
      <c r="K773" t="s">
        <v>37</v>
      </c>
      <c r="L773" t="s">
        <v>5</v>
      </c>
      <c r="M773" t="s">
        <v>36</v>
      </c>
      <c r="N773" t="s">
        <v>813</v>
      </c>
      <c r="O773" t="s">
        <v>391</v>
      </c>
      <c r="P773" t="s">
        <v>829</v>
      </c>
    </row>
    <row r="774" spans="1:16" x14ac:dyDescent="0.25">
      <c r="A774" t="s">
        <v>1187</v>
      </c>
      <c r="B774" t="s">
        <v>116</v>
      </c>
      <c r="C774" t="s">
        <v>1140</v>
      </c>
      <c r="D774" t="s">
        <v>8</v>
      </c>
      <c r="E774">
        <v>2023</v>
      </c>
      <c r="F774" t="s">
        <v>72</v>
      </c>
      <c r="G774" t="s">
        <v>1142</v>
      </c>
      <c r="H774" t="s">
        <v>1144</v>
      </c>
      <c r="I774" t="s">
        <v>1143</v>
      </c>
      <c r="J774" t="s">
        <v>34</v>
      </c>
      <c r="K774" t="s">
        <v>37</v>
      </c>
      <c r="L774" t="s">
        <v>5</v>
      </c>
      <c r="M774" t="s">
        <v>802</v>
      </c>
      <c r="N774" t="s">
        <v>817</v>
      </c>
      <c r="O774" t="s">
        <v>394</v>
      </c>
      <c r="P774" t="s">
        <v>829</v>
      </c>
    </row>
    <row r="775" spans="1:16" x14ac:dyDescent="0.25">
      <c r="A775" t="s">
        <v>1187</v>
      </c>
      <c r="B775" t="s">
        <v>116</v>
      </c>
      <c r="C775" t="s">
        <v>1140</v>
      </c>
      <c r="D775" t="s">
        <v>8</v>
      </c>
      <c r="E775">
        <v>2023</v>
      </c>
      <c r="F775" t="s">
        <v>72</v>
      </c>
      <c r="G775" t="s">
        <v>1142</v>
      </c>
      <c r="H775" t="s">
        <v>1144</v>
      </c>
      <c r="I775" t="s">
        <v>1143</v>
      </c>
      <c r="J775" t="s">
        <v>34</v>
      </c>
      <c r="K775" t="s">
        <v>37</v>
      </c>
      <c r="L775" t="s">
        <v>5</v>
      </c>
      <c r="M775" t="s">
        <v>802</v>
      </c>
      <c r="N775" t="s">
        <v>813</v>
      </c>
      <c r="O775" t="s">
        <v>391</v>
      </c>
      <c r="P775" t="s">
        <v>829</v>
      </c>
    </row>
    <row r="776" spans="1:16" x14ac:dyDescent="0.25">
      <c r="A776" t="s">
        <v>1187</v>
      </c>
      <c r="B776" t="s">
        <v>116</v>
      </c>
      <c r="C776" t="s">
        <v>1140</v>
      </c>
      <c r="D776" t="s">
        <v>8</v>
      </c>
      <c r="E776">
        <v>2023</v>
      </c>
      <c r="F776" t="s">
        <v>72</v>
      </c>
      <c r="G776" t="s">
        <v>1142</v>
      </c>
      <c r="H776" t="s">
        <v>1144</v>
      </c>
      <c r="I776" t="s">
        <v>1143</v>
      </c>
      <c r="J776" t="s">
        <v>34</v>
      </c>
      <c r="K776" t="s">
        <v>37</v>
      </c>
      <c r="L776" t="s">
        <v>5</v>
      </c>
      <c r="M776" t="s">
        <v>90</v>
      </c>
      <c r="N776" t="s">
        <v>817</v>
      </c>
      <c r="O776" t="s">
        <v>394</v>
      </c>
      <c r="P776" t="s">
        <v>829</v>
      </c>
    </row>
    <row r="777" spans="1:16" x14ac:dyDescent="0.25">
      <c r="A777" t="s">
        <v>1187</v>
      </c>
      <c r="B777" t="s">
        <v>116</v>
      </c>
      <c r="C777" t="s">
        <v>1140</v>
      </c>
      <c r="D777" t="s">
        <v>8</v>
      </c>
      <c r="E777">
        <v>2023</v>
      </c>
      <c r="F777" t="s">
        <v>72</v>
      </c>
      <c r="G777" t="s">
        <v>1142</v>
      </c>
      <c r="H777" t="s">
        <v>1144</v>
      </c>
      <c r="I777" t="s">
        <v>1143</v>
      </c>
      <c r="J777" t="s">
        <v>34</v>
      </c>
      <c r="K777" t="s">
        <v>37</v>
      </c>
      <c r="L777" t="s">
        <v>5</v>
      </c>
      <c r="M777" t="s">
        <v>90</v>
      </c>
      <c r="N777" t="s">
        <v>813</v>
      </c>
      <c r="O777" t="s">
        <v>391</v>
      </c>
      <c r="P777" t="s">
        <v>829</v>
      </c>
    </row>
    <row r="778" spans="1:16" x14ac:dyDescent="0.25">
      <c r="A778" t="s">
        <v>1188</v>
      </c>
      <c r="B778" t="s">
        <v>116</v>
      </c>
      <c r="C778" t="s">
        <v>1145</v>
      </c>
      <c r="D778" t="s">
        <v>8</v>
      </c>
      <c r="E778">
        <v>2023</v>
      </c>
      <c r="F778" t="s">
        <v>72</v>
      </c>
      <c r="G778" t="s">
        <v>1147</v>
      </c>
      <c r="H778" t="s">
        <v>1144</v>
      </c>
      <c r="I778" t="s">
        <v>1148</v>
      </c>
      <c r="J778" t="s">
        <v>34</v>
      </c>
      <c r="K778" t="s">
        <v>37</v>
      </c>
      <c r="L778" t="s">
        <v>5</v>
      </c>
      <c r="M778" t="s">
        <v>36</v>
      </c>
      <c r="N778" t="s">
        <v>817</v>
      </c>
      <c r="O778" t="s">
        <v>394</v>
      </c>
      <c r="P778" t="s">
        <v>829</v>
      </c>
    </row>
    <row r="779" spans="1:16" x14ac:dyDescent="0.25">
      <c r="A779" t="s">
        <v>1188</v>
      </c>
      <c r="B779" t="s">
        <v>116</v>
      </c>
      <c r="C779" t="s">
        <v>1145</v>
      </c>
      <c r="D779" t="s">
        <v>8</v>
      </c>
      <c r="E779">
        <v>2023</v>
      </c>
      <c r="F779" t="s">
        <v>72</v>
      </c>
      <c r="G779" t="s">
        <v>1147</v>
      </c>
      <c r="H779" t="s">
        <v>1144</v>
      </c>
      <c r="I779" t="s">
        <v>1148</v>
      </c>
      <c r="J779" t="s">
        <v>34</v>
      </c>
      <c r="K779" t="s">
        <v>37</v>
      </c>
      <c r="L779" t="s">
        <v>5</v>
      </c>
      <c r="M779" t="s">
        <v>36</v>
      </c>
      <c r="N779" t="s">
        <v>813</v>
      </c>
      <c r="O779" t="s">
        <v>391</v>
      </c>
      <c r="P779" t="s">
        <v>829</v>
      </c>
    </row>
    <row r="780" spans="1:16" x14ac:dyDescent="0.25">
      <c r="A780" t="s">
        <v>1188</v>
      </c>
      <c r="B780" t="s">
        <v>116</v>
      </c>
      <c r="C780" t="s">
        <v>1145</v>
      </c>
      <c r="D780" t="s">
        <v>8</v>
      </c>
      <c r="E780">
        <v>2023</v>
      </c>
      <c r="F780" t="s">
        <v>72</v>
      </c>
      <c r="G780" t="s">
        <v>1147</v>
      </c>
      <c r="H780" t="s">
        <v>1144</v>
      </c>
      <c r="I780" t="s">
        <v>1148</v>
      </c>
      <c r="J780" t="s">
        <v>34</v>
      </c>
      <c r="K780" t="s">
        <v>37</v>
      </c>
      <c r="L780" t="s">
        <v>5</v>
      </c>
      <c r="M780" t="s">
        <v>802</v>
      </c>
      <c r="N780" t="s">
        <v>817</v>
      </c>
      <c r="O780" t="s">
        <v>394</v>
      </c>
      <c r="P780" t="s">
        <v>829</v>
      </c>
    </row>
    <row r="781" spans="1:16" x14ac:dyDescent="0.25">
      <c r="A781" t="s">
        <v>1188</v>
      </c>
      <c r="B781" t="s">
        <v>116</v>
      </c>
      <c r="C781" t="s">
        <v>1145</v>
      </c>
      <c r="D781" t="s">
        <v>8</v>
      </c>
      <c r="E781">
        <v>2023</v>
      </c>
      <c r="F781" t="s">
        <v>72</v>
      </c>
      <c r="G781" t="s">
        <v>1147</v>
      </c>
      <c r="H781" t="s">
        <v>1144</v>
      </c>
      <c r="I781" t="s">
        <v>1148</v>
      </c>
      <c r="J781" t="s">
        <v>34</v>
      </c>
      <c r="K781" t="s">
        <v>37</v>
      </c>
      <c r="L781" t="s">
        <v>5</v>
      </c>
      <c r="M781" t="s">
        <v>802</v>
      </c>
      <c r="N781" t="s">
        <v>813</v>
      </c>
      <c r="O781" t="s">
        <v>391</v>
      </c>
      <c r="P781" t="s">
        <v>829</v>
      </c>
    </row>
    <row r="782" spans="1:16" x14ac:dyDescent="0.25">
      <c r="A782" t="s">
        <v>1188</v>
      </c>
      <c r="B782" t="s">
        <v>116</v>
      </c>
      <c r="C782" t="s">
        <v>1145</v>
      </c>
      <c r="D782" t="s">
        <v>8</v>
      </c>
      <c r="E782">
        <v>2023</v>
      </c>
      <c r="F782" t="s">
        <v>72</v>
      </c>
      <c r="G782" t="s">
        <v>1147</v>
      </c>
      <c r="H782" t="s">
        <v>1144</v>
      </c>
      <c r="I782" t="s">
        <v>1148</v>
      </c>
      <c r="J782" t="s">
        <v>34</v>
      </c>
      <c r="K782" t="s">
        <v>37</v>
      </c>
      <c r="L782" t="s">
        <v>5</v>
      </c>
      <c r="M782" t="s">
        <v>90</v>
      </c>
      <c r="N782" t="s">
        <v>817</v>
      </c>
      <c r="O782" t="s">
        <v>394</v>
      </c>
      <c r="P782" t="s">
        <v>829</v>
      </c>
    </row>
    <row r="783" spans="1:16" x14ac:dyDescent="0.25">
      <c r="A783" t="s">
        <v>1188</v>
      </c>
      <c r="B783" t="s">
        <v>116</v>
      </c>
      <c r="C783" t="s">
        <v>1145</v>
      </c>
      <c r="D783" t="s">
        <v>8</v>
      </c>
      <c r="E783">
        <v>2023</v>
      </c>
      <c r="F783" t="s">
        <v>72</v>
      </c>
      <c r="G783" t="s">
        <v>1147</v>
      </c>
      <c r="H783" t="s">
        <v>1144</v>
      </c>
      <c r="I783" t="s">
        <v>1148</v>
      </c>
      <c r="J783" t="s">
        <v>34</v>
      </c>
      <c r="K783" t="s">
        <v>37</v>
      </c>
      <c r="L783" t="s">
        <v>5</v>
      </c>
      <c r="M783" t="s">
        <v>90</v>
      </c>
      <c r="N783" t="s">
        <v>813</v>
      </c>
      <c r="O783" t="s">
        <v>391</v>
      </c>
      <c r="P783" t="s">
        <v>829</v>
      </c>
    </row>
    <row r="784" spans="1:16" x14ac:dyDescent="0.25">
      <c r="A784" t="s">
        <v>1189</v>
      </c>
      <c r="B784" t="s">
        <v>116</v>
      </c>
      <c r="C784" t="s">
        <v>1149</v>
      </c>
      <c r="D784" t="s">
        <v>8</v>
      </c>
      <c r="E784">
        <v>2023</v>
      </c>
      <c r="F784" t="s">
        <v>72</v>
      </c>
      <c r="G784" t="s">
        <v>1151</v>
      </c>
      <c r="H784" t="s">
        <v>1144</v>
      </c>
      <c r="I784" t="s">
        <v>1152</v>
      </c>
      <c r="J784" t="s">
        <v>34</v>
      </c>
      <c r="K784" t="s">
        <v>37</v>
      </c>
      <c r="L784" t="s">
        <v>5</v>
      </c>
      <c r="M784" t="s">
        <v>36</v>
      </c>
      <c r="N784" t="s">
        <v>817</v>
      </c>
      <c r="O784" t="s">
        <v>394</v>
      </c>
      <c r="P784" t="s">
        <v>829</v>
      </c>
    </row>
    <row r="785" spans="1:16" x14ac:dyDescent="0.25">
      <c r="A785" t="s">
        <v>1189</v>
      </c>
      <c r="B785" t="s">
        <v>116</v>
      </c>
      <c r="C785" t="s">
        <v>1149</v>
      </c>
      <c r="D785" t="s">
        <v>8</v>
      </c>
      <c r="E785">
        <v>2023</v>
      </c>
      <c r="F785" t="s">
        <v>72</v>
      </c>
      <c r="G785" t="s">
        <v>1151</v>
      </c>
      <c r="H785" t="s">
        <v>1144</v>
      </c>
      <c r="I785" t="s">
        <v>1152</v>
      </c>
      <c r="J785" t="s">
        <v>34</v>
      </c>
      <c r="K785" t="s">
        <v>37</v>
      </c>
      <c r="L785" t="s">
        <v>5</v>
      </c>
      <c r="M785" t="s">
        <v>36</v>
      </c>
      <c r="N785" t="s">
        <v>813</v>
      </c>
      <c r="O785" t="s">
        <v>391</v>
      </c>
      <c r="P785" t="s">
        <v>829</v>
      </c>
    </row>
    <row r="786" spans="1:16" x14ac:dyDescent="0.25">
      <c r="A786" t="s">
        <v>1189</v>
      </c>
      <c r="B786" t="s">
        <v>116</v>
      </c>
      <c r="C786" t="s">
        <v>1149</v>
      </c>
      <c r="D786" t="s">
        <v>8</v>
      </c>
      <c r="E786">
        <v>2023</v>
      </c>
      <c r="F786" t="s">
        <v>72</v>
      </c>
      <c r="G786" t="s">
        <v>1151</v>
      </c>
      <c r="H786" t="s">
        <v>1144</v>
      </c>
      <c r="I786" t="s">
        <v>1152</v>
      </c>
      <c r="J786" t="s">
        <v>34</v>
      </c>
      <c r="K786" t="s">
        <v>37</v>
      </c>
      <c r="L786" t="s">
        <v>5</v>
      </c>
      <c r="M786" t="s">
        <v>802</v>
      </c>
      <c r="N786" t="s">
        <v>817</v>
      </c>
      <c r="O786" t="s">
        <v>394</v>
      </c>
      <c r="P786" t="s">
        <v>829</v>
      </c>
    </row>
    <row r="787" spans="1:16" x14ac:dyDescent="0.25">
      <c r="A787" t="s">
        <v>1189</v>
      </c>
      <c r="B787" t="s">
        <v>116</v>
      </c>
      <c r="C787" t="s">
        <v>1149</v>
      </c>
      <c r="D787" t="s">
        <v>8</v>
      </c>
      <c r="E787">
        <v>2023</v>
      </c>
      <c r="F787" t="s">
        <v>72</v>
      </c>
      <c r="G787" t="s">
        <v>1151</v>
      </c>
      <c r="H787" t="s">
        <v>1144</v>
      </c>
      <c r="I787" t="s">
        <v>1152</v>
      </c>
      <c r="J787" t="s">
        <v>34</v>
      </c>
      <c r="K787" t="s">
        <v>37</v>
      </c>
      <c r="L787" t="s">
        <v>5</v>
      </c>
      <c r="M787" t="s">
        <v>802</v>
      </c>
      <c r="N787" t="s">
        <v>813</v>
      </c>
      <c r="O787" t="s">
        <v>391</v>
      </c>
      <c r="P787" t="s">
        <v>829</v>
      </c>
    </row>
    <row r="788" spans="1:16" x14ac:dyDescent="0.25">
      <c r="A788" t="s">
        <v>1189</v>
      </c>
      <c r="B788" t="s">
        <v>116</v>
      </c>
      <c r="C788" t="s">
        <v>1149</v>
      </c>
      <c r="D788" t="s">
        <v>8</v>
      </c>
      <c r="E788">
        <v>2023</v>
      </c>
      <c r="F788" t="s">
        <v>72</v>
      </c>
      <c r="G788" t="s">
        <v>1151</v>
      </c>
      <c r="H788" t="s">
        <v>1144</v>
      </c>
      <c r="I788" t="s">
        <v>1152</v>
      </c>
      <c r="J788" t="s">
        <v>34</v>
      </c>
      <c r="K788" t="s">
        <v>37</v>
      </c>
      <c r="L788" t="s">
        <v>5</v>
      </c>
      <c r="M788" t="s">
        <v>90</v>
      </c>
      <c r="N788" t="s">
        <v>817</v>
      </c>
      <c r="O788" t="s">
        <v>394</v>
      </c>
      <c r="P788" t="s">
        <v>829</v>
      </c>
    </row>
    <row r="789" spans="1:16" x14ac:dyDescent="0.25">
      <c r="A789" t="s">
        <v>1189</v>
      </c>
      <c r="B789" t="s">
        <v>116</v>
      </c>
      <c r="C789" t="s">
        <v>1149</v>
      </c>
      <c r="D789" t="s">
        <v>8</v>
      </c>
      <c r="E789">
        <v>2023</v>
      </c>
      <c r="F789" t="s">
        <v>72</v>
      </c>
      <c r="G789" t="s">
        <v>1151</v>
      </c>
      <c r="H789" t="s">
        <v>1144</v>
      </c>
      <c r="I789" t="s">
        <v>1152</v>
      </c>
      <c r="J789" t="s">
        <v>34</v>
      </c>
      <c r="K789" t="s">
        <v>37</v>
      </c>
      <c r="L789" t="s">
        <v>5</v>
      </c>
      <c r="M789" t="s">
        <v>90</v>
      </c>
      <c r="N789" t="s">
        <v>813</v>
      </c>
      <c r="O789" t="s">
        <v>391</v>
      </c>
      <c r="P789" t="s">
        <v>829</v>
      </c>
    </row>
    <row r="790" spans="1:16" x14ac:dyDescent="0.25">
      <c r="A790" t="s">
        <v>1190</v>
      </c>
      <c r="B790" t="s">
        <v>116</v>
      </c>
      <c r="C790" t="s">
        <v>1153</v>
      </c>
      <c r="D790" t="s">
        <v>8</v>
      </c>
      <c r="E790">
        <v>2023</v>
      </c>
      <c r="F790" t="s">
        <v>72</v>
      </c>
      <c r="G790" t="s">
        <v>1155</v>
      </c>
      <c r="H790" t="s">
        <v>1144</v>
      </c>
      <c r="I790" t="s">
        <v>1156</v>
      </c>
      <c r="J790" t="s">
        <v>34</v>
      </c>
      <c r="K790" t="s">
        <v>37</v>
      </c>
      <c r="L790" t="s">
        <v>5</v>
      </c>
      <c r="M790" t="s">
        <v>36</v>
      </c>
      <c r="N790" t="s">
        <v>817</v>
      </c>
      <c r="O790" t="s">
        <v>394</v>
      </c>
      <c r="P790" t="s">
        <v>829</v>
      </c>
    </row>
    <row r="791" spans="1:16" x14ac:dyDescent="0.25">
      <c r="A791" t="s">
        <v>1190</v>
      </c>
      <c r="B791" t="s">
        <v>116</v>
      </c>
      <c r="C791" t="s">
        <v>1153</v>
      </c>
      <c r="D791" t="s">
        <v>8</v>
      </c>
      <c r="E791">
        <v>2023</v>
      </c>
      <c r="F791" t="s">
        <v>72</v>
      </c>
      <c r="G791" t="s">
        <v>1155</v>
      </c>
      <c r="H791" t="s">
        <v>1144</v>
      </c>
      <c r="I791" t="s">
        <v>1156</v>
      </c>
      <c r="J791" t="s">
        <v>34</v>
      </c>
      <c r="K791" t="s">
        <v>37</v>
      </c>
      <c r="L791" t="s">
        <v>5</v>
      </c>
      <c r="M791" t="s">
        <v>36</v>
      </c>
      <c r="N791" t="s">
        <v>813</v>
      </c>
      <c r="O791" t="s">
        <v>391</v>
      </c>
      <c r="P791" t="s">
        <v>829</v>
      </c>
    </row>
    <row r="792" spans="1:16" x14ac:dyDescent="0.25">
      <c r="A792" t="s">
        <v>1190</v>
      </c>
      <c r="B792" t="s">
        <v>116</v>
      </c>
      <c r="C792" t="s">
        <v>1153</v>
      </c>
      <c r="D792" t="s">
        <v>8</v>
      </c>
      <c r="E792">
        <v>2023</v>
      </c>
      <c r="F792" t="s">
        <v>72</v>
      </c>
      <c r="G792" t="s">
        <v>1155</v>
      </c>
      <c r="H792" t="s">
        <v>1144</v>
      </c>
      <c r="I792" t="s">
        <v>1156</v>
      </c>
      <c r="J792" t="s">
        <v>34</v>
      </c>
      <c r="K792" t="s">
        <v>37</v>
      </c>
      <c r="L792" t="s">
        <v>5</v>
      </c>
      <c r="M792" t="s">
        <v>802</v>
      </c>
      <c r="N792" t="s">
        <v>817</v>
      </c>
      <c r="O792" t="s">
        <v>394</v>
      </c>
      <c r="P792" t="s">
        <v>829</v>
      </c>
    </row>
    <row r="793" spans="1:16" x14ac:dyDescent="0.25">
      <c r="A793" t="s">
        <v>1190</v>
      </c>
      <c r="B793" t="s">
        <v>116</v>
      </c>
      <c r="C793" t="s">
        <v>1153</v>
      </c>
      <c r="D793" t="s">
        <v>8</v>
      </c>
      <c r="E793">
        <v>2023</v>
      </c>
      <c r="F793" t="s">
        <v>72</v>
      </c>
      <c r="G793" t="s">
        <v>1155</v>
      </c>
      <c r="H793" t="s">
        <v>1144</v>
      </c>
      <c r="I793" t="s">
        <v>1156</v>
      </c>
      <c r="J793" t="s">
        <v>34</v>
      </c>
      <c r="K793" t="s">
        <v>37</v>
      </c>
      <c r="L793" t="s">
        <v>5</v>
      </c>
      <c r="M793" t="s">
        <v>802</v>
      </c>
      <c r="N793" t="s">
        <v>813</v>
      </c>
      <c r="O793" t="s">
        <v>391</v>
      </c>
      <c r="P793" t="s">
        <v>829</v>
      </c>
    </row>
    <row r="794" spans="1:16" x14ac:dyDescent="0.25">
      <c r="A794" t="s">
        <v>1190</v>
      </c>
      <c r="B794" t="s">
        <v>116</v>
      </c>
      <c r="C794" t="s">
        <v>1153</v>
      </c>
      <c r="D794" t="s">
        <v>8</v>
      </c>
      <c r="E794">
        <v>2023</v>
      </c>
      <c r="F794" t="s">
        <v>72</v>
      </c>
      <c r="G794" t="s">
        <v>1155</v>
      </c>
      <c r="H794" t="s">
        <v>1144</v>
      </c>
      <c r="I794" t="s">
        <v>1156</v>
      </c>
      <c r="J794" t="s">
        <v>34</v>
      </c>
      <c r="K794" t="s">
        <v>37</v>
      </c>
      <c r="L794" t="s">
        <v>5</v>
      </c>
      <c r="M794" t="s">
        <v>90</v>
      </c>
      <c r="N794" t="s">
        <v>817</v>
      </c>
      <c r="O794" t="s">
        <v>394</v>
      </c>
      <c r="P794" t="s">
        <v>829</v>
      </c>
    </row>
    <row r="795" spans="1:16" x14ac:dyDescent="0.25">
      <c r="A795" t="s">
        <v>1190</v>
      </c>
      <c r="B795" t="s">
        <v>116</v>
      </c>
      <c r="C795" t="s">
        <v>1153</v>
      </c>
      <c r="D795" t="s">
        <v>8</v>
      </c>
      <c r="E795">
        <v>2023</v>
      </c>
      <c r="F795" t="s">
        <v>72</v>
      </c>
      <c r="G795" t="s">
        <v>1155</v>
      </c>
      <c r="H795" t="s">
        <v>1144</v>
      </c>
      <c r="I795" t="s">
        <v>1156</v>
      </c>
      <c r="J795" t="s">
        <v>34</v>
      </c>
      <c r="K795" t="s">
        <v>37</v>
      </c>
      <c r="L795" t="s">
        <v>5</v>
      </c>
      <c r="M795" t="s">
        <v>90</v>
      </c>
      <c r="N795" t="s">
        <v>813</v>
      </c>
      <c r="O795" t="s">
        <v>391</v>
      </c>
      <c r="P795" t="s">
        <v>829</v>
      </c>
    </row>
    <row r="796" spans="1:16" x14ac:dyDescent="0.25">
      <c r="A796" t="s">
        <v>1191</v>
      </c>
      <c r="B796" t="s">
        <v>116</v>
      </c>
      <c r="C796" t="s">
        <v>1157</v>
      </c>
      <c r="D796" t="s">
        <v>8</v>
      </c>
      <c r="E796">
        <v>2022</v>
      </c>
      <c r="F796" t="s">
        <v>72</v>
      </c>
      <c r="G796" t="s">
        <v>1159</v>
      </c>
      <c r="H796" t="s">
        <v>1144</v>
      </c>
      <c r="I796" t="s">
        <v>1160</v>
      </c>
      <c r="J796" t="s">
        <v>34</v>
      </c>
      <c r="K796" t="s">
        <v>37</v>
      </c>
      <c r="L796" t="s">
        <v>5</v>
      </c>
      <c r="M796" t="s">
        <v>36</v>
      </c>
      <c r="N796" t="s">
        <v>817</v>
      </c>
      <c r="O796" t="s">
        <v>394</v>
      </c>
      <c r="P796" t="s">
        <v>829</v>
      </c>
    </row>
    <row r="797" spans="1:16" x14ac:dyDescent="0.25">
      <c r="A797" t="s">
        <v>1191</v>
      </c>
      <c r="B797" t="s">
        <v>116</v>
      </c>
      <c r="C797" t="s">
        <v>1157</v>
      </c>
      <c r="D797" t="s">
        <v>8</v>
      </c>
      <c r="E797">
        <v>2022</v>
      </c>
      <c r="F797" t="s">
        <v>72</v>
      </c>
      <c r="G797" t="s">
        <v>1159</v>
      </c>
      <c r="H797" t="s">
        <v>1144</v>
      </c>
      <c r="I797" t="s">
        <v>1160</v>
      </c>
      <c r="J797" t="s">
        <v>34</v>
      </c>
      <c r="K797" t="s">
        <v>37</v>
      </c>
      <c r="L797" t="s">
        <v>5</v>
      </c>
      <c r="M797" t="s">
        <v>36</v>
      </c>
      <c r="N797" t="s">
        <v>813</v>
      </c>
      <c r="O797" t="s">
        <v>391</v>
      </c>
      <c r="P797" t="s">
        <v>829</v>
      </c>
    </row>
    <row r="798" spans="1:16" x14ac:dyDescent="0.25">
      <c r="A798" t="s">
        <v>1191</v>
      </c>
      <c r="B798" t="s">
        <v>116</v>
      </c>
      <c r="C798" t="s">
        <v>1157</v>
      </c>
      <c r="D798" t="s">
        <v>8</v>
      </c>
      <c r="E798">
        <v>2022</v>
      </c>
      <c r="F798" t="s">
        <v>72</v>
      </c>
      <c r="G798" t="s">
        <v>1159</v>
      </c>
      <c r="H798" t="s">
        <v>1144</v>
      </c>
      <c r="I798" t="s">
        <v>1160</v>
      </c>
      <c r="J798" t="s">
        <v>34</v>
      </c>
      <c r="K798" t="s">
        <v>37</v>
      </c>
      <c r="L798" t="s">
        <v>5</v>
      </c>
      <c r="M798" t="s">
        <v>802</v>
      </c>
      <c r="N798" t="s">
        <v>817</v>
      </c>
      <c r="O798" t="s">
        <v>394</v>
      </c>
      <c r="P798" t="s">
        <v>829</v>
      </c>
    </row>
    <row r="799" spans="1:16" x14ac:dyDescent="0.25">
      <c r="A799" t="s">
        <v>1191</v>
      </c>
      <c r="B799" t="s">
        <v>116</v>
      </c>
      <c r="C799" t="s">
        <v>1157</v>
      </c>
      <c r="D799" t="s">
        <v>8</v>
      </c>
      <c r="E799">
        <v>2022</v>
      </c>
      <c r="F799" t="s">
        <v>72</v>
      </c>
      <c r="G799" t="s">
        <v>1159</v>
      </c>
      <c r="H799" t="s">
        <v>1144</v>
      </c>
      <c r="I799" t="s">
        <v>1160</v>
      </c>
      <c r="J799" t="s">
        <v>34</v>
      </c>
      <c r="K799" t="s">
        <v>37</v>
      </c>
      <c r="L799" t="s">
        <v>5</v>
      </c>
      <c r="M799" t="s">
        <v>802</v>
      </c>
      <c r="N799" t="s">
        <v>813</v>
      </c>
      <c r="O799" t="s">
        <v>391</v>
      </c>
      <c r="P799" t="s">
        <v>829</v>
      </c>
    </row>
    <row r="800" spans="1:16" x14ac:dyDescent="0.25">
      <c r="A800" t="s">
        <v>1191</v>
      </c>
      <c r="B800" t="s">
        <v>116</v>
      </c>
      <c r="C800" t="s">
        <v>1157</v>
      </c>
      <c r="D800" t="s">
        <v>8</v>
      </c>
      <c r="E800">
        <v>2022</v>
      </c>
      <c r="F800" t="s">
        <v>72</v>
      </c>
      <c r="G800" t="s">
        <v>1159</v>
      </c>
      <c r="H800" t="s">
        <v>1144</v>
      </c>
      <c r="I800" t="s">
        <v>1160</v>
      </c>
      <c r="J800" t="s">
        <v>34</v>
      </c>
      <c r="K800" t="s">
        <v>37</v>
      </c>
      <c r="L800" t="s">
        <v>5</v>
      </c>
      <c r="M800" t="s">
        <v>90</v>
      </c>
      <c r="N800" t="s">
        <v>817</v>
      </c>
      <c r="O800" t="s">
        <v>394</v>
      </c>
      <c r="P800" t="s">
        <v>829</v>
      </c>
    </row>
    <row r="801" spans="1:16" x14ac:dyDescent="0.25">
      <c r="A801" t="s">
        <v>1191</v>
      </c>
      <c r="B801" t="s">
        <v>116</v>
      </c>
      <c r="C801" t="s">
        <v>1157</v>
      </c>
      <c r="D801" t="s">
        <v>8</v>
      </c>
      <c r="E801">
        <v>2022</v>
      </c>
      <c r="F801" t="s">
        <v>72</v>
      </c>
      <c r="G801" t="s">
        <v>1159</v>
      </c>
      <c r="H801" t="s">
        <v>1144</v>
      </c>
      <c r="I801" t="s">
        <v>1160</v>
      </c>
      <c r="J801" t="s">
        <v>34</v>
      </c>
      <c r="K801" t="s">
        <v>37</v>
      </c>
      <c r="L801" t="s">
        <v>5</v>
      </c>
      <c r="M801" t="s">
        <v>90</v>
      </c>
      <c r="N801" t="s">
        <v>813</v>
      </c>
      <c r="O801" t="s">
        <v>391</v>
      </c>
      <c r="P801" t="s">
        <v>829</v>
      </c>
    </row>
    <row r="802" spans="1:16" x14ac:dyDescent="0.25">
      <c r="A802" t="s">
        <v>1192</v>
      </c>
      <c r="B802" t="s">
        <v>116</v>
      </c>
      <c r="C802" t="s">
        <v>1161</v>
      </c>
      <c r="D802" t="s">
        <v>8</v>
      </c>
      <c r="E802">
        <v>2024</v>
      </c>
      <c r="F802" t="s">
        <v>76</v>
      </c>
      <c r="G802" t="s">
        <v>1163</v>
      </c>
      <c r="H802" t="s">
        <v>1144</v>
      </c>
      <c r="I802" t="s">
        <v>1164</v>
      </c>
      <c r="J802" t="s">
        <v>34</v>
      </c>
      <c r="K802" t="s">
        <v>37</v>
      </c>
      <c r="L802" t="s">
        <v>5</v>
      </c>
      <c r="M802" t="s">
        <v>36</v>
      </c>
      <c r="N802" t="s">
        <v>817</v>
      </c>
      <c r="O802" t="s">
        <v>394</v>
      </c>
      <c r="P802" t="s">
        <v>829</v>
      </c>
    </row>
    <row r="803" spans="1:16" x14ac:dyDescent="0.25">
      <c r="A803" t="s">
        <v>1192</v>
      </c>
      <c r="B803" t="s">
        <v>116</v>
      </c>
      <c r="C803" t="s">
        <v>1161</v>
      </c>
      <c r="D803" t="s">
        <v>8</v>
      </c>
      <c r="E803">
        <v>2024</v>
      </c>
      <c r="F803" t="s">
        <v>76</v>
      </c>
      <c r="G803" t="s">
        <v>1163</v>
      </c>
      <c r="H803" t="s">
        <v>1144</v>
      </c>
      <c r="I803" t="s">
        <v>1164</v>
      </c>
      <c r="J803" t="s">
        <v>34</v>
      </c>
      <c r="K803" t="s">
        <v>37</v>
      </c>
      <c r="L803" t="s">
        <v>5</v>
      </c>
      <c r="M803" t="s">
        <v>36</v>
      </c>
      <c r="N803" t="s">
        <v>813</v>
      </c>
      <c r="O803" t="s">
        <v>391</v>
      </c>
      <c r="P803" t="s">
        <v>829</v>
      </c>
    </row>
    <row r="804" spans="1:16" x14ac:dyDescent="0.25">
      <c r="A804" t="s">
        <v>1192</v>
      </c>
      <c r="B804" t="s">
        <v>116</v>
      </c>
      <c r="C804" t="s">
        <v>1161</v>
      </c>
      <c r="D804" t="s">
        <v>8</v>
      </c>
      <c r="E804">
        <v>2024</v>
      </c>
      <c r="F804" t="s">
        <v>76</v>
      </c>
      <c r="G804" t="s">
        <v>1163</v>
      </c>
      <c r="H804" t="s">
        <v>1144</v>
      </c>
      <c r="I804" t="s">
        <v>1164</v>
      </c>
      <c r="J804" t="s">
        <v>34</v>
      </c>
      <c r="K804" t="s">
        <v>37</v>
      </c>
      <c r="L804" t="s">
        <v>5</v>
      </c>
      <c r="M804" t="s">
        <v>802</v>
      </c>
      <c r="N804" t="s">
        <v>817</v>
      </c>
      <c r="O804" t="s">
        <v>394</v>
      </c>
      <c r="P804" t="s">
        <v>829</v>
      </c>
    </row>
    <row r="805" spans="1:16" x14ac:dyDescent="0.25">
      <c r="A805" t="s">
        <v>1192</v>
      </c>
      <c r="B805" t="s">
        <v>116</v>
      </c>
      <c r="C805" t="s">
        <v>1161</v>
      </c>
      <c r="D805" t="s">
        <v>8</v>
      </c>
      <c r="E805">
        <v>2024</v>
      </c>
      <c r="F805" t="s">
        <v>76</v>
      </c>
      <c r="G805" t="s">
        <v>1163</v>
      </c>
      <c r="H805" t="s">
        <v>1144</v>
      </c>
      <c r="I805" t="s">
        <v>1164</v>
      </c>
      <c r="J805" t="s">
        <v>34</v>
      </c>
      <c r="K805" t="s">
        <v>37</v>
      </c>
      <c r="L805" t="s">
        <v>5</v>
      </c>
      <c r="M805" t="s">
        <v>802</v>
      </c>
      <c r="N805" t="s">
        <v>813</v>
      </c>
      <c r="O805" t="s">
        <v>391</v>
      </c>
      <c r="P805" t="s">
        <v>829</v>
      </c>
    </row>
    <row r="806" spans="1:16" x14ac:dyDescent="0.25">
      <c r="A806" t="s">
        <v>1192</v>
      </c>
      <c r="B806" t="s">
        <v>116</v>
      </c>
      <c r="C806" t="s">
        <v>1161</v>
      </c>
      <c r="D806" t="s">
        <v>8</v>
      </c>
      <c r="E806">
        <v>2024</v>
      </c>
      <c r="F806" t="s">
        <v>76</v>
      </c>
      <c r="G806" t="s">
        <v>1163</v>
      </c>
      <c r="H806" t="s">
        <v>1144</v>
      </c>
      <c r="I806" t="s">
        <v>1164</v>
      </c>
      <c r="J806" t="s">
        <v>34</v>
      </c>
      <c r="K806" t="s">
        <v>37</v>
      </c>
      <c r="L806" t="s">
        <v>5</v>
      </c>
      <c r="M806" t="s">
        <v>90</v>
      </c>
      <c r="N806" t="s">
        <v>817</v>
      </c>
      <c r="O806" t="s">
        <v>394</v>
      </c>
      <c r="P806" t="s">
        <v>829</v>
      </c>
    </row>
    <row r="807" spans="1:16" x14ac:dyDescent="0.25">
      <c r="A807" t="s">
        <v>1192</v>
      </c>
      <c r="B807" t="s">
        <v>116</v>
      </c>
      <c r="C807" t="s">
        <v>1161</v>
      </c>
      <c r="D807" t="s">
        <v>8</v>
      </c>
      <c r="E807">
        <v>2024</v>
      </c>
      <c r="F807" t="s">
        <v>76</v>
      </c>
      <c r="G807" t="s">
        <v>1163</v>
      </c>
      <c r="H807" t="s">
        <v>1144</v>
      </c>
      <c r="I807" t="s">
        <v>1164</v>
      </c>
      <c r="J807" t="s">
        <v>34</v>
      </c>
      <c r="K807" t="s">
        <v>37</v>
      </c>
      <c r="L807" t="s">
        <v>5</v>
      </c>
      <c r="M807" t="s">
        <v>90</v>
      </c>
      <c r="N807" t="s">
        <v>813</v>
      </c>
      <c r="O807" t="s">
        <v>391</v>
      </c>
      <c r="P807" t="s">
        <v>829</v>
      </c>
    </row>
    <row r="808" spans="1:16" x14ac:dyDescent="0.25">
      <c r="A808" t="s">
        <v>1193</v>
      </c>
      <c r="B808" t="s">
        <v>116</v>
      </c>
      <c r="C808" t="s">
        <v>1165</v>
      </c>
      <c r="D808" t="s">
        <v>8</v>
      </c>
      <c r="E808">
        <v>2024</v>
      </c>
      <c r="F808" t="s">
        <v>196</v>
      </c>
      <c r="G808" t="s">
        <v>1167</v>
      </c>
      <c r="H808" t="s">
        <v>1144</v>
      </c>
      <c r="I808" t="s">
        <v>1168</v>
      </c>
      <c r="J808" t="s">
        <v>34</v>
      </c>
      <c r="K808" t="s">
        <v>37</v>
      </c>
      <c r="L808" t="s">
        <v>5</v>
      </c>
      <c r="M808" t="s">
        <v>36</v>
      </c>
      <c r="N808" t="s">
        <v>817</v>
      </c>
      <c r="O808" t="s">
        <v>394</v>
      </c>
      <c r="P808" t="s">
        <v>829</v>
      </c>
    </row>
    <row r="809" spans="1:16" x14ac:dyDescent="0.25">
      <c r="A809" t="s">
        <v>1193</v>
      </c>
      <c r="B809" t="s">
        <v>116</v>
      </c>
      <c r="C809" t="s">
        <v>1165</v>
      </c>
      <c r="D809" t="s">
        <v>8</v>
      </c>
      <c r="E809">
        <v>2024</v>
      </c>
      <c r="F809" t="s">
        <v>196</v>
      </c>
      <c r="G809" t="s">
        <v>1167</v>
      </c>
      <c r="H809" t="s">
        <v>1144</v>
      </c>
      <c r="I809" t="s">
        <v>1168</v>
      </c>
      <c r="J809" t="s">
        <v>34</v>
      </c>
      <c r="K809" t="s">
        <v>37</v>
      </c>
      <c r="L809" t="s">
        <v>5</v>
      </c>
      <c r="M809" t="s">
        <v>36</v>
      </c>
      <c r="N809" t="s">
        <v>813</v>
      </c>
      <c r="O809" t="s">
        <v>391</v>
      </c>
      <c r="P809" t="s">
        <v>829</v>
      </c>
    </row>
    <row r="810" spans="1:16" x14ac:dyDescent="0.25">
      <c r="A810" t="s">
        <v>1193</v>
      </c>
      <c r="B810" t="s">
        <v>116</v>
      </c>
      <c r="C810" t="s">
        <v>1165</v>
      </c>
      <c r="D810" t="s">
        <v>8</v>
      </c>
      <c r="E810">
        <v>2024</v>
      </c>
      <c r="F810" t="s">
        <v>196</v>
      </c>
      <c r="G810" t="s">
        <v>1167</v>
      </c>
      <c r="H810" t="s">
        <v>1144</v>
      </c>
      <c r="I810" t="s">
        <v>1168</v>
      </c>
      <c r="J810" t="s">
        <v>34</v>
      </c>
      <c r="K810" t="s">
        <v>37</v>
      </c>
      <c r="L810" t="s">
        <v>5</v>
      </c>
      <c r="M810" t="s">
        <v>802</v>
      </c>
      <c r="N810" t="s">
        <v>817</v>
      </c>
      <c r="O810" t="s">
        <v>394</v>
      </c>
      <c r="P810" t="s">
        <v>829</v>
      </c>
    </row>
    <row r="811" spans="1:16" x14ac:dyDescent="0.25">
      <c r="A811" t="s">
        <v>1193</v>
      </c>
      <c r="B811" t="s">
        <v>116</v>
      </c>
      <c r="C811" t="s">
        <v>1165</v>
      </c>
      <c r="D811" t="s">
        <v>8</v>
      </c>
      <c r="E811">
        <v>2024</v>
      </c>
      <c r="F811" t="s">
        <v>196</v>
      </c>
      <c r="G811" t="s">
        <v>1167</v>
      </c>
      <c r="H811" t="s">
        <v>1144</v>
      </c>
      <c r="I811" t="s">
        <v>1168</v>
      </c>
      <c r="J811" t="s">
        <v>34</v>
      </c>
      <c r="K811" t="s">
        <v>37</v>
      </c>
      <c r="L811" t="s">
        <v>5</v>
      </c>
      <c r="M811" t="s">
        <v>802</v>
      </c>
      <c r="N811" t="s">
        <v>813</v>
      </c>
      <c r="O811" t="s">
        <v>391</v>
      </c>
      <c r="P811" t="s">
        <v>829</v>
      </c>
    </row>
    <row r="812" spans="1:16" x14ac:dyDescent="0.25">
      <c r="A812" t="s">
        <v>1193</v>
      </c>
      <c r="B812" t="s">
        <v>116</v>
      </c>
      <c r="C812" t="s">
        <v>1165</v>
      </c>
      <c r="D812" t="s">
        <v>8</v>
      </c>
      <c r="E812">
        <v>2024</v>
      </c>
      <c r="F812" t="s">
        <v>196</v>
      </c>
      <c r="G812" t="s">
        <v>1167</v>
      </c>
      <c r="H812" t="s">
        <v>1144</v>
      </c>
      <c r="I812" t="s">
        <v>1168</v>
      </c>
      <c r="J812" t="s">
        <v>34</v>
      </c>
      <c r="K812" t="s">
        <v>37</v>
      </c>
      <c r="L812" t="s">
        <v>5</v>
      </c>
      <c r="M812" t="s">
        <v>90</v>
      </c>
      <c r="N812" t="s">
        <v>817</v>
      </c>
      <c r="O812" t="s">
        <v>394</v>
      </c>
      <c r="P812" t="s">
        <v>829</v>
      </c>
    </row>
    <row r="813" spans="1:16" x14ac:dyDescent="0.25">
      <c r="A813" t="s">
        <v>1193</v>
      </c>
      <c r="B813" t="s">
        <v>116</v>
      </c>
      <c r="C813" t="s">
        <v>1165</v>
      </c>
      <c r="D813" t="s">
        <v>8</v>
      </c>
      <c r="E813">
        <v>2024</v>
      </c>
      <c r="F813" t="s">
        <v>196</v>
      </c>
      <c r="G813" t="s">
        <v>1167</v>
      </c>
      <c r="H813" t="s">
        <v>1144</v>
      </c>
      <c r="I813" t="s">
        <v>1168</v>
      </c>
      <c r="J813" t="s">
        <v>34</v>
      </c>
      <c r="K813" t="s">
        <v>37</v>
      </c>
      <c r="L813" t="s">
        <v>5</v>
      </c>
      <c r="M813" t="s">
        <v>90</v>
      </c>
      <c r="N813" t="s">
        <v>813</v>
      </c>
      <c r="O813" t="s">
        <v>391</v>
      </c>
      <c r="P813" t="s">
        <v>829</v>
      </c>
    </row>
    <row r="814" spans="1:16" x14ac:dyDescent="0.25">
      <c r="A814" t="s">
        <v>1194</v>
      </c>
      <c r="B814" t="s">
        <v>116</v>
      </c>
      <c r="C814" t="s">
        <v>1169</v>
      </c>
      <c r="D814" t="s">
        <v>8</v>
      </c>
      <c r="E814">
        <v>2025</v>
      </c>
      <c r="F814" t="s">
        <v>72</v>
      </c>
      <c r="G814" t="s">
        <v>1171</v>
      </c>
      <c r="H814" t="s">
        <v>1144</v>
      </c>
      <c r="I814" t="s">
        <v>1172</v>
      </c>
      <c r="J814" t="s">
        <v>34</v>
      </c>
      <c r="K814" t="s">
        <v>37</v>
      </c>
      <c r="L814" t="s">
        <v>5</v>
      </c>
      <c r="M814" t="s">
        <v>36</v>
      </c>
      <c r="N814" t="s">
        <v>817</v>
      </c>
      <c r="O814" t="s">
        <v>394</v>
      </c>
      <c r="P814" t="s">
        <v>829</v>
      </c>
    </row>
    <row r="815" spans="1:16" x14ac:dyDescent="0.25">
      <c r="A815" t="s">
        <v>1194</v>
      </c>
      <c r="B815" t="s">
        <v>116</v>
      </c>
      <c r="C815" t="s">
        <v>1169</v>
      </c>
      <c r="D815" t="s">
        <v>8</v>
      </c>
      <c r="E815">
        <v>2025</v>
      </c>
      <c r="F815" t="s">
        <v>72</v>
      </c>
      <c r="G815" t="s">
        <v>1171</v>
      </c>
      <c r="H815" t="s">
        <v>1144</v>
      </c>
      <c r="I815" t="s">
        <v>1172</v>
      </c>
      <c r="J815" t="s">
        <v>34</v>
      </c>
      <c r="K815" t="s">
        <v>37</v>
      </c>
      <c r="L815" t="s">
        <v>5</v>
      </c>
      <c r="M815" t="s">
        <v>36</v>
      </c>
      <c r="N815" t="s">
        <v>813</v>
      </c>
      <c r="O815" t="s">
        <v>391</v>
      </c>
      <c r="P815" t="s">
        <v>829</v>
      </c>
    </row>
    <row r="816" spans="1:16" x14ac:dyDescent="0.25">
      <c r="A816" t="s">
        <v>1194</v>
      </c>
      <c r="B816" t="s">
        <v>116</v>
      </c>
      <c r="C816" t="s">
        <v>1169</v>
      </c>
      <c r="D816" t="s">
        <v>8</v>
      </c>
      <c r="E816">
        <v>2025</v>
      </c>
      <c r="F816" t="s">
        <v>72</v>
      </c>
      <c r="G816" t="s">
        <v>1171</v>
      </c>
      <c r="H816" t="s">
        <v>1144</v>
      </c>
      <c r="I816" t="s">
        <v>1172</v>
      </c>
      <c r="J816" t="s">
        <v>34</v>
      </c>
      <c r="K816" t="s">
        <v>37</v>
      </c>
      <c r="L816" t="s">
        <v>5</v>
      </c>
      <c r="M816" t="s">
        <v>802</v>
      </c>
      <c r="N816" t="s">
        <v>817</v>
      </c>
      <c r="O816" t="s">
        <v>394</v>
      </c>
      <c r="P816" t="s">
        <v>829</v>
      </c>
    </row>
    <row r="817" spans="1:16" x14ac:dyDescent="0.25">
      <c r="A817" t="s">
        <v>1194</v>
      </c>
      <c r="B817" t="s">
        <v>116</v>
      </c>
      <c r="C817" t="s">
        <v>1169</v>
      </c>
      <c r="D817" t="s">
        <v>8</v>
      </c>
      <c r="E817">
        <v>2025</v>
      </c>
      <c r="F817" t="s">
        <v>72</v>
      </c>
      <c r="G817" t="s">
        <v>1171</v>
      </c>
      <c r="H817" t="s">
        <v>1144</v>
      </c>
      <c r="I817" t="s">
        <v>1172</v>
      </c>
      <c r="J817" t="s">
        <v>34</v>
      </c>
      <c r="K817" t="s">
        <v>37</v>
      </c>
      <c r="L817" t="s">
        <v>5</v>
      </c>
      <c r="M817" t="s">
        <v>802</v>
      </c>
      <c r="N817" t="s">
        <v>813</v>
      </c>
      <c r="O817" t="s">
        <v>391</v>
      </c>
      <c r="P817" t="s">
        <v>829</v>
      </c>
    </row>
    <row r="818" spans="1:16" x14ac:dyDescent="0.25">
      <c r="A818" t="s">
        <v>1194</v>
      </c>
      <c r="B818" t="s">
        <v>116</v>
      </c>
      <c r="C818" t="s">
        <v>1169</v>
      </c>
      <c r="D818" t="s">
        <v>8</v>
      </c>
      <c r="E818">
        <v>2025</v>
      </c>
      <c r="F818" t="s">
        <v>72</v>
      </c>
      <c r="G818" t="s">
        <v>1171</v>
      </c>
      <c r="H818" t="s">
        <v>1144</v>
      </c>
      <c r="I818" t="s">
        <v>1172</v>
      </c>
      <c r="J818" t="s">
        <v>34</v>
      </c>
      <c r="K818" t="s">
        <v>37</v>
      </c>
      <c r="L818" t="s">
        <v>5</v>
      </c>
      <c r="M818" t="s">
        <v>90</v>
      </c>
      <c r="N818" t="s">
        <v>817</v>
      </c>
      <c r="O818" t="s">
        <v>394</v>
      </c>
      <c r="P818" t="s">
        <v>829</v>
      </c>
    </row>
    <row r="819" spans="1:16" x14ac:dyDescent="0.25">
      <c r="A819" t="s">
        <v>1194</v>
      </c>
      <c r="B819" t="s">
        <v>116</v>
      </c>
      <c r="C819" t="s">
        <v>1169</v>
      </c>
      <c r="D819" t="s">
        <v>8</v>
      </c>
      <c r="E819">
        <v>2025</v>
      </c>
      <c r="F819" t="s">
        <v>72</v>
      </c>
      <c r="G819" t="s">
        <v>1171</v>
      </c>
      <c r="H819" t="s">
        <v>1144</v>
      </c>
      <c r="I819" t="s">
        <v>1172</v>
      </c>
      <c r="J819" t="s">
        <v>34</v>
      </c>
      <c r="K819" t="s">
        <v>37</v>
      </c>
      <c r="L819" t="s">
        <v>5</v>
      </c>
      <c r="M819" t="s">
        <v>90</v>
      </c>
      <c r="N819" t="s">
        <v>813</v>
      </c>
      <c r="O819" t="s">
        <v>391</v>
      </c>
      <c r="P819" t="s">
        <v>829</v>
      </c>
    </row>
    <row r="820" spans="1:16" x14ac:dyDescent="0.25">
      <c r="A820" t="s">
        <v>1195</v>
      </c>
      <c r="B820" t="s">
        <v>116</v>
      </c>
      <c r="C820" t="s">
        <v>1173</v>
      </c>
      <c r="D820" t="s">
        <v>8</v>
      </c>
      <c r="E820">
        <v>2025</v>
      </c>
      <c r="F820" t="s">
        <v>149</v>
      </c>
      <c r="G820" t="s">
        <v>1175</v>
      </c>
      <c r="H820" t="s">
        <v>354</v>
      </c>
      <c r="I820" t="s">
        <v>1176</v>
      </c>
      <c r="J820" t="s">
        <v>35</v>
      </c>
      <c r="K820" t="s">
        <v>806</v>
      </c>
      <c r="L820" t="s">
        <v>809</v>
      </c>
      <c r="M820" t="s">
        <v>802</v>
      </c>
      <c r="N820" t="s">
        <v>813</v>
      </c>
      <c r="O820" t="s">
        <v>391</v>
      </c>
      <c r="P820" t="s">
        <v>828</v>
      </c>
    </row>
    <row r="821" spans="1:16" x14ac:dyDescent="0.25">
      <c r="A821" t="s">
        <v>1196</v>
      </c>
      <c r="B821" t="s">
        <v>116</v>
      </c>
      <c r="C821" t="s">
        <v>1178</v>
      </c>
      <c r="D821" t="s">
        <v>8</v>
      </c>
      <c r="E821">
        <v>2025</v>
      </c>
      <c r="F821" t="s">
        <v>411</v>
      </c>
      <c r="G821" t="s">
        <v>1180</v>
      </c>
      <c r="H821" t="s">
        <v>354</v>
      </c>
      <c r="I821" t="s">
        <v>1373</v>
      </c>
      <c r="J821" t="s">
        <v>35</v>
      </c>
      <c r="K821" t="s">
        <v>37</v>
      </c>
      <c r="L821" t="s">
        <v>809</v>
      </c>
      <c r="M821" t="s">
        <v>802</v>
      </c>
      <c r="N821" t="s">
        <v>813</v>
      </c>
      <c r="O821" t="s">
        <v>391</v>
      </c>
      <c r="P821" t="s">
        <v>828</v>
      </c>
    </row>
    <row r="822" spans="1:16" x14ac:dyDescent="0.25">
      <c r="A822" t="s">
        <v>1295</v>
      </c>
      <c r="B822" t="s">
        <v>116</v>
      </c>
      <c r="C822" t="s">
        <v>799</v>
      </c>
      <c r="D822" t="s">
        <v>8</v>
      </c>
      <c r="E822">
        <v>2023</v>
      </c>
      <c r="F822" t="s">
        <v>155</v>
      </c>
      <c r="G822" t="s">
        <v>1209</v>
      </c>
      <c r="H822" t="s">
        <v>354</v>
      </c>
      <c r="I822" t="s">
        <v>1373</v>
      </c>
      <c r="J822" t="s">
        <v>35</v>
      </c>
      <c r="K822" t="s">
        <v>807</v>
      </c>
      <c r="L822" t="s">
        <v>809</v>
      </c>
      <c r="M822" t="s">
        <v>802</v>
      </c>
      <c r="N822" t="s">
        <v>816</v>
      </c>
      <c r="O822" t="s">
        <v>404</v>
      </c>
      <c r="P822" t="s">
        <v>824</v>
      </c>
    </row>
    <row r="823" spans="1:16" x14ac:dyDescent="0.25">
      <c r="A823" t="s">
        <v>1295</v>
      </c>
      <c r="B823" t="s">
        <v>116</v>
      </c>
      <c r="C823" t="s">
        <v>799</v>
      </c>
      <c r="D823" t="s">
        <v>8</v>
      </c>
      <c r="E823">
        <v>2023</v>
      </c>
      <c r="F823" t="s">
        <v>155</v>
      </c>
      <c r="G823" t="s">
        <v>1209</v>
      </c>
      <c r="H823" t="s">
        <v>354</v>
      </c>
      <c r="I823" t="s">
        <v>1373</v>
      </c>
      <c r="J823" t="s">
        <v>35</v>
      </c>
      <c r="K823" t="s">
        <v>807</v>
      </c>
      <c r="L823" t="s">
        <v>809</v>
      </c>
      <c r="M823" t="s">
        <v>803</v>
      </c>
      <c r="N823" t="s">
        <v>816</v>
      </c>
      <c r="O823" t="s">
        <v>404</v>
      </c>
      <c r="P823" t="s">
        <v>824</v>
      </c>
    </row>
    <row r="824" spans="1:16" x14ac:dyDescent="0.25">
      <c r="A824" t="s">
        <v>1296</v>
      </c>
      <c r="B824" t="s">
        <v>116</v>
      </c>
      <c r="C824" t="s">
        <v>1212</v>
      </c>
      <c r="D824" t="s">
        <v>8</v>
      </c>
      <c r="E824">
        <v>2023</v>
      </c>
      <c r="F824" t="s">
        <v>182</v>
      </c>
      <c r="G824" t="s">
        <v>1214</v>
      </c>
      <c r="H824" t="s">
        <v>354</v>
      </c>
      <c r="I824" t="s">
        <v>1373</v>
      </c>
      <c r="J824" t="s">
        <v>35</v>
      </c>
      <c r="K824" t="s">
        <v>807</v>
      </c>
      <c r="L824" t="s">
        <v>809</v>
      </c>
      <c r="M824" t="s">
        <v>802</v>
      </c>
      <c r="N824" t="s">
        <v>814</v>
      </c>
      <c r="O824" t="s">
        <v>392</v>
      </c>
      <c r="P824" t="s">
        <v>825</v>
      </c>
    </row>
    <row r="825" spans="1:16" x14ac:dyDescent="0.25">
      <c r="A825" t="s">
        <v>1296</v>
      </c>
      <c r="B825" t="s">
        <v>116</v>
      </c>
      <c r="C825" t="s">
        <v>1212</v>
      </c>
      <c r="D825" t="s">
        <v>8</v>
      </c>
      <c r="E825">
        <v>2023</v>
      </c>
      <c r="F825" t="s">
        <v>182</v>
      </c>
      <c r="G825" t="s">
        <v>1214</v>
      </c>
      <c r="H825" t="s">
        <v>354</v>
      </c>
      <c r="I825" t="s">
        <v>1373</v>
      </c>
      <c r="J825" t="s">
        <v>35</v>
      </c>
      <c r="K825" t="s">
        <v>807</v>
      </c>
      <c r="L825" t="s">
        <v>809</v>
      </c>
      <c r="M825" t="s">
        <v>803</v>
      </c>
      <c r="N825" t="s">
        <v>814</v>
      </c>
      <c r="O825" t="s">
        <v>392</v>
      </c>
      <c r="P825" t="s">
        <v>825</v>
      </c>
    </row>
    <row r="826" spans="1:16" x14ac:dyDescent="0.25">
      <c r="A826" t="s">
        <v>1297</v>
      </c>
      <c r="B826" t="s">
        <v>116</v>
      </c>
      <c r="C826" t="s">
        <v>1215</v>
      </c>
      <c r="D826" t="s">
        <v>8</v>
      </c>
      <c r="E826">
        <v>2023</v>
      </c>
      <c r="F826" t="s">
        <v>184</v>
      </c>
      <c r="G826" t="s">
        <v>1217</v>
      </c>
      <c r="H826" t="s">
        <v>354</v>
      </c>
      <c r="I826" t="s">
        <v>1373</v>
      </c>
      <c r="J826" t="s">
        <v>35</v>
      </c>
      <c r="K826" t="s">
        <v>354</v>
      </c>
      <c r="L826" t="s">
        <v>809</v>
      </c>
      <c r="M826" t="s">
        <v>802</v>
      </c>
      <c r="N826" t="s">
        <v>814</v>
      </c>
      <c r="O826" t="s">
        <v>392</v>
      </c>
      <c r="P826" t="s">
        <v>825</v>
      </c>
    </row>
    <row r="827" spans="1:16" x14ac:dyDescent="0.25">
      <c r="A827" t="s">
        <v>1297</v>
      </c>
      <c r="B827" t="s">
        <v>116</v>
      </c>
      <c r="C827" t="s">
        <v>1215</v>
      </c>
      <c r="D827" t="s">
        <v>8</v>
      </c>
      <c r="E827">
        <v>2023</v>
      </c>
      <c r="F827" t="s">
        <v>184</v>
      </c>
      <c r="G827" t="s">
        <v>1217</v>
      </c>
      <c r="H827" t="s">
        <v>354</v>
      </c>
      <c r="I827" t="s">
        <v>1373</v>
      </c>
      <c r="J827" t="s">
        <v>35</v>
      </c>
      <c r="K827" t="s">
        <v>354</v>
      </c>
      <c r="L827" t="s">
        <v>809</v>
      </c>
      <c r="M827" t="s">
        <v>803</v>
      </c>
      <c r="N827" t="s">
        <v>814</v>
      </c>
      <c r="O827" t="s">
        <v>392</v>
      </c>
      <c r="P827" t="s">
        <v>825</v>
      </c>
    </row>
    <row r="828" spans="1:16" x14ac:dyDescent="0.25">
      <c r="A828" t="s">
        <v>1298</v>
      </c>
      <c r="B828" t="s">
        <v>116</v>
      </c>
      <c r="C828" t="s">
        <v>1218</v>
      </c>
      <c r="D828" t="s">
        <v>8</v>
      </c>
      <c r="E828">
        <v>2023</v>
      </c>
      <c r="F828" t="s">
        <v>184</v>
      </c>
      <c r="G828" t="s">
        <v>1220</v>
      </c>
      <c r="H828" t="s">
        <v>354</v>
      </c>
      <c r="I828" t="s">
        <v>1373</v>
      </c>
      <c r="J828" t="s">
        <v>35</v>
      </c>
      <c r="K828" t="s">
        <v>354</v>
      </c>
      <c r="L828" t="s">
        <v>809</v>
      </c>
      <c r="M828" t="s">
        <v>802</v>
      </c>
      <c r="N828" t="s">
        <v>814</v>
      </c>
      <c r="O828" t="s">
        <v>392</v>
      </c>
      <c r="P828" t="s">
        <v>825</v>
      </c>
    </row>
    <row r="829" spans="1:16" x14ac:dyDescent="0.25">
      <c r="A829" t="s">
        <v>1298</v>
      </c>
      <c r="B829" t="s">
        <v>116</v>
      </c>
      <c r="C829" t="s">
        <v>1218</v>
      </c>
      <c r="D829" t="s">
        <v>8</v>
      </c>
      <c r="E829">
        <v>2023</v>
      </c>
      <c r="F829" t="s">
        <v>184</v>
      </c>
      <c r="G829" t="s">
        <v>1220</v>
      </c>
      <c r="H829" t="s">
        <v>354</v>
      </c>
      <c r="I829" t="s">
        <v>1373</v>
      </c>
      <c r="J829" t="s">
        <v>35</v>
      </c>
      <c r="K829" t="s">
        <v>354</v>
      </c>
      <c r="L829" t="s">
        <v>809</v>
      </c>
      <c r="M829" t="s">
        <v>803</v>
      </c>
      <c r="N829" t="s">
        <v>814</v>
      </c>
      <c r="O829" t="s">
        <v>392</v>
      </c>
      <c r="P829" t="s">
        <v>825</v>
      </c>
    </row>
    <row r="830" spans="1:16" x14ac:dyDescent="0.25">
      <c r="A830" t="s">
        <v>1299</v>
      </c>
      <c r="B830" t="s">
        <v>116</v>
      </c>
      <c r="C830" t="s">
        <v>1221</v>
      </c>
      <c r="D830" t="s">
        <v>8</v>
      </c>
      <c r="E830">
        <v>2023</v>
      </c>
      <c r="F830" t="s">
        <v>184</v>
      </c>
      <c r="G830" t="s">
        <v>1223</v>
      </c>
      <c r="H830" t="s">
        <v>354</v>
      </c>
      <c r="I830" t="s">
        <v>1373</v>
      </c>
      <c r="J830" t="s">
        <v>35</v>
      </c>
      <c r="K830" t="s">
        <v>354</v>
      </c>
      <c r="L830" t="s">
        <v>809</v>
      </c>
      <c r="M830" t="s">
        <v>802</v>
      </c>
      <c r="N830" t="s">
        <v>814</v>
      </c>
      <c r="O830" t="s">
        <v>392</v>
      </c>
      <c r="P830" t="s">
        <v>825</v>
      </c>
    </row>
    <row r="831" spans="1:16" x14ac:dyDescent="0.25">
      <c r="A831" t="s">
        <v>1299</v>
      </c>
      <c r="B831" t="s">
        <v>116</v>
      </c>
      <c r="C831" t="s">
        <v>1221</v>
      </c>
      <c r="D831" t="s">
        <v>8</v>
      </c>
      <c r="E831">
        <v>2023</v>
      </c>
      <c r="F831" t="s">
        <v>184</v>
      </c>
      <c r="G831" t="s">
        <v>1223</v>
      </c>
      <c r="H831" t="s">
        <v>354</v>
      </c>
      <c r="I831" t="s">
        <v>1373</v>
      </c>
      <c r="J831" t="s">
        <v>35</v>
      </c>
      <c r="K831" t="s">
        <v>354</v>
      </c>
      <c r="L831" t="s">
        <v>809</v>
      </c>
      <c r="M831" t="s">
        <v>803</v>
      </c>
      <c r="N831" t="s">
        <v>814</v>
      </c>
      <c r="O831" t="s">
        <v>392</v>
      </c>
      <c r="P831" t="s">
        <v>825</v>
      </c>
    </row>
    <row r="832" spans="1:16" x14ac:dyDescent="0.25">
      <c r="A832" t="s">
        <v>1300</v>
      </c>
      <c r="B832" t="s">
        <v>116</v>
      </c>
      <c r="C832" t="s">
        <v>1202</v>
      </c>
      <c r="D832" t="s">
        <v>8</v>
      </c>
      <c r="E832">
        <v>2023</v>
      </c>
      <c r="F832" t="s">
        <v>184</v>
      </c>
      <c r="G832" t="s">
        <v>1225</v>
      </c>
      <c r="H832" t="s">
        <v>354</v>
      </c>
      <c r="I832" t="s">
        <v>1373</v>
      </c>
      <c r="J832" t="s">
        <v>35</v>
      </c>
      <c r="K832" t="s">
        <v>354</v>
      </c>
      <c r="L832" t="s">
        <v>809</v>
      </c>
      <c r="M832" t="s">
        <v>802</v>
      </c>
      <c r="N832" t="s">
        <v>367</v>
      </c>
      <c r="O832" t="s">
        <v>388</v>
      </c>
      <c r="P832" t="s">
        <v>831</v>
      </c>
    </row>
    <row r="833" spans="1:16" x14ac:dyDescent="0.25">
      <c r="A833" t="s">
        <v>1300</v>
      </c>
      <c r="B833" t="s">
        <v>116</v>
      </c>
      <c r="C833" t="s">
        <v>1202</v>
      </c>
      <c r="D833" t="s">
        <v>8</v>
      </c>
      <c r="E833">
        <v>2023</v>
      </c>
      <c r="F833" t="s">
        <v>184</v>
      </c>
      <c r="G833" t="s">
        <v>1225</v>
      </c>
      <c r="H833" t="s">
        <v>354</v>
      </c>
      <c r="I833" t="s">
        <v>1373</v>
      </c>
      <c r="J833" t="s">
        <v>35</v>
      </c>
      <c r="K833" t="s">
        <v>354</v>
      </c>
      <c r="L833" t="s">
        <v>809</v>
      </c>
      <c r="M833" t="s">
        <v>802</v>
      </c>
      <c r="N833" t="s">
        <v>813</v>
      </c>
      <c r="O833" t="s">
        <v>391</v>
      </c>
      <c r="P833" t="s">
        <v>831</v>
      </c>
    </row>
    <row r="834" spans="1:16" x14ac:dyDescent="0.25">
      <c r="A834" t="s">
        <v>1300</v>
      </c>
      <c r="B834" t="s">
        <v>116</v>
      </c>
      <c r="C834" t="s">
        <v>1202</v>
      </c>
      <c r="D834" t="s">
        <v>8</v>
      </c>
      <c r="E834">
        <v>2023</v>
      </c>
      <c r="F834" t="s">
        <v>184</v>
      </c>
      <c r="G834" t="s">
        <v>1225</v>
      </c>
      <c r="H834" t="s">
        <v>354</v>
      </c>
      <c r="I834" t="s">
        <v>1373</v>
      </c>
      <c r="J834" t="s">
        <v>35</v>
      </c>
      <c r="K834" t="s">
        <v>354</v>
      </c>
      <c r="L834" t="s">
        <v>809</v>
      </c>
      <c r="M834" t="s">
        <v>803</v>
      </c>
      <c r="N834" t="s">
        <v>367</v>
      </c>
      <c r="O834" t="s">
        <v>388</v>
      </c>
      <c r="P834" t="s">
        <v>831</v>
      </c>
    </row>
    <row r="835" spans="1:16" x14ac:dyDescent="0.25">
      <c r="A835" t="s">
        <v>1300</v>
      </c>
      <c r="B835" t="s">
        <v>116</v>
      </c>
      <c r="C835" t="s">
        <v>1202</v>
      </c>
      <c r="D835" t="s">
        <v>8</v>
      </c>
      <c r="E835">
        <v>2023</v>
      </c>
      <c r="F835" t="s">
        <v>184</v>
      </c>
      <c r="G835" t="s">
        <v>1225</v>
      </c>
      <c r="H835" t="s">
        <v>354</v>
      </c>
      <c r="I835" t="s">
        <v>1373</v>
      </c>
      <c r="J835" t="s">
        <v>35</v>
      </c>
      <c r="K835" t="s">
        <v>354</v>
      </c>
      <c r="L835" t="s">
        <v>809</v>
      </c>
      <c r="M835" t="s">
        <v>803</v>
      </c>
      <c r="N835" t="s">
        <v>813</v>
      </c>
      <c r="O835" t="s">
        <v>391</v>
      </c>
      <c r="P835" t="s">
        <v>831</v>
      </c>
    </row>
    <row r="836" spans="1:16" x14ac:dyDescent="0.25">
      <c r="A836" t="s">
        <v>1301</v>
      </c>
      <c r="B836" t="s">
        <v>116</v>
      </c>
      <c r="C836" t="s">
        <v>1203</v>
      </c>
      <c r="D836" t="s">
        <v>8</v>
      </c>
      <c r="E836">
        <v>2023</v>
      </c>
      <c r="F836" t="s">
        <v>184</v>
      </c>
      <c r="G836" t="s">
        <v>1227</v>
      </c>
      <c r="H836" t="s">
        <v>354</v>
      </c>
      <c r="I836" t="s">
        <v>1373</v>
      </c>
      <c r="J836" t="s">
        <v>35</v>
      </c>
      <c r="K836" t="s">
        <v>354</v>
      </c>
      <c r="L836" t="s">
        <v>809</v>
      </c>
      <c r="M836" t="s">
        <v>802</v>
      </c>
      <c r="N836" t="s">
        <v>367</v>
      </c>
      <c r="O836" t="s">
        <v>388</v>
      </c>
      <c r="P836" t="s">
        <v>831</v>
      </c>
    </row>
    <row r="837" spans="1:16" x14ac:dyDescent="0.25">
      <c r="A837" t="s">
        <v>1301</v>
      </c>
      <c r="B837" t="s">
        <v>116</v>
      </c>
      <c r="C837" t="s">
        <v>1203</v>
      </c>
      <c r="D837" t="s">
        <v>8</v>
      </c>
      <c r="E837">
        <v>2023</v>
      </c>
      <c r="F837" t="s">
        <v>184</v>
      </c>
      <c r="G837" t="s">
        <v>1227</v>
      </c>
      <c r="H837" t="s">
        <v>354</v>
      </c>
      <c r="I837" t="s">
        <v>1373</v>
      </c>
      <c r="J837" t="s">
        <v>35</v>
      </c>
      <c r="K837" t="s">
        <v>354</v>
      </c>
      <c r="L837" t="s">
        <v>809</v>
      </c>
      <c r="M837" t="s">
        <v>802</v>
      </c>
      <c r="N837" t="s">
        <v>813</v>
      </c>
      <c r="O837" t="s">
        <v>391</v>
      </c>
      <c r="P837" t="s">
        <v>831</v>
      </c>
    </row>
    <row r="838" spans="1:16" x14ac:dyDescent="0.25">
      <c r="A838" t="s">
        <v>1302</v>
      </c>
      <c r="B838" t="s">
        <v>116</v>
      </c>
      <c r="C838" t="s">
        <v>1204</v>
      </c>
      <c r="D838" t="s">
        <v>8</v>
      </c>
      <c r="E838">
        <v>2023</v>
      </c>
      <c r="F838" t="s">
        <v>184</v>
      </c>
      <c r="G838" t="s">
        <v>1229</v>
      </c>
      <c r="H838" t="s">
        <v>354</v>
      </c>
      <c r="I838" t="s">
        <v>1373</v>
      </c>
      <c r="J838" t="s">
        <v>35</v>
      </c>
      <c r="K838" t="s">
        <v>354</v>
      </c>
      <c r="L838" t="s">
        <v>809</v>
      </c>
      <c r="M838" t="s">
        <v>802</v>
      </c>
      <c r="N838" t="s">
        <v>367</v>
      </c>
      <c r="O838" t="s">
        <v>388</v>
      </c>
      <c r="P838" t="s">
        <v>831</v>
      </c>
    </row>
    <row r="839" spans="1:16" x14ac:dyDescent="0.25">
      <c r="A839" t="s">
        <v>1302</v>
      </c>
      <c r="B839" t="s">
        <v>116</v>
      </c>
      <c r="C839" t="s">
        <v>1204</v>
      </c>
      <c r="D839" t="s">
        <v>8</v>
      </c>
      <c r="E839">
        <v>2023</v>
      </c>
      <c r="F839" t="s">
        <v>184</v>
      </c>
      <c r="G839" t="s">
        <v>1229</v>
      </c>
      <c r="H839" t="s">
        <v>354</v>
      </c>
      <c r="I839" t="s">
        <v>1373</v>
      </c>
      <c r="J839" t="s">
        <v>35</v>
      </c>
      <c r="K839" t="s">
        <v>354</v>
      </c>
      <c r="L839" t="s">
        <v>809</v>
      </c>
      <c r="M839" t="s">
        <v>802</v>
      </c>
      <c r="N839" t="s">
        <v>813</v>
      </c>
      <c r="O839" t="s">
        <v>391</v>
      </c>
      <c r="P839" t="s">
        <v>831</v>
      </c>
    </row>
    <row r="840" spans="1:16" x14ac:dyDescent="0.25">
      <c r="A840" t="s">
        <v>1303</v>
      </c>
      <c r="B840" t="s">
        <v>116</v>
      </c>
      <c r="C840" t="s">
        <v>1205</v>
      </c>
      <c r="D840" t="s">
        <v>8</v>
      </c>
      <c r="E840">
        <v>2023</v>
      </c>
      <c r="F840" t="s">
        <v>184</v>
      </c>
      <c r="G840" t="s">
        <v>1231</v>
      </c>
      <c r="H840" t="s">
        <v>354</v>
      </c>
      <c r="I840" t="s">
        <v>1373</v>
      </c>
      <c r="J840" t="s">
        <v>35</v>
      </c>
      <c r="K840" t="s">
        <v>354</v>
      </c>
      <c r="L840" t="s">
        <v>809</v>
      </c>
      <c r="M840" t="s">
        <v>802</v>
      </c>
      <c r="N840" t="s">
        <v>367</v>
      </c>
      <c r="O840" t="s">
        <v>388</v>
      </c>
      <c r="P840" t="s">
        <v>831</v>
      </c>
    </row>
    <row r="841" spans="1:16" x14ac:dyDescent="0.25">
      <c r="A841" t="s">
        <v>1303</v>
      </c>
      <c r="B841" t="s">
        <v>116</v>
      </c>
      <c r="C841" t="s">
        <v>1205</v>
      </c>
      <c r="D841" t="s">
        <v>8</v>
      </c>
      <c r="E841">
        <v>2023</v>
      </c>
      <c r="F841" t="s">
        <v>184</v>
      </c>
      <c r="G841" t="s">
        <v>1231</v>
      </c>
      <c r="H841" t="s">
        <v>354</v>
      </c>
      <c r="I841" t="s">
        <v>1373</v>
      </c>
      <c r="J841" t="s">
        <v>35</v>
      </c>
      <c r="K841" t="s">
        <v>354</v>
      </c>
      <c r="L841" t="s">
        <v>809</v>
      </c>
      <c r="M841" t="s">
        <v>802</v>
      </c>
      <c r="N841" t="s">
        <v>813</v>
      </c>
      <c r="O841" t="s">
        <v>391</v>
      </c>
      <c r="P841" t="s">
        <v>831</v>
      </c>
    </row>
    <row r="842" spans="1:16" x14ac:dyDescent="0.25">
      <c r="A842" t="s">
        <v>1304</v>
      </c>
      <c r="B842" t="s">
        <v>116</v>
      </c>
      <c r="C842" t="s">
        <v>1206</v>
      </c>
      <c r="D842" t="s">
        <v>8</v>
      </c>
      <c r="E842">
        <v>2023</v>
      </c>
      <c r="F842" t="s">
        <v>184</v>
      </c>
      <c r="G842" t="s">
        <v>1233</v>
      </c>
      <c r="H842" t="s">
        <v>354</v>
      </c>
      <c r="I842" t="s">
        <v>1373</v>
      </c>
      <c r="J842" t="s">
        <v>35</v>
      </c>
      <c r="K842" t="s">
        <v>354</v>
      </c>
      <c r="L842" t="s">
        <v>809</v>
      </c>
      <c r="M842" t="s">
        <v>802</v>
      </c>
      <c r="N842" t="s">
        <v>367</v>
      </c>
      <c r="O842" t="s">
        <v>388</v>
      </c>
      <c r="P842" t="s">
        <v>831</v>
      </c>
    </row>
    <row r="843" spans="1:16" x14ac:dyDescent="0.25">
      <c r="A843" t="s">
        <v>1304</v>
      </c>
      <c r="B843" t="s">
        <v>116</v>
      </c>
      <c r="C843" t="s">
        <v>1206</v>
      </c>
      <c r="D843" t="s">
        <v>8</v>
      </c>
      <c r="E843">
        <v>2023</v>
      </c>
      <c r="F843" t="s">
        <v>184</v>
      </c>
      <c r="G843" t="s">
        <v>1233</v>
      </c>
      <c r="H843" t="s">
        <v>354</v>
      </c>
      <c r="I843" t="s">
        <v>1373</v>
      </c>
      <c r="J843" t="s">
        <v>35</v>
      </c>
      <c r="K843" t="s">
        <v>354</v>
      </c>
      <c r="L843" t="s">
        <v>809</v>
      </c>
      <c r="M843" t="s">
        <v>802</v>
      </c>
      <c r="N843" t="s">
        <v>813</v>
      </c>
      <c r="O843" t="s">
        <v>391</v>
      </c>
      <c r="P843" t="s">
        <v>831</v>
      </c>
    </row>
    <row r="844" spans="1:16" x14ac:dyDescent="0.25">
      <c r="A844" t="s">
        <v>1305</v>
      </c>
      <c r="B844" t="s">
        <v>116</v>
      </c>
      <c r="C844" t="s">
        <v>1234</v>
      </c>
      <c r="D844" t="s">
        <v>8</v>
      </c>
      <c r="E844">
        <v>2023</v>
      </c>
      <c r="F844" t="s">
        <v>184</v>
      </c>
      <c r="G844" t="s">
        <v>1236</v>
      </c>
      <c r="H844" t="s">
        <v>354</v>
      </c>
      <c r="I844" t="s">
        <v>1373</v>
      </c>
      <c r="J844" t="s">
        <v>35</v>
      </c>
      <c r="K844" t="s">
        <v>354</v>
      </c>
      <c r="L844" t="s">
        <v>809</v>
      </c>
      <c r="M844" t="s">
        <v>802</v>
      </c>
      <c r="N844" t="s">
        <v>817</v>
      </c>
      <c r="O844" t="s">
        <v>394</v>
      </c>
      <c r="P844" t="s">
        <v>829</v>
      </c>
    </row>
    <row r="845" spans="1:16" x14ac:dyDescent="0.25">
      <c r="A845" t="s">
        <v>1305</v>
      </c>
      <c r="B845" t="s">
        <v>116</v>
      </c>
      <c r="C845" t="s">
        <v>1234</v>
      </c>
      <c r="D845" t="s">
        <v>8</v>
      </c>
      <c r="E845">
        <v>2023</v>
      </c>
      <c r="F845" t="s">
        <v>184</v>
      </c>
      <c r="G845" t="s">
        <v>1236</v>
      </c>
      <c r="H845" t="s">
        <v>354</v>
      </c>
      <c r="I845" t="s">
        <v>1373</v>
      </c>
      <c r="J845" t="s">
        <v>35</v>
      </c>
      <c r="K845" t="s">
        <v>354</v>
      </c>
      <c r="L845" t="s">
        <v>809</v>
      </c>
      <c r="M845" t="s">
        <v>802</v>
      </c>
      <c r="N845" t="s">
        <v>813</v>
      </c>
      <c r="O845" t="s">
        <v>391</v>
      </c>
      <c r="P845" t="s">
        <v>829</v>
      </c>
    </row>
    <row r="846" spans="1:16" x14ac:dyDescent="0.25">
      <c r="A846" t="s">
        <v>1306</v>
      </c>
      <c r="B846" t="s">
        <v>116</v>
      </c>
      <c r="C846" t="s">
        <v>1237</v>
      </c>
      <c r="D846" t="s">
        <v>8</v>
      </c>
      <c r="E846">
        <v>2023</v>
      </c>
      <c r="F846" t="s">
        <v>184</v>
      </c>
      <c r="G846" t="s">
        <v>1239</v>
      </c>
      <c r="H846" t="s">
        <v>354</v>
      </c>
      <c r="I846" t="s">
        <v>1240</v>
      </c>
      <c r="J846" t="s">
        <v>35</v>
      </c>
      <c r="K846" t="s">
        <v>354</v>
      </c>
      <c r="L846" t="s">
        <v>809</v>
      </c>
      <c r="M846" t="s">
        <v>36</v>
      </c>
      <c r="N846" t="s">
        <v>817</v>
      </c>
      <c r="O846" t="s">
        <v>394</v>
      </c>
      <c r="P846" t="s">
        <v>829</v>
      </c>
    </row>
    <row r="847" spans="1:16" x14ac:dyDescent="0.25">
      <c r="A847" t="s">
        <v>1306</v>
      </c>
      <c r="B847" t="s">
        <v>116</v>
      </c>
      <c r="C847" t="s">
        <v>1237</v>
      </c>
      <c r="D847" t="s">
        <v>8</v>
      </c>
      <c r="E847">
        <v>2023</v>
      </c>
      <c r="F847" t="s">
        <v>184</v>
      </c>
      <c r="G847" t="s">
        <v>1239</v>
      </c>
      <c r="H847" t="s">
        <v>354</v>
      </c>
      <c r="I847" t="s">
        <v>1240</v>
      </c>
      <c r="J847" t="s">
        <v>35</v>
      </c>
      <c r="K847" t="s">
        <v>354</v>
      </c>
      <c r="L847" t="s">
        <v>809</v>
      </c>
      <c r="M847" t="s">
        <v>36</v>
      </c>
      <c r="N847" t="s">
        <v>813</v>
      </c>
      <c r="O847" t="s">
        <v>391</v>
      </c>
      <c r="P847" t="s">
        <v>829</v>
      </c>
    </row>
    <row r="848" spans="1:16" x14ac:dyDescent="0.25">
      <c r="A848" t="s">
        <v>1307</v>
      </c>
      <c r="B848" t="s">
        <v>116</v>
      </c>
      <c r="C848" t="s">
        <v>1241</v>
      </c>
      <c r="D848" t="s">
        <v>8</v>
      </c>
      <c r="E848">
        <v>2023</v>
      </c>
      <c r="F848" t="s">
        <v>184</v>
      </c>
      <c r="G848" t="s">
        <v>1243</v>
      </c>
      <c r="H848" t="s">
        <v>354</v>
      </c>
      <c r="I848" t="s">
        <v>1240</v>
      </c>
      <c r="J848" t="s">
        <v>35</v>
      </c>
      <c r="K848" t="s">
        <v>354</v>
      </c>
      <c r="L848" t="s">
        <v>809</v>
      </c>
      <c r="M848" t="s">
        <v>36</v>
      </c>
      <c r="N848" t="s">
        <v>817</v>
      </c>
      <c r="O848" t="s">
        <v>394</v>
      </c>
      <c r="P848" t="s">
        <v>829</v>
      </c>
    </row>
    <row r="849" spans="1:16" x14ac:dyDescent="0.25">
      <c r="A849" t="s">
        <v>1307</v>
      </c>
      <c r="B849" t="s">
        <v>116</v>
      </c>
      <c r="C849" t="s">
        <v>1241</v>
      </c>
      <c r="D849" t="s">
        <v>8</v>
      </c>
      <c r="E849">
        <v>2023</v>
      </c>
      <c r="F849" t="s">
        <v>184</v>
      </c>
      <c r="G849" t="s">
        <v>1243</v>
      </c>
      <c r="H849" t="s">
        <v>354</v>
      </c>
      <c r="I849" t="s">
        <v>1240</v>
      </c>
      <c r="J849" t="s">
        <v>35</v>
      </c>
      <c r="K849" t="s">
        <v>354</v>
      </c>
      <c r="L849" t="s">
        <v>809</v>
      </c>
      <c r="M849" t="s">
        <v>36</v>
      </c>
      <c r="N849" t="s">
        <v>813</v>
      </c>
      <c r="O849" t="s">
        <v>391</v>
      </c>
      <c r="P849" t="s">
        <v>829</v>
      </c>
    </row>
    <row r="850" spans="1:16" x14ac:dyDescent="0.25">
      <c r="A850" t="s">
        <v>1308</v>
      </c>
      <c r="B850" t="s">
        <v>116</v>
      </c>
      <c r="C850" t="s">
        <v>1244</v>
      </c>
      <c r="D850" t="s">
        <v>8</v>
      </c>
      <c r="E850">
        <v>2023</v>
      </c>
      <c r="F850" t="s">
        <v>184</v>
      </c>
      <c r="G850" t="s">
        <v>1246</v>
      </c>
      <c r="H850" t="s">
        <v>354</v>
      </c>
      <c r="I850" t="s">
        <v>1373</v>
      </c>
      <c r="J850" t="s">
        <v>35</v>
      </c>
      <c r="K850" t="s">
        <v>354</v>
      </c>
      <c r="L850" t="s">
        <v>809</v>
      </c>
      <c r="M850" t="s">
        <v>36</v>
      </c>
      <c r="N850" t="s">
        <v>817</v>
      </c>
      <c r="O850" t="s">
        <v>394</v>
      </c>
      <c r="P850" t="s">
        <v>829</v>
      </c>
    </row>
    <row r="851" spans="1:16" x14ac:dyDescent="0.25">
      <c r="A851" t="s">
        <v>1308</v>
      </c>
      <c r="B851" t="s">
        <v>116</v>
      </c>
      <c r="C851" t="s">
        <v>1244</v>
      </c>
      <c r="D851" t="s">
        <v>8</v>
      </c>
      <c r="E851">
        <v>2023</v>
      </c>
      <c r="F851" t="s">
        <v>184</v>
      </c>
      <c r="G851" t="s">
        <v>1246</v>
      </c>
      <c r="H851" t="s">
        <v>354</v>
      </c>
      <c r="I851" t="s">
        <v>1373</v>
      </c>
      <c r="J851" t="s">
        <v>35</v>
      </c>
      <c r="K851" t="s">
        <v>354</v>
      </c>
      <c r="L851" t="s">
        <v>809</v>
      </c>
      <c r="M851" t="s">
        <v>36</v>
      </c>
      <c r="N851" t="s">
        <v>813</v>
      </c>
      <c r="O851" t="s">
        <v>391</v>
      </c>
      <c r="P851" t="s">
        <v>829</v>
      </c>
    </row>
    <row r="852" spans="1:16" x14ac:dyDescent="0.25">
      <c r="A852" t="s">
        <v>1309</v>
      </c>
      <c r="B852" t="s">
        <v>116</v>
      </c>
      <c r="C852" t="s">
        <v>1247</v>
      </c>
      <c r="D852" t="s">
        <v>8</v>
      </c>
      <c r="E852">
        <v>2023</v>
      </c>
      <c r="F852" t="s">
        <v>184</v>
      </c>
      <c r="G852" t="s">
        <v>1249</v>
      </c>
      <c r="H852" t="s">
        <v>354</v>
      </c>
      <c r="I852" t="s">
        <v>1240</v>
      </c>
      <c r="J852" t="s">
        <v>35</v>
      </c>
      <c r="K852" t="s">
        <v>354</v>
      </c>
      <c r="L852" t="s">
        <v>809</v>
      </c>
      <c r="M852" t="s">
        <v>36</v>
      </c>
      <c r="N852" t="s">
        <v>817</v>
      </c>
      <c r="O852" t="s">
        <v>394</v>
      </c>
      <c r="P852" t="s">
        <v>829</v>
      </c>
    </row>
    <row r="853" spans="1:16" x14ac:dyDescent="0.25">
      <c r="A853" t="s">
        <v>1309</v>
      </c>
      <c r="B853" t="s">
        <v>116</v>
      </c>
      <c r="C853" t="s">
        <v>1247</v>
      </c>
      <c r="D853" t="s">
        <v>8</v>
      </c>
      <c r="E853">
        <v>2023</v>
      </c>
      <c r="F853" t="s">
        <v>184</v>
      </c>
      <c r="G853" t="s">
        <v>1249</v>
      </c>
      <c r="H853" t="s">
        <v>354</v>
      </c>
      <c r="I853" t="s">
        <v>1240</v>
      </c>
      <c r="J853" t="s">
        <v>35</v>
      </c>
      <c r="K853" t="s">
        <v>354</v>
      </c>
      <c r="L853" t="s">
        <v>809</v>
      </c>
      <c r="M853" t="s">
        <v>36</v>
      </c>
      <c r="N853" t="s">
        <v>813</v>
      </c>
      <c r="O853" t="s">
        <v>391</v>
      </c>
      <c r="P853" t="s">
        <v>829</v>
      </c>
    </row>
    <row r="854" spans="1:16" x14ac:dyDescent="0.25">
      <c r="A854" t="s">
        <v>1310</v>
      </c>
      <c r="B854" t="s">
        <v>116</v>
      </c>
      <c r="C854" t="s">
        <v>1250</v>
      </c>
      <c r="D854" t="s">
        <v>8</v>
      </c>
      <c r="E854">
        <v>2023</v>
      </c>
      <c r="F854" t="s">
        <v>184</v>
      </c>
      <c r="G854" t="s">
        <v>1252</v>
      </c>
      <c r="H854" t="s">
        <v>354</v>
      </c>
      <c r="I854" t="s">
        <v>1373</v>
      </c>
      <c r="J854" t="s">
        <v>35</v>
      </c>
      <c r="K854" t="s">
        <v>354</v>
      </c>
      <c r="L854" t="s">
        <v>809</v>
      </c>
      <c r="M854" t="s">
        <v>36</v>
      </c>
      <c r="N854" t="s">
        <v>817</v>
      </c>
      <c r="O854" t="s">
        <v>394</v>
      </c>
      <c r="P854" t="s">
        <v>829</v>
      </c>
    </row>
    <row r="855" spans="1:16" x14ac:dyDescent="0.25">
      <c r="A855" t="s">
        <v>1310</v>
      </c>
      <c r="B855" t="s">
        <v>116</v>
      </c>
      <c r="C855" t="s">
        <v>1250</v>
      </c>
      <c r="D855" t="s">
        <v>8</v>
      </c>
      <c r="E855">
        <v>2023</v>
      </c>
      <c r="F855" t="s">
        <v>184</v>
      </c>
      <c r="G855" t="s">
        <v>1252</v>
      </c>
      <c r="H855" t="s">
        <v>354</v>
      </c>
      <c r="I855" t="s">
        <v>1373</v>
      </c>
      <c r="J855" t="s">
        <v>35</v>
      </c>
      <c r="K855" t="s">
        <v>354</v>
      </c>
      <c r="L855" t="s">
        <v>809</v>
      </c>
      <c r="M855" t="s">
        <v>36</v>
      </c>
      <c r="N855" t="s">
        <v>813</v>
      </c>
      <c r="O855" t="s">
        <v>391</v>
      </c>
      <c r="P855" t="s">
        <v>829</v>
      </c>
    </row>
    <row r="856" spans="1:16" x14ac:dyDescent="0.25">
      <c r="A856" t="s">
        <v>1311</v>
      </c>
      <c r="B856" t="s">
        <v>116</v>
      </c>
      <c r="C856" t="s">
        <v>1253</v>
      </c>
      <c r="D856" t="s">
        <v>8</v>
      </c>
      <c r="E856">
        <v>2023</v>
      </c>
      <c r="F856" t="s">
        <v>184</v>
      </c>
      <c r="G856" t="s">
        <v>1255</v>
      </c>
      <c r="H856" t="s">
        <v>354</v>
      </c>
      <c r="I856" t="s">
        <v>1373</v>
      </c>
      <c r="J856" t="s">
        <v>35</v>
      </c>
      <c r="K856" t="s">
        <v>354</v>
      </c>
      <c r="L856" t="s">
        <v>809</v>
      </c>
      <c r="M856" t="s">
        <v>803</v>
      </c>
      <c r="N856" t="s">
        <v>815</v>
      </c>
      <c r="O856" t="s">
        <v>403</v>
      </c>
      <c r="P856" t="s">
        <v>823</v>
      </c>
    </row>
    <row r="857" spans="1:16" x14ac:dyDescent="0.25">
      <c r="A857" t="s">
        <v>1312</v>
      </c>
      <c r="B857" t="s">
        <v>116</v>
      </c>
      <c r="C857" t="s">
        <v>1256</v>
      </c>
      <c r="D857" t="s">
        <v>8</v>
      </c>
      <c r="E857">
        <v>2023</v>
      </c>
      <c r="F857" t="s">
        <v>184</v>
      </c>
      <c r="G857" t="s">
        <v>1258</v>
      </c>
      <c r="H857" t="s">
        <v>354</v>
      </c>
      <c r="I857" t="s">
        <v>1373</v>
      </c>
      <c r="J857" t="s">
        <v>35</v>
      </c>
      <c r="K857" t="s">
        <v>354</v>
      </c>
      <c r="L857" t="s">
        <v>809</v>
      </c>
      <c r="M857" t="s">
        <v>803</v>
      </c>
      <c r="N857" t="s">
        <v>815</v>
      </c>
      <c r="O857" t="s">
        <v>403</v>
      </c>
      <c r="P857" t="s">
        <v>823</v>
      </c>
    </row>
    <row r="858" spans="1:16" x14ac:dyDescent="0.25">
      <c r="A858" t="s">
        <v>1313</v>
      </c>
      <c r="B858" t="s">
        <v>116</v>
      </c>
      <c r="C858" t="s">
        <v>1259</v>
      </c>
      <c r="D858" t="s">
        <v>8</v>
      </c>
      <c r="E858">
        <v>2023</v>
      </c>
      <c r="F858" t="s">
        <v>184</v>
      </c>
      <c r="G858" t="s">
        <v>1261</v>
      </c>
      <c r="H858" t="s">
        <v>354</v>
      </c>
      <c r="I858" t="s">
        <v>1262</v>
      </c>
      <c r="J858" t="s">
        <v>35</v>
      </c>
      <c r="K858" t="s">
        <v>354</v>
      </c>
      <c r="L858" t="s">
        <v>809</v>
      </c>
      <c r="M858" t="s">
        <v>803</v>
      </c>
      <c r="N858" t="s">
        <v>815</v>
      </c>
      <c r="O858" t="s">
        <v>403</v>
      </c>
      <c r="P858" t="s">
        <v>823</v>
      </c>
    </row>
    <row r="859" spans="1:16" x14ac:dyDescent="0.25">
      <c r="A859" t="s">
        <v>1313</v>
      </c>
      <c r="B859" t="s">
        <v>116</v>
      </c>
      <c r="C859" t="s">
        <v>1259</v>
      </c>
      <c r="D859" t="s">
        <v>8</v>
      </c>
      <c r="E859">
        <v>2023</v>
      </c>
      <c r="F859" t="s">
        <v>184</v>
      </c>
      <c r="G859" t="s">
        <v>1261</v>
      </c>
      <c r="H859" t="s">
        <v>354</v>
      </c>
      <c r="I859" t="s">
        <v>1262</v>
      </c>
      <c r="J859" t="s">
        <v>35</v>
      </c>
      <c r="K859" t="s">
        <v>354</v>
      </c>
      <c r="L859" t="s">
        <v>809</v>
      </c>
      <c r="M859" t="s">
        <v>802</v>
      </c>
      <c r="N859" t="s">
        <v>815</v>
      </c>
      <c r="O859" t="s">
        <v>403</v>
      </c>
      <c r="P859" t="s">
        <v>823</v>
      </c>
    </row>
    <row r="860" spans="1:16" x14ac:dyDescent="0.25">
      <c r="A860" t="s">
        <v>1313</v>
      </c>
      <c r="B860" t="s">
        <v>116</v>
      </c>
      <c r="C860" t="s">
        <v>1259</v>
      </c>
      <c r="D860" t="s">
        <v>8</v>
      </c>
      <c r="E860">
        <v>2023</v>
      </c>
      <c r="F860" t="s">
        <v>184</v>
      </c>
      <c r="G860" t="s">
        <v>1261</v>
      </c>
      <c r="H860" t="s">
        <v>354</v>
      </c>
      <c r="I860" t="s">
        <v>1262</v>
      </c>
      <c r="J860" t="s">
        <v>35</v>
      </c>
      <c r="K860" t="s">
        <v>354</v>
      </c>
      <c r="L860" t="s">
        <v>809</v>
      </c>
      <c r="M860" t="s">
        <v>90</v>
      </c>
      <c r="N860" t="s">
        <v>815</v>
      </c>
      <c r="O860" t="s">
        <v>403</v>
      </c>
      <c r="P860" t="s">
        <v>823</v>
      </c>
    </row>
    <row r="861" spans="1:16" x14ac:dyDescent="0.25">
      <c r="A861" t="s">
        <v>1313</v>
      </c>
      <c r="B861" t="s">
        <v>116</v>
      </c>
      <c r="C861" t="s">
        <v>1259</v>
      </c>
      <c r="D861" t="s">
        <v>8</v>
      </c>
      <c r="E861">
        <v>2023</v>
      </c>
      <c r="F861" t="s">
        <v>184</v>
      </c>
      <c r="G861" t="s">
        <v>1261</v>
      </c>
      <c r="H861" t="s">
        <v>354</v>
      </c>
      <c r="I861" t="s">
        <v>1262</v>
      </c>
      <c r="J861" t="s">
        <v>35</v>
      </c>
      <c r="K861" t="s">
        <v>354</v>
      </c>
      <c r="L861" t="s">
        <v>809</v>
      </c>
      <c r="M861" t="s">
        <v>804</v>
      </c>
      <c r="N861" t="s">
        <v>815</v>
      </c>
      <c r="O861" t="s">
        <v>403</v>
      </c>
      <c r="P861" t="s">
        <v>823</v>
      </c>
    </row>
    <row r="862" spans="1:16" x14ac:dyDescent="0.25">
      <c r="A862" t="s">
        <v>1314</v>
      </c>
      <c r="B862" t="s">
        <v>116</v>
      </c>
      <c r="C862" t="s">
        <v>1263</v>
      </c>
      <c r="D862" t="s">
        <v>8</v>
      </c>
      <c r="E862">
        <v>2023</v>
      </c>
      <c r="F862" t="s">
        <v>184</v>
      </c>
      <c r="G862" t="s">
        <v>1265</v>
      </c>
      <c r="H862" t="s">
        <v>354</v>
      </c>
      <c r="I862" t="s">
        <v>1373</v>
      </c>
      <c r="J862" t="s">
        <v>35</v>
      </c>
      <c r="K862" t="s">
        <v>354</v>
      </c>
      <c r="L862" t="s">
        <v>809</v>
      </c>
      <c r="M862" t="s">
        <v>803</v>
      </c>
      <c r="N862" t="s">
        <v>815</v>
      </c>
      <c r="O862" t="s">
        <v>403</v>
      </c>
      <c r="P862" t="s">
        <v>823</v>
      </c>
    </row>
    <row r="863" spans="1:16" x14ac:dyDescent="0.25">
      <c r="A863" t="s">
        <v>1314</v>
      </c>
      <c r="B863" t="s">
        <v>116</v>
      </c>
      <c r="C863" t="s">
        <v>1263</v>
      </c>
      <c r="D863" t="s">
        <v>8</v>
      </c>
      <c r="E863">
        <v>2023</v>
      </c>
      <c r="F863" t="s">
        <v>184</v>
      </c>
      <c r="G863" t="s">
        <v>1265</v>
      </c>
      <c r="H863" t="s">
        <v>354</v>
      </c>
      <c r="I863" t="s">
        <v>1373</v>
      </c>
      <c r="J863" t="s">
        <v>35</v>
      </c>
      <c r="K863" t="s">
        <v>354</v>
      </c>
      <c r="L863" t="s">
        <v>809</v>
      </c>
      <c r="M863" t="s">
        <v>802</v>
      </c>
      <c r="N863" t="s">
        <v>815</v>
      </c>
      <c r="O863" t="s">
        <v>403</v>
      </c>
      <c r="P863" t="s">
        <v>823</v>
      </c>
    </row>
    <row r="864" spans="1:16" x14ac:dyDescent="0.25">
      <c r="A864" t="s">
        <v>1314</v>
      </c>
      <c r="B864" t="s">
        <v>116</v>
      </c>
      <c r="C864" t="s">
        <v>1263</v>
      </c>
      <c r="D864" t="s">
        <v>8</v>
      </c>
      <c r="E864">
        <v>2023</v>
      </c>
      <c r="F864" t="s">
        <v>184</v>
      </c>
      <c r="G864" t="s">
        <v>1265</v>
      </c>
      <c r="H864" t="s">
        <v>354</v>
      </c>
      <c r="I864" t="s">
        <v>1373</v>
      </c>
      <c r="J864" t="s">
        <v>35</v>
      </c>
      <c r="K864" t="s">
        <v>354</v>
      </c>
      <c r="L864" t="s">
        <v>809</v>
      </c>
      <c r="M864" t="s">
        <v>90</v>
      </c>
      <c r="N864" t="s">
        <v>815</v>
      </c>
      <c r="O864" t="s">
        <v>403</v>
      </c>
      <c r="P864" t="s">
        <v>823</v>
      </c>
    </row>
    <row r="865" spans="1:16" x14ac:dyDescent="0.25">
      <c r="A865" t="s">
        <v>1314</v>
      </c>
      <c r="B865" t="s">
        <v>116</v>
      </c>
      <c r="C865" t="s">
        <v>1263</v>
      </c>
      <c r="D865" t="s">
        <v>8</v>
      </c>
      <c r="E865">
        <v>2023</v>
      </c>
      <c r="F865" t="s">
        <v>184</v>
      </c>
      <c r="G865" t="s">
        <v>1265</v>
      </c>
      <c r="H865" t="s">
        <v>354</v>
      </c>
      <c r="I865" t="s">
        <v>1373</v>
      </c>
      <c r="J865" t="s">
        <v>35</v>
      </c>
      <c r="K865" t="s">
        <v>354</v>
      </c>
      <c r="L865" t="s">
        <v>809</v>
      </c>
      <c r="M865" t="s">
        <v>804</v>
      </c>
      <c r="N865" t="s">
        <v>815</v>
      </c>
      <c r="O865" t="s">
        <v>403</v>
      </c>
      <c r="P865" t="s">
        <v>823</v>
      </c>
    </row>
    <row r="866" spans="1:16" x14ac:dyDescent="0.25">
      <c r="A866" t="s">
        <v>1315</v>
      </c>
      <c r="B866" t="s">
        <v>116</v>
      </c>
      <c r="C866" t="s">
        <v>1266</v>
      </c>
      <c r="D866" t="s">
        <v>8</v>
      </c>
      <c r="E866">
        <v>2023</v>
      </c>
      <c r="F866" t="s">
        <v>184</v>
      </c>
      <c r="G866" t="s">
        <v>1268</v>
      </c>
      <c r="H866" t="s">
        <v>354</v>
      </c>
      <c r="I866" t="s">
        <v>1373</v>
      </c>
      <c r="J866" t="s">
        <v>35</v>
      </c>
      <c r="K866" t="s">
        <v>354</v>
      </c>
      <c r="L866" t="s">
        <v>809</v>
      </c>
      <c r="M866" t="s">
        <v>803</v>
      </c>
      <c r="N866" t="s">
        <v>815</v>
      </c>
      <c r="O866" t="s">
        <v>403</v>
      </c>
      <c r="P866" t="s">
        <v>823</v>
      </c>
    </row>
    <row r="867" spans="1:16" x14ac:dyDescent="0.25">
      <c r="A867" t="s">
        <v>1315</v>
      </c>
      <c r="B867" t="s">
        <v>116</v>
      </c>
      <c r="C867" t="s">
        <v>1266</v>
      </c>
      <c r="D867" t="s">
        <v>8</v>
      </c>
      <c r="E867">
        <v>2023</v>
      </c>
      <c r="F867" t="s">
        <v>184</v>
      </c>
      <c r="G867" t="s">
        <v>1268</v>
      </c>
      <c r="H867" t="s">
        <v>354</v>
      </c>
      <c r="I867" t="s">
        <v>1373</v>
      </c>
      <c r="J867" t="s">
        <v>35</v>
      </c>
      <c r="K867" t="s">
        <v>354</v>
      </c>
      <c r="L867" t="s">
        <v>809</v>
      </c>
      <c r="M867" t="s">
        <v>802</v>
      </c>
      <c r="N867" t="s">
        <v>815</v>
      </c>
      <c r="O867" t="s">
        <v>403</v>
      </c>
      <c r="P867" t="s">
        <v>823</v>
      </c>
    </row>
    <row r="868" spans="1:16" x14ac:dyDescent="0.25">
      <c r="A868" t="s">
        <v>1316</v>
      </c>
      <c r="B868" t="s">
        <v>116</v>
      </c>
      <c r="C868" t="s">
        <v>1269</v>
      </c>
      <c r="D868" t="s">
        <v>8</v>
      </c>
      <c r="E868">
        <v>2023</v>
      </c>
      <c r="F868" t="s">
        <v>184</v>
      </c>
      <c r="G868" t="s">
        <v>1271</v>
      </c>
      <c r="H868" t="s">
        <v>354</v>
      </c>
      <c r="I868" t="s">
        <v>1272</v>
      </c>
      <c r="J868" t="s">
        <v>35</v>
      </c>
      <c r="K868" t="s">
        <v>354</v>
      </c>
      <c r="L868" t="s">
        <v>809</v>
      </c>
      <c r="M868" t="s">
        <v>90</v>
      </c>
      <c r="N868" t="s">
        <v>814</v>
      </c>
      <c r="O868" t="s">
        <v>392</v>
      </c>
      <c r="P868" t="s">
        <v>825</v>
      </c>
    </row>
    <row r="869" spans="1:16" x14ac:dyDescent="0.25">
      <c r="A869" t="s">
        <v>1316</v>
      </c>
      <c r="B869" t="s">
        <v>116</v>
      </c>
      <c r="C869" t="s">
        <v>1269</v>
      </c>
      <c r="D869" t="s">
        <v>8</v>
      </c>
      <c r="E869">
        <v>2023</v>
      </c>
      <c r="F869" t="s">
        <v>184</v>
      </c>
      <c r="G869" t="s">
        <v>1271</v>
      </c>
      <c r="H869" t="s">
        <v>354</v>
      </c>
      <c r="I869" t="s">
        <v>1272</v>
      </c>
      <c r="J869" t="s">
        <v>35</v>
      </c>
      <c r="K869" t="s">
        <v>354</v>
      </c>
      <c r="L869" t="s">
        <v>809</v>
      </c>
      <c r="M869" t="s">
        <v>36</v>
      </c>
      <c r="N869" t="s">
        <v>814</v>
      </c>
      <c r="O869" t="s">
        <v>392</v>
      </c>
      <c r="P869" t="s">
        <v>825</v>
      </c>
    </row>
    <row r="870" spans="1:16" x14ac:dyDescent="0.25">
      <c r="A870" t="s">
        <v>1317</v>
      </c>
      <c r="B870" t="s">
        <v>116</v>
      </c>
      <c r="C870" t="s">
        <v>1273</v>
      </c>
      <c r="D870" t="s">
        <v>8</v>
      </c>
      <c r="E870">
        <v>2023</v>
      </c>
      <c r="F870" t="s">
        <v>184</v>
      </c>
      <c r="G870" t="s">
        <v>1275</v>
      </c>
      <c r="H870" t="s">
        <v>354</v>
      </c>
      <c r="I870" t="s">
        <v>1272</v>
      </c>
      <c r="J870" t="s">
        <v>35</v>
      </c>
      <c r="K870" t="s">
        <v>354</v>
      </c>
      <c r="L870" t="s">
        <v>809</v>
      </c>
      <c r="M870" t="s">
        <v>90</v>
      </c>
      <c r="N870" t="s">
        <v>817</v>
      </c>
      <c r="O870" t="s">
        <v>394</v>
      </c>
      <c r="P870" t="s">
        <v>826</v>
      </c>
    </row>
    <row r="871" spans="1:16" x14ac:dyDescent="0.25">
      <c r="A871" t="s">
        <v>1317</v>
      </c>
      <c r="B871" t="s">
        <v>116</v>
      </c>
      <c r="C871" t="s">
        <v>1273</v>
      </c>
      <c r="D871" t="s">
        <v>8</v>
      </c>
      <c r="E871">
        <v>2023</v>
      </c>
      <c r="F871" t="s">
        <v>184</v>
      </c>
      <c r="G871" t="s">
        <v>1275</v>
      </c>
      <c r="H871" t="s">
        <v>354</v>
      </c>
      <c r="I871" t="s">
        <v>1272</v>
      </c>
      <c r="J871" t="s">
        <v>35</v>
      </c>
      <c r="K871" t="s">
        <v>354</v>
      </c>
      <c r="L871" t="s">
        <v>809</v>
      </c>
      <c r="M871" t="s">
        <v>36</v>
      </c>
      <c r="N871" t="s">
        <v>817</v>
      </c>
      <c r="O871" t="s">
        <v>394</v>
      </c>
      <c r="P871" t="s">
        <v>826</v>
      </c>
    </row>
    <row r="872" spans="1:16" x14ac:dyDescent="0.25">
      <c r="A872" t="s">
        <v>1318</v>
      </c>
      <c r="B872" t="s">
        <v>116</v>
      </c>
      <c r="C872" t="s">
        <v>1276</v>
      </c>
      <c r="D872" t="s">
        <v>8</v>
      </c>
      <c r="E872">
        <v>2023</v>
      </c>
      <c r="F872" t="s">
        <v>184</v>
      </c>
      <c r="G872" t="s">
        <v>1278</v>
      </c>
      <c r="H872" t="s">
        <v>354</v>
      </c>
      <c r="I872" t="s">
        <v>1272</v>
      </c>
      <c r="J872" t="s">
        <v>35</v>
      </c>
      <c r="K872" t="s">
        <v>354</v>
      </c>
      <c r="L872" t="s">
        <v>809</v>
      </c>
      <c r="M872" t="s">
        <v>90</v>
      </c>
      <c r="N872" t="s">
        <v>817</v>
      </c>
      <c r="O872" t="s">
        <v>394</v>
      </c>
      <c r="P872" t="s">
        <v>826</v>
      </c>
    </row>
    <row r="873" spans="1:16" x14ac:dyDescent="0.25">
      <c r="A873" t="s">
        <v>1318</v>
      </c>
      <c r="B873" t="s">
        <v>116</v>
      </c>
      <c r="C873" t="s">
        <v>1276</v>
      </c>
      <c r="D873" t="s">
        <v>8</v>
      </c>
      <c r="E873">
        <v>2023</v>
      </c>
      <c r="F873" t="s">
        <v>184</v>
      </c>
      <c r="G873" t="s">
        <v>1278</v>
      </c>
      <c r="H873" t="s">
        <v>354</v>
      </c>
      <c r="I873" t="s">
        <v>1272</v>
      </c>
      <c r="J873" t="s">
        <v>35</v>
      </c>
      <c r="K873" t="s">
        <v>354</v>
      </c>
      <c r="L873" t="s">
        <v>809</v>
      </c>
      <c r="M873" t="s">
        <v>36</v>
      </c>
      <c r="N873" t="s">
        <v>817</v>
      </c>
      <c r="O873" t="s">
        <v>394</v>
      </c>
      <c r="P873" t="s">
        <v>826</v>
      </c>
    </row>
    <row r="874" spans="1:16" x14ac:dyDescent="0.25">
      <c r="A874" t="s">
        <v>1319</v>
      </c>
      <c r="B874" t="s">
        <v>116</v>
      </c>
      <c r="C874" t="s">
        <v>1279</v>
      </c>
      <c r="D874" t="s">
        <v>8</v>
      </c>
      <c r="E874">
        <v>2023</v>
      </c>
      <c r="F874" t="s">
        <v>184</v>
      </c>
      <c r="G874" t="s">
        <v>1281</v>
      </c>
      <c r="H874" t="s">
        <v>354</v>
      </c>
      <c r="I874" t="s">
        <v>1272</v>
      </c>
      <c r="J874" t="s">
        <v>35</v>
      </c>
      <c r="K874" t="s">
        <v>354</v>
      </c>
      <c r="L874" t="s">
        <v>809</v>
      </c>
      <c r="M874" t="s">
        <v>90</v>
      </c>
      <c r="N874" t="s">
        <v>817</v>
      </c>
      <c r="O874" t="s">
        <v>394</v>
      </c>
      <c r="P874" t="s">
        <v>826</v>
      </c>
    </row>
    <row r="875" spans="1:16" x14ac:dyDescent="0.25">
      <c r="A875" t="s">
        <v>1319</v>
      </c>
      <c r="B875" t="s">
        <v>116</v>
      </c>
      <c r="C875" t="s">
        <v>1279</v>
      </c>
      <c r="D875" t="s">
        <v>8</v>
      </c>
      <c r="E875">
        <v>2023</v>
      </c>
      <c r="F875" t="s">
        <v>184</v>
      </c>
      <c r="G875" t="s">
        <v>1281</v>
      </c>
      <c r="H875" t="s">
        <v>354</v>
      </c>
      <c r="I875" t="s">
        <v>1272</v>
      </c>
      <c r="J875" t="s">
        <v>35</v>
      </c>
      <c r="K875" t="s">
        <v>354</v>
      </c>
      <c r="L875" t="s">
        <v>809</v>
      </c>
      <c r="M875" t="s">
        <v>36</v>
      </c>
      <c r="N875" t="s">
        <v>817</v>
      </c>
      <c r="O875" t="s">
        <v>394</v>
      </c>
      <c r="P875" t="s">
        <v>826</v>
      </c>
    </row>
    <row r="876" spans="1:16" x14ac:dyDescent="0.25">
      <c r="A876" t="s">
        <v>1320</v>
      </c>
      <c r="B876" t="s">
        <v>116</v>
      </c>
      <c r="C876" t="s">
        <v>1282</v>
      </c>
      <c r="D876" t="s">
        <v>8</v>
      </c>
      <c r="E876">
        <v>2023</v>
      </c>
      <c r="F876" t="s">
        <v>184</v>
      </c>
      <c r="G876" t="s">
        <v>1284</v>
      </c>
      <c r="H876" t="s">
        <v>354</v>
      </c>
      <c r="I876" t="s">
        <v>1272</v>
      </c>
      <c r="J876" t="s">
        <v>35</v>
      </c>
      <c r="K876" t="s">
        <v>354</v>
      </c>
      <c r="L876" t="s">
        <v>809</v>
      </c>
      <c r="M876" t="s">
        <v>90</v>
      </c>
      <c r="N876" t="s">
        <v>814</v>
      </c>
      <c r="O876" t="s">
        <v>392</v>
      </c>
      <c r="P876" t="s">
        <v>825</v>
      </c>
    </row>
    <row r="877" spans="1:16" x14ac:dyDescent="0.25">
      <c r="A877" t="s">
        <v>1320</v>
      </c>
      <c r="B877" t="s">
        <v>116</v>
      </c>
      <c r="C877" t="s">
        <v>1282</v>
      </c>
      <c r="D877" t="s">
        <v>8</v>
      </c>
      <c r="E877">
        <v>2023</v>
      </c>
      <c r="F877" t="s">
        <v>184</v>
      </c>
      <c r="G877" t="s">
        <v>1284</v>
      </c>
      <c r="H877" t="s">
        <v>354</v>
      </c>
      <c r="I877" t="s">
        <v>1272</v>
      </c>
      <c r="J877" t="s">
        <v>35</v>
      </c>
      <c r="K877" t="s">
        <v>354</v>
      </c>
      <c r="L877" t="s">
        <v>809</v>
      </c>
      <c r="M877" t="s">
        <v>36</v>
      </c>
      <c r="N877" t="s">
        <v>814</v>
      </c>
      <c r="O877" t="s">
        <v>392</v>
      </c>
      <c r="P877" t="s">
        <v>825</v>
      </c>
    </row>
    <row r="878" spans="1:16" x14ac:dyDescent="0.25">
      <c r="A878" t="s">
        <v>1321</v>
      </c>
      <c r="B878" t="s">
        <v>116</v>
      </c>
      <c r="C878" t="s">
        <v>1285</v>
      </c>
      <c r="D878" t="s">
        <v>8</v>
      </c>
      <c r="E878">
        <v>2021</v>
      </c>
      <c r="F878" t="s">
        <v>189</v>
      </c>
      <c r="G878" t="s">
        <v>1288</v>
      </c>
      <c r="H878" t="s">
        <v>354</v>
      </c>
      <c r="I878" t="s">
        <v>1289</v>
      </c>
      <c r="J878" t="s">
        <v>35</v>
      </c>
      <c r="K878" t="s">
        <v>354</v>
      </c>
      <c r="L878" t="s">
        <v>809</v>
      </c>
      <c r="M878" t="s">
        <v>90</v>
      </c>
      <c r="N878" t="s">
        <v>367</v>
      </c>
      <c r="O878" t="s">
        <v>388</v>
      </c>
      <c r="P878" t="s">
        <v>371</v>
      </c>
    </row>
    <row r="879" spans="1:16" x14ac:dyDescent="0.25">
      <c r="A879" t="s">
        <v>1321</v>
      </c>
      <c r="B879" t="s">
        <v>116</v>
      </c>
      <c r="C879" t="s">
        <v>1285</v>
      </c>
      <c r="D879" t="s">
        <v>8</v>
      </c>
      <c r="E879">
        <v>2021</v>
      </c>
      <c r="F879" t="s">
        <v>189</v>
      </c>
      <c r="G879" t="s">
        <v>1288</v>
      </c>
      <c r="H879" t="s">
        <v>354</v>
      </c>
      <c r="I879" t="s">
        <v>1289</v>
      </c>
      <c r="J879" t="s">
        <v>35</v>
      </c>
      <c r="K879" t="s">
        <v>354</v>
      </c>
      <c r="L879" t="s">
        <v>809</v>
      </c>
      <c r="M879" t="s">
        <v>36</v>
      </c>
      <c r="N879" t="s">
        <v>367</v>
      </c>
      <c r="O879" t="s">
        <v>388</v>
      </c>
      <c r="P879" t="s">
        <v>371</v>
      </c>
    </row>
    <row r="880" spans="1:16" x14ac:dyDescent="0.25">
      <c r="A880" t="s">
        <v>1322</v>
      </c>
      <c r="B880" t="s">
        <v>116</v>
      </c>
      <c r="C880" t="s">
        <v>1290</v>
      </c>
      <c r="D880" t="s">
        <v>8</v>
      </c>
      <c r="E880">
        <v>2025</v>
      </c>
      <c r="F880" t="s">
        <v>188</v>
      </c>
      <c r="G880" t="s">
        <v>1292</v>
      </c>
      <c r="H880" t="s">
        <v>354</v>
      </c>
      <c r="I880" t="s">
        <v>1293</v>
      </c>
      <c r="J880" t="s">
        <v>35</v>
      </c>
      <c r="K880" t="s">
        <v>37</v>
      </c>
      <c r="L880" t="s">
        <v>809</v>
      </c>
      <c r="M880" t="s">
        <v>802</v>
      </c>
      <c r="N880" t="s">
        <v>816</v>
      </c>
      <c r="O880" t="s">
        <v>404</v>
      </c>
      <c r="P880" t="s">
        <v>908</v>
      </c>
    </row>
    <row r="881" spans="1:16" x14ac:dyDescent="0.25">
      <c r="A881" t="s">
        <v>1322</v>
      </c>
      <c r="B881" t="s">
        <v>116</v>
      </c>
      <c r="C881" t="s">
        <v>1290</v>
      </c>
      <c r="D881" t="s">
        <v>8</v>
      </c>
      <c r="E881">
        <v>2025</v>
      </c>
      <c r="F881" t="s">
        <v>188</v>
      </c>
      <c r="G881" t="s">
        <v>1292</v>
      </c>
      <c r="H881" t="s">
        <v>354</v>
      </c>
      <c r="I881" t="s">
        <v>1293</v>
      </c>
      <c r="J881" t="s">
        <v>35</v>
      </c>
      <c r="K881" t="s">
        <v>37</v>
      </c>
      <c r="L881" t="s">
        <v>809</v>
      </c>
      <c r="M881" t="s">
        <v>802</v>
      </c>
      <c r="N881" t="s">
        <v>813</v>
      </c>
      <c r="O881" t="s">
        <v>391</v>
      </c>
      <c r="P881" t="s">
        <v>908</v>
      </c>
    </row>
    <row r="882" spans="1:16" x14ac:dyDescent="0.25">
      <c r="A882" t="s">
        <v>1322</v>
      </c>
      <c r="B882" t="s">
        <v>116</v>
      </c>
      <c r="C882" t="s">
        <v>1290</v>
      </c>
      <c r="D882" t="s">
        <v>8</v>
      </c>
      <c r="E882">
        <v>2025</v>
      </c>
      <c r="F882" t="s">
        <v>188</v>
      </c>
      <c r="G882" t="s">
        <v>1292</v>
      </c>
      <c r="H882" t="s">
        <v>354</v>
      </c>
      <c r="I882" t="s">
        <v>1293</v>
      </c>
      <c r="J882" t="s">
        <v>35</v>
      </c>
      <c r="K882" t="s">
        <v>37</v>
      </c>
      <c r="L882" t="s">
        <v>809</v>
      </c>
      <c r="M882" t="s">
        <v>803</v>
      </c>
      <c r="N882" t="s">
        <v>816</v>
      </c>
      <c r="O882" t="s">
        <v>404</v>
      </c>
      <c r="P882" t="s">
        <v>908</v>
      </c>
    </row>
    <row r="883" spans="1:16" x14ac:dyDescent="0.25">
      <c r="A883" t="s">
        <v>1322</v>
      </c>
      <c r="B883" t="s">
        <v>116</v>
      </c>
      <c r="C883" t="s">
        <v>1290</v>
      </c>
      <c r="D883" t="s">
        <v>8</v>
      </c>
      <c r="E883">
        <v>2025</v>
      </c>
      <c r="F883" t="s">
        <v>188</v>
      </c>
      <c r="G883" t="s">
        <v>1292</v>
      </c>
      <c r="H883" t="s">
        <v>354</v>
      </c>
      <c r="I883" t="s">
        <v>1293</v>
      </c>
      <c r="J883" t="s">
        <v>35</v>
      </c>
      <c r="K883" t="s">
        <v>37</v>
      </c>
      <c r="L883" t="s">
        <v>809</v>
      </c>
      <c r="M883" t="s">
        <v>803</v>
      </c>
      <c r="N883" t="s">
        <v>813</v>
      </c>
      <c r="O883" t="s">
        <v>391</v>
      </c>
      <c r="P883" t="s">
        <v>908</v>
      </c>
    </row>
    <row r="884" spans="1:16" x14ac:dyDescent="0.25">
      <c r="A884" t="s">
        <v>1392</v>
      </c>
      <c r="B884" t="s">
        <v>116</v>
      </c>
      <c r="C884" t="s">
        <v>1323</v>
      </c>
      <c r="D884" t="s">
        <v>8</v>
      </c>
      <c r="E884">
        <v>2025</v>
      </c>
      <c r="F884" t="s">
        <v>184</v>
      </c>
      <c r="G884" t="s">
        <v>1325</v>
      </c>
      <c r="H884" t="s">
        <v>354</v>
      </c>
      <c r="I884" t="s">
        <v>1373</v>
      </c>
      <c r="J884" t="s">
        <v>35</v>
      </c>
      <c r="K884" t="s">
        <v>807</v>
      </c>
      <c r="L884" t="s">
        <v>809</v>
      </c>
      <c r="M884" t="s">
        <v>802</v>
      </c>
      <c r="N884" t="s">
        <v>813</v>
      </c>
      <c r="O884" t="s">
        <v>391</v>
      </c>
      <c r="P884" t="s">
        <v>828</v>
      </c>
    </row>
    <row r="885" spans="1:16" x14ac:dyDescent="0.25">
      <c r="A885" t="s">
        <v>1392</v>
      </c>
      <c r="B885" t="s">
        <v>116</v>
      </c>
      <c r="C885" t="s">
        <v>1323</v>
      </c>
      <c r="D885" t="s">
        <v>8</v>
      </c>
      <c r="E885">
        <v>2025</v>
      </c>
      <c r="F885" t="s">
        <v>184</v>
      </c>
      <c r="G885" t="s">
        <v>1325</v>
      </c>
      <c r="H885" t="s">
        <v>354</v>
      </c>
      <c r="I885" t="s">
        <v>1373</v>
      </c>
      <c r="J885" t="s">
        <v>35</v>
      </c>
      <c r="K885" t="s">
        <v>807</v>
      </c>
      <c r="L885" t="s">
        <v>809</v>
      </c>
      <c r="M885" t="s">
        <v>804</v>
      </c>
      <c r="N885" t="s">
        <v>813</v>
      </c>
      <c r="O885" t="s">
        <v>391</v>
      </c>
      <c r="P885" t="s">
        <v>828</v>
      </c>
    </row>
    <row r="886" spans="1:16" x14ac:dyDescent="0.25">
      <c r="A886" t="s">
        <v>1392</v>
      </c>
      <c r="B886" t="s">
        <v>116</v>
      </c>
      <c r="C886" t="s">
        <v>1323</v>
      </c>
      <c r="D886" t="s">
        <v>8</v>
      </c>
      <c r="E886">
        <v>2025</v>
      </c>
      <c r="F886" t="s">
        <v>184</v>
      </c>
      <c r="G886" t="s">
        <v>1325</v>
      </c>
      <c r="H886" t="s">
        <v>354</v>
      </c>
      <c r="I886" t="s">
        <v>1373</v>
      </c>
      <c r="J886" t="s">
        <v>35</v>
      </c>
      <c r="K886" t="s">
        <v>807</v>
      </c>
      <c r="L886" t="s">
        <v>809</v>
      </c>
      <c r="M886" t="s">
        <v>36</v>
      </c>
      <c r="N886" t="s">
        <v>813</v>
      </c>
      <c r="O886" t="s">
        <v>391</v>
      </c>
      <c r="P886" t="s">
        <v>828</v>
      </c>
    </row>
    <row r="887" spans="1:16" x14ac:dyDescent="0.25">
      <c r="A887" t="s">
        <v>1393</v>
      </c>
      <c r="B887" t="s">
        <v>116</v>
      </c>
      <c r="C887" t="s">
        <v>1327</v>
      </c>
      <c r="D887" t="s">
        <v>8</v>
      </c>
      <c r="E887">
        <v>2025</v>
      </c>
      <c r="F887" t="s">
        <v>184</v>
      </c>
      <c r="G887" t="s">
        <v>1329</v>
      </c>
      <c r="H887" t="s">
        <v>354</v>
      </c>
      <c r="I887" t="s">
        <v>1373</v>
      </c>
      <c r="J887" t="s">
        <v>35</v>
      </c>
      <c r="K887" t="s">
        <v>807</v>
      </c>
      <c r="L887" t="s">
        <v>809</v>
      </c>
      <c r="M887" t="s">
        <v>802</v>
      </c>
      <c r="N887" t="s">
        <v>817</v>
      </c>
      <c r="O887" t="s">
        <v>394</v>
      </c>
      <c r="P887" t="s">
        <v>826</v>
      </c>
    </row>
    <row r="888" spans="1:16" x14ac:dyDescent="0.25">
      <c r="A888" t="s">
        <v>1393</v>
      </c>
      <c r="B888" t="s">
        <v>116</v>
      </c>
      <c r="C888" t="s">
        <v>1327</v>
      </c>
      <c r="D888" t="s">
        <v>8</v>
      </c>
      <c r="E888">
        <v>2025</v>
      </c>
      <c r="F888" t="s">
        <v>184</v>
      </c>
      <c r="G888" t="s">
        <v>1329</v>
      </c>
      <c r="H888" t="s">
        <v>354</v>
      </c>
      <c r="I888" t="s">
        <v>1373</v>
      </c>
      <c r="J888" t="s">
        <v>35</v>
      </c>
      <c r="K888" t="s">
        <v>807</v>
      </c>
      <c r="L888" t="s">
        <v>809</v>
      </c>
      <c r="M888" t="s">
        <v>36</v>
      </c>
      <c r="N888" t="s">
        <v>817</v>
      </c>
      <c r="O888" t="s">
        <v>394</v>
      </c>
      <c r="P888" t="s">
        <v>826</v>
      </c>
    </row>
    <row r="889" spans="1:16" x14ac:dyDescent="0.25">
      <c r="A889" t="s">
        <v>1393</v>
      </c>
      <c r="B889" t="s">
        <v>116</v>
      </c>
      <c r="C889" t="s">
        <v>1327</v>
      </c>
      <c r="D889" t="s">
        <v>8</v>
      </c>
      <c r="E889">
        <v>2025</v>
      </c>
      <c r="F889" t="s">
        <v>184</v>
      </c>
      <c r="G889" t="s">
        <v>1329</v>
      </c>
      <c r="H889" t="s">
        <v>354</v>
      </c>
      <c r="I889" t="s">
        <v>1373</v>
      </c>
      <c r="J889" t="s">
        <v>35</v>
      </c>
      <c r="K889" t="s">
        <v>807</v>
      </c>
      <c r="L889" t="s">
        <v>809</v>
      </c>
      <c r="M889" t="s">
        <v>90</v>
      </c>
      <c r="N889" t="s">
        <v>817</v>
      </c>
      <c r="O889" t="s">
        <v>394</v>
      </c>
      <c r="P889" t="s">
        <v>826</v>
      </c>
    </row>
    <row r="890" spans="1:16" x14ac:dyDescent="0.25">
      <c r="A890" t="s">
        <v>1394</v>
      </c>
      <c r="B890" t="s">
        <v>116</v>
      </c>
      <c r="C890" t="s">
        <v>1330</v>
      </c>
      <c r="D890" t="s">
        <v>8</v>
      </c>
      <c r="E890">
        <v>2025</v>
      </c>
      <c r="F890" t="s">
        <v>135</v>
      </c>
      <c r="G890" t="s">
        <v>1332</v>
      </c>
      <c r="H890" t="s">
        <v>354</v>
      </c>
      <c r="I890" t="s">
        <v>1373</v>
      </c>
      <c r="J890" t="s">
        <v>35</v>
      </c>
      <c r="K890" t="s">
        <v>806</v>
      </c>
      <c r="L890" t="s">
        <v>809</v>
      </c>
      <c r="M890" t="s">
        <v>36</v>
      </c>
      <c r="N890" t="s">
        <v>814</v>
      </c>
      <c r="O890" t="s">
        <v>392</v>
      </c>
      <c r="P890" t="s">
        <v>1372</v>
      </c>
    </row>
    <row r="891" spans="1:16" x14ac:dyDescent="0.25">
      <c r="A891" t="s">
        <v>1394</v>
      </c>
      <c r="B891" t="s">
        <v>116</v>
      </c>
      <c r="C891" t="s">
        <v>1330</v>
      </c>
      <c r="D891" t="s">
        <v>8</v>
      </c>
      <c r="E891">
        <v>2025</v>
      </c>
      <c r="F891" t="s">
        <v>135</v>
      </c>
      <c r="G891" t="s">
        <v>1332</v>
      </c>
      <c r="H891" t="s">
        <v>354</v>
      </c>
      <c r="I891" t="s">
        <v>1373</v>
      </c>
      <c r="J891" t="s">
        <v>35</v>
      </c>
      <c r="K891" t="s">
        <v>806</v>
      </c>
      <c r="L891" t="s">
        <v>809</v>
      </c>
      <c r="M891" t="s">
        <v>36</v>
      </c>
      <c r="N891" t="s">
        <v>368</v>
      </c>
      <c r="O891" t="s">
        <v>390</v>
      </c>
      <c r="P891" t="s">
        <v>1372</v>
      </c>
    </row>
    <row r="892" spans="1:16" x14ac:dyDescent="0.25">
      <c r="A892" t="s">
        <v>1394</v>
      </c>
      <c r="B892" t="s">
        <v>116</v>
      </c>
      <c r="C892" t="s">
        <v>1330</v>
      </c>
      <c r="D892" t="s">
        <v>8</v>
      </c>
      <c r="E892">
        <v>2025</v>
      </c>
      <c r="F892" t="s">
        <v>135</v>
      </c>
      <c r="G892" t="s">
        <v>1332</v>
      </c>
      <c r="H892" t="s">
        <v>354</v>
      </c>
      <c r="I892" t="s">
        <v>1373</v>
      </c>
      <c r="J892" t="s">
        <v>35</v>
      </c>
      <c r="K892" t="s">
        <v>806</v>
      </c>
      <c r="L892" t="s">
        <v>809</v>
      </c>
      <c r="M892" t="s">
        <v>90</v>
      </c>
      <c r="N892" t="s">
        <v>814</v>
      </c>
      <c r="O892" t="s">
        <v>392</v>
      </c>
      <c r="P892" t="s">
        <v>1372</v>
      </c>
    </row>
    <row r="893" spans="1:16" x14ac:dyDescent="0.25">
      <c r="A893" t="s">
        <v>1394</v>
      </c>
      <c r="B893" t="s">
        <v>116</v>
      </c>
      <c r="C893" t="s">
        <v>1330</v>
      </c>
      <c r="D893" t="s">
        <v>8</v>
      </c>
      <c r="E893">
        <v>2025</v>
      </c>
      <c r="F893" t="s">
        <v>135</v>
      </c>
      <c r="G893" t="s">
        <v>1332</v>
      </c>
      <c r="H893" t="s">
        <v>354</v>
      </c>
      <c r="I893" t="s">
        <v>1373</v>
      </c>
      <c r="J893" t="s">
        <v>35</v>
      </c>
      <c r="K893" t="s">
        <v>806</v>
      </c>
      <c r="L893" t="s">
        <v>809</v>
      </c>
      <c r="M893" t="s">
        <v>90</v>
      </c>
      <c r="N893" t="s">
        <v>368</v>
      </c>
      <c r="O893" t="s">
        <v>390</v>
      </c>
      <c r="P893" t="s">
        <v>1372</v>
      </c>
    </row>
    <row r="894" spans="1:16" x14ac:dyDescent="0.25">
      <c r="A894" t="s">
        <v>1394</v>
      </c>
      <c r="B894" t="s">
        <v>116</v>
      </c>
      <c r="C894" t="s">
        <v>1330</v>
      </c>
      <c r="D894" t="s">
        <v>8</v>
      </c>
      <c r="E894">
        <v>2025</v>
      </c>
      <c r="F894" t="s">
        <v>135</v>
      </c>
      <c r="G894" t="s">
        <v>1332</v>
      </c>
      <c r="H894" t="s">
        <v>354</v>
      </c>
      <c r="I894" t="s">
        <v>1373</v>
      </c>
      <c r="J894" t="s">
        <v>35</v>
      </c>
      <c r="K894" t="s">
        <v>806</v>
      </c>
      <c r="L894" t="s">
        <v>809</v>
      </c>
      <c r="M894" t="s">
        <v>802</v>
      </c>
      <c r="N894" t="s">
        <v>814</v>
      </c>
      <c r="O894" t="s">
        <v>392</v>
      </c>
      <c r="P894" t="s">
        <v>1372</v>
      </c>
    </row>
    <row r="895" spans="1:16" x14ac:dyDescent="0.25">
      <c r="A895" t="s">
        <v>1394</v>
      </c>
      <c r="B895" t="s">
        <v>116</v>
      </c>
      <c r="C895" t="s">
        <v>1330</v>
      </c>
      <c r="D895" t="s">
        <v>8</v>
      </c>
      <c r="E895">
        <v>2025</v>
      </c>
      <c r="F895" t="s">
        <v>135</v>
      </c>
      <c r="G895" t="s">
        <v>1332</v>
      </c>
      <c r="H895" t="s">
        <v>354</v>
      </c>
      <c r="I895" t="s">
        <v>1373</v>
      </c>
      <c r="J895" t="s">
        <v>35</v>
      </c>
      <c r="K895" t="s">
        <v>806</v>
      </c>
      <c r="L895" t="s">
        <v>809</v>
      </c>
      <c r="M895" t="s">
        <v>802</v>
      </c>
      <c r="N895" t="s">
        <v>368</v>
      </c>
      <c r="O895" t="s">
        <v>390</v>
      </c>
      <c r="P895" t="s">
        <v>1372</v>
      </c>
    </row>
    <row r="896" spans="1:16" x14ac:dyDescent="0.25">
      <c r="A896" t="s">
        <v>1395</v>
      </c>
      <c r="B896" t="s">
        <v>116</v>
      </c>
      <c r="C896" t="s">
        <v>1333</v>
      </c>
      <c r="D896" t="s">
        <v>8</v>
      </c>
      <c r="E896">
        <v>2025</v>
      </c>
      <c r="F896" t="s">
        <v>135</v>
      </c>
      <c r="G896" t="s">
        <v>1335</v>
      </c>
      <c r="H896" t="s">
        <v>354</v>
      </c>
      <c r="I896" t="s">
        <v>1373</v>
      </c>
      <c r="J896" t="s">
        <v>35</v>
      </c>
      <c r="K896" t="s">
        <v>806</v>
      </c>
      <c r="L896" t="s">
        <v>809</v>
      </c>
      <c r="M896" t="s">
        <v>36</v>
      </c>
      <c r="N896" t="s">
        <v>817</v>
      </c>
      <c r="O896" t="s">
        <v>394</v>
      </c>
      <c r="P896" t="s">
        <v>826</v>
      </c>
    </row>
    <row r="897" spans="1:16" x14ac:dyDescent="0.25">
      <c r="A897" t="s">
        <v>1395</v>
      </c>
      <c r="B897" t="s">
        <v>116</v>
      </c>
      <c r="C897" t="s">
        <v>1333</v>
      </c>
      <c r="D897" t="s">
        <v>8</v>
      </c>
      <c r="E897">
        <v>2025</v>
      </c>
      <c r="F897" t="s">
        <v>135</v>
      </c>
      <c r="G897" t="s">
        <v>1335</v>
      </c>
      <c r="H897" t="s">
        <v>354</v>
      </c>
      <c r="I897" t="s">
        <v>1373</v>
      </c>
      <c r="J897" t="s">
        <v>35</v>
      </c>
      <c r="K897" t="s">
        <v>806</v>
      </c>
      <c r="L897" t="s">
        <v>809</v>
      </c>
      <c r="M897" t="s">
        <v>802</v>
      </c>
      <c r="N897" t="s">
        <v>817</v>
      </c>
      <c r="O897" t="s">
        <v>394</v>
      </c>
      <c r="P897" t="s">
        <v>826</v>
      </c>
    </row>
    <row r="898" spans="1:16" x14ac:dyDescent="0.25">
      <c r="A898" t="s">
        <v>1395</v>
      </c>
      <c r="B898" t="s">
        <v>116</v>
      </c>
      <c r="C898" t="s">
        <v>1333</v>
      </c>
      <c r="D898" t="s">
        <v>8</v>
      </c>
      <c r="E898">
        <v>2025</v>
      </c>
      <c r="F898" t="s">
        <v>135</v>
      </c>
      <c r="G898" t="s">
        <v>1335</v>
      </c>
      <c r="H898" t="s">
        <v>354</v>
      </c>
      <c r="I898" t="s">
        <v>1373</v>
      </c>
      <c r="J898" t="s">
        <v>35</v>
      </c>
      <c r="K898" t="s">
        <v>806</v>
      </c>
      <c r="L898" t="s">
        <v>809</v>
      </c>
      <c r="M898" t="s">
        <v>90</v>
      </c>
      <c r="N898" t="s">
        <v>817</v>
      </c>
      <c r="O898" t="s">
        <v>394</v>
      </c>
      <c r="P898" t="s">
        <v>826</v>
      </c>
    </row>
    <row r="899" spans="1:16" x14ac:dyDescent="0.25">
      <c r="A899" t="s">
        <v>1396</v>
      </c>
      <c r="B899" t="s">
        <v>116</v>
      </c>
      <c r="C899" t="s">
        <v>1336</v>
      </c>
      <c r="D899" t="s">
        <v>8</v>
      </c>
      <c r="E899">
        <v>2025</v>
      </c>
      <c r="F899" t="s">
        <v>135</v>
      </c>
      <c r="G899" t="s">
        <v>1338</v>
      </c>
      <c r="H899" t="s">
        <v>354</v>
      </c>
      <c r="I899" t="s">
        <v>1373</v>
      </c>
      <c r="J899" t="s">
        <v>35</v>
      </c>
      <c r="K899" t="s">
        <v>806</v>
      </c>
      <c r="L899" t="s">
        <v>809</v>
      </c>
      <c r="M899" t="s">
        <v>36</v>
      </c>
      <c r="N899" t="s">
        <v>813</v>
      </c>
      <c r="O899" t="s">
        <v>391</v>
      </c>
      <c r="P899" t="s">
        <v>828</v>
      </c>
    </row>
    <row r="900" spans="1:16" x14ac:dyDescent="0.25">
      <c r="A900" t="s">
        <v>1396</v>
      </c>
      <c r="B900" t="s">
        <v>116</v>
      </c>
      <c r="C900" t="s">
        <v>1336</v>
      </c>
      <c r="D900" t="s">
        <v>8</v>
      </c>
      <c r="E900">
        <v>2025</v>
      </c>
      <c r="F900" t="s">
        <v>135</v>
      </c>
      <c r="G900" t="s">
        <v>1338</v>
      </c>
      <c r="H900" t="s">
        <v>354</v>
      </c>
      <c r="I900" t="s">
        <v>1373</v>
      </c>
      <c r="J900" t="s">
        <v>35</v>
      </c>
      <c r="K900" t="s">
        <v>806</v>
      </c>
      <c r="L900" t="s">
        <v>809</v>
      </c>
      <c r="M900" t="s">
        <v>802</v>
      </c>
      <c r="N900" t="s">
        <v>813</v>
      </c>
      <c r="O900" t="s">
        <v>391</v>
      </c>
      <c r="P900" t="s">
        <v>828</v>
      </c>
    </row>
    <row r="901" spans="1:16" x14ac:dyDescent="0.25">
      <c r="A901" t="s">
        <v>1396</v>
      </c>
      <c r="B901" t="s">
        <v>116</v>
      </c>
      <c r="C901" t="s">
        <v>1336</v>
      </c>
      <c r="D901" t="s">
        <v>8</v>
      </c>
      <c r="E901">
        <v>2025</v>
      </c>
      <c r="F901" t="s">
        <v>135</v>
      </c>
      <c r="G901" t="s">
        <v>1338</v>
      </c>
      <c r="H901" t="s">
        <v>354</v>
      </c>
      <c r="I901" t="s">
        <v>1373</v>
      </c>
      <c r="J901" t="s">
        <v>35</v>
      </c>
      <c r="K901" t="s">
        <v>806</v>
      </c>
      <c r="L901" t="s">
        <v>809</v>
      </c>
      <c r="M901" t="s">
        <v>90</v>
      </c>
      <c r="N901" t="s">
        <v>813</v>
      </c>
      <c r="O901" t="s">
        <v>391</v>
      </c>
      <c r="P901" t="s">
        <v>828</v>
      </c>
    </row>
    <row r="902" spans="1:16" x14ac:dyDescent="0.25">
      <c r="A902" t="s">
        <v>1396</v>
      </c>
      <c r="B902" t="s">
        <v>116</v>
      </c>
      <c r="C902" t="s">
        <v>1336</v>
      </c>
      <c r="D902" t="s">
        <v>8</v>
      </c>
      <c r="E902">
        <v>2025</v>
      </c>
      <c r="F902" t="s">
        <v>135</v>
      </c>
      <c r="G902" t="s">
        <v>1338</v>
      </c>
      <c r="H902" t="s">
        <v>354</v>
      </c>
      <c r="I902" t="s">
        <v>1373</v>
      </c>
      <c r="J902" t="s">
        <v>35</v>
      </c>
      <c r="K902" t="s">
        <v>806</v>
      </c>
      <c r="L902" t="s">
        <v>809</v>
      </c>
      <c r="M902" t="s">
        <v>804</v>
      </c>
      <c r="N902" t="s">
        <v>813</v>
      </c>
      <c r="O902" t="s">
        <v>391</v>
      </c>
      <c r="P902" t="s">
        <v>828</v>
      </c>
    </row>
    <row r="903" spans="1:16" x14ac:dyDescent="0.25">
      <c r="A903" t="s">
        <v>1397</v>
      </c>
      <c r="B903" t="s">
        <v>116</v>
      </c>
      <c r="C903" t="s">
        <v>1339</v>
      </c>
      <c r="D903" t="s">
        <v>8</v>
      </c>
      <c r="E903">
        <v>2025</v>
      </c>
      <c r="F903" t="s">
        <v>135</v>
      </c>
      <c r="G903" t="s">
        <v>1341</v>
      </c>
      <c r="H903" t="s">
        <v>354</v>
      </c>
      <c r="I903" t="s">
        <v>1373</v>
      </c>
      <c r="J903" t="s">
        <v>35</v>
      </c>
      <c r="K903" t="s">
        <v>806</v>
      </c>
      <c r="L903" t="s">
        <v>809</v>
      </c>
      <c r="M903" t="s">
        <v>36</v>
      </c>
      <c r="N903" t="s">
        <v>813</v>
      </c>
      <c r="O903" t="s">
        <v>391</v>
      </c>
      <c r="P903" t="s">
        <v>828</v>
      </c>
    </row>
    <row r="904" spans="1:16" x14ac:dyDescent="0.25">
      <c r="A904" t="s">
        <v>1397</v>
      </c>
      <c r="B904" t="s">
        <v>116</v>
      </c>
      <c r="C904" t="s">
        <v>1339</v>
      </c>
      <c r="D904" t="s">
        <v>8</v>
      </c>
      <c r="E904">
        <v>2025</v>
      </c>
      <c r="F904" t="s">
        <v>135</v>
      </c>
      <c r="G904" t="s">
        <v>1341</v>
      </c>
      <c r="H904" t="s">
        <v>354</v>
      </c>
      <c r="I904" t="s">
        <v>1373</v>
      </c>
      <c r="J904" t="s">
        <v>35</v>
      </c>
      <c r="K904" t="s">
        <v>806</v>
      </c>
      <c r="L904" t="s">
        <v>809</v>
      </c>
      <c r="M904" t="s">
        <v>802</v>
      </c>
      <c r="N904" t="s">
        <v>813</v>
      </c>
      <c r="O904" t="s">
        <v>391</v>
      </c>
      <c r="P904" t="s">
        <v>828</v>
      </c>
    </row>
    <row r="905" spans="1:16" x14ac:dyDescent="0.25">
      <c r="A905" t="s">
        <v>1397</v>
      </c>
      <c r="B905" t="s">
        <v>116</v>
      </c>
      <c r="C905" t="s">
        <v>1339</v>
      </c>
      <c r="D905" t="s">
        <v>8</v>
      </c>
      <c r="E905">
        <v>2025</v>
      </c>
      <c r="F905" t="s">
        <v>135</v>
      </c>
      <c r="G905" t="s">
        <v>1341</v>
      </c>
      <c r="H905" t="s">
        <v>354</v>
      </c>
      <c r="I905" t="s">
        <v>1373</v>
      </c>
      <c r="J905" t="s">
        <v>35</v>
      </c>
      <c r="K905" t="s">
        <v>806</v>
      </c>
      <c r="L905" t="s">
        <v>809</v>
      </c>
      <c r="M905" t="s">
        <v>90</v>
      </c>
      <c r="N905" t="s">
        <v>813</v>
      </c>
      <c r="O905" t="s">
        <v>391</v>
      </c>
      <c r="P905" t="s">
        <v>828</v>
      </c>
    </row>
    <row r="906" spans="1:16" x14ac:dyDescent="0.25">
      <c r="A906" t="s">
        <v>1397</v>
      </c>
      <c r="B906" t="s">
        <v>116</v>
      </c>
      <c r="C906" t="s">
        <v>1339</v>
      </c>
      <c r="D906" t="s">
        <v>8</v>
      </c>
      <c r="E906">
        <v>2025</v>
      </c>
      <c r="F906" t="s">
        <v>135</v>
      </c>
      <c r="G906" t="s">
        <v>1341</v>
      </c>
      <c r="H906" t="s">
        <v>354</v>
      </c>
      <c r="I906" t="s">
        <v>1373</v>
      </c>
      <c r="J906" t="s">
        <v>35</v>
      </c>
      <c r="K906" t="s">
        <v>806</v>
      </c>
      <c r="L906" t="s">
        <v>809</v>
      </c>
      <c r="M906" t="s">
        <v>804</v>
      </c>
      <c r="N906" t="s">
        <v>813</v>
      </c>
      <c r="O906" t="s">
        <v>391</v>
      </c>
      <c r="P906" t="s">
        <v>828</v>
      </c>
    </row>
    <row r="907" spans="1:16" x14ac:dyDescent="0.25">
      <c r="A907" t="s">
        <v>1398</v>
      </c>
      <c r="B907" t="s">
        <v>116</v>
      </c>
      <c r="C907" t="s">
        <v>1342</v>
      </c>
      <c r="D907" t="s">
        <v>8</v>
      </c>
      <c r="E907">
        <v>2020</v>
      </c>
      <c r="F907" t="s">
        <v>520</v>
      </c>
      <c r="G907" t="s">
        <v>1344</v>
      </c>
      <c r="H907" t="s">
        <v>1346</v>
      </c>
      <c r="I907" t="s">
        <v>1345</v>
      </c>
      <c r="J907" t="s">
        <v>35</v>
      </c>
      <c r="K907" t="s">
        <v>37</v>
      </c>
      <c r="L907" t="s">
        <v>809</v>
      </c>
      <c r="M907" t="s">
        <v>36</v>
      </c>
      <c r="N907" t="s">
        <v>811</v>
      </c>
      <c r="O907" t="s">
        <v>389</v>
      </c>
      <c r="P907" t="s">
        <v>830</v>
      </c>
    </row>
    <row r="908" spans="1:16" x14ac:dyDescent="0.25">
      <c r="A908" t="s">
        <v>1398</v>
      </c>
      <c r="B908" t="s">
        <v>116</v>
      </c>
      <c r="C908" t="s">
        <v>1342</v>
      </c>
      <c r="D908" t="s">
        <v>8</v>
      </c>
      <c r="E908">
        <v>2020</v>
      </c>
      <c r="F908" t="s">
        <v>520</v>
      </c>
      <c r="G908" t="s">
        <v>1344</v>
      </c>
      <c r="H908" t="s">
        <v>1346</v>
      </c>
      <c r="I908" t="s">
        <v>1345</v>
      </c>
      <c r="J908" t="s">
        <v>35</v>
      </c>
      <c r="K908" t="s">
        <v>37</v>
      </c>
      <c r="L908" t="s">
        <v>809</v>
      </c>
      <c r="M908" t="s">
        <v>802</v>
      </c>
      <c r="N908" t="s">
        <v>811</v>
      </c>
      <c r="O908" t="s">
        <v>389</v>
      </c>
      <c r="P908" t="s">
        <v>830</v>
      </c>
    </row>
    <row r="909" spans="1:16" x14ac:dyDescent="0.25">
      <c r="A909" t="s">
        <v>1399</v>
      </c>
      <c r="B909" t="s">
        <v>116</v>
      </c>
      <c r="C909" t="s">
        <v>1333</v>
      </c>
      <c r="D909" t="s">
        <v>8</v>
      </c>
      <c r="E909">
        <v>2025</v>
      </c>
      <c r="F909" t="s">
        <v>355</v>
      </c>
      <c r="G909" t="s">
        <v>1349</v>
      </c>
      <c r="H909" t="s">
        <v>1351</v>
      </c>
      <c r="I909" t="s">
        <v>1350</v>
      </c>
      <c r="J909" t="s">
        <v>354</v>
      </c>
      <c r="K909" t="s">
        <v>37</v>
      </c>
      <c r="L909" t="s">
        <v>809</v>
      </c>
      <c r="M909" t="s">
        <v>36</v>
      </c>
      <c r="N909" t="s">
        <v>817</v>
      </c>
      <c r="O909" t="s">
        <v>394</v>
      </c>
      <c r="P909" t="s">
        <v>826</v>
      </c>
    </row>
    <row r="910" spans="1:16" x14ac:dyDescent="0.25">
      <c r="A910" t="s">
        <v>1400</v>
      </c>
      <c r="B910" t="s">
        <v>116</v>
      </c>
      <c r="C910" t="s">
        <v>1352</v>
      </c>
      <c r="D910" t="s">
        <v>8</v>
      </c>
      <c r="E910">
        <v>2010</v>
      </c>
      <c r="F910" t="s">
        <v>78</v>
      </c>
      <c r="G910" t="s">
        <v>1354</v>
      </c>
      <c r="H910" t="s">
        <v>354</v>
      </c>
      <c r="I910" t="s">
        <v>1355</v>
      </c>
      <c r="J910" t="s">
        <v>35</v>
      </c>
      <c r="K910" t="s">
        <v>37</v>
      </c>
      <c r="L910" t="s">
        <v>809</v>
      </c>
      <c r="M910" t="s">
        <v>36</v>
      </c>
      <c r="N910" t="s">
        <v>813</v>
      </c>
      <c r="O910" t="s">
        <v>391</v>
      </c>
      <c r="P910" t="s">
        <v>828</v>
      </c>
    </row>
    <row r="911" spans="1:16" x14ac:dyDescent="0.25">
      <c r="A911" t="s">
        <v>1400</v>
      </c>
      <c r="B911" t="s">
        <v>116</v>
      </c>
      <c r="C911" t="s">
        <v>1352</v>
      </c>
      <c r="D911" t="s">
        <v>8</v>
      </c>
      <c r="E911">
        <v>2010</v>
      </c>
      <c r="F911" t="s">
        <v>78</v>
      </c>
      <c r="G911" t="s">
        <v>1354</v>
      </c>
      <c r="H911" t="s">
        <v>354</v>
      </c>
      <c r="I911" t="s">
        <v>1355</v>
      </c>
      <c r="J911" t="s">
        <v>35</v>
      </c>
      <c r="K911" t="s">
        <v>37</v>
      </c>
      <c r="L911" t="s">
        <v>809</v>
      </c>
      <c r="M911" t="s">
        <v>802</v>
      </c>
      <c r="N911" t="s">
        <v>813</v>
      </c>
      <c r="O911" t="s">
        <v>391</v>
      </c>
      <c r="P911" t="s">
        <v>828</v>
      </c>
    </row>
    <row r="912" spans="1:16" x14ac:dyDescent="0.25">
      <c r="A912" t="s">
        <v>1401</v>
      </c>
      <c r="B912" t="s">
        <v>116</v>
      </c>
      <c r="C912" t="s">
        <v>1356</v>
      </c>
      <c r="D912" t="s">
        <v>60</v>
      </c>
      <c r="E912">
        <v>2021</v>
      </c>
      <c r="F912" t="s">
        <v>78</v>
      </c>
      <c r="G912" t="s">
        <v>1358</v>
      </c>
      <c r="H912" t="s">
        <v>354</v>
      </c>
      <c r="I912" t="s">
        <v>1359</v>
      </c>
      <c r="J912" t="s">
        <v>35</v>
      </c>
      <c r="K912" t="s">
        <v>37</v>
      </c>
      <c r="L912" t="s">
        <v>809</v>
      </c>
      <c r="M912" t="s">
        <v>802</v>
      </c>
      <c r="N912" t="s">
        <v>817</v>
      </c>
      <c r="O912" t="s">
        <v>394</v>
      </c>
      <c r="P912" t="s">
        <v>826</v>
      </c>
    </row>
    <row r="913" spans="1:16" x14ac:dyDescent="0.25">
      <c r="A913" t="s">
        <v>1401</v>
      </c>
      <c r="B913" t="s">
        <v>116</v>
      </c>
      <c r="C913" t="s">
        <v>1356</v>
      </c>
      <c r="D913" t="s">
        <v>60</v>
      </c>
      <c r="E913">
        <v>2021</v>
      </c>
      <c r="F913" t="s">
        <v>78</v>
      </c>
      <c r="G913" t="s">
        <v>1358</v>
      </c>
      <c r="H913" t="s">
        <v>354</v>
      </c>
      <c r="I913" t="s">
        <v>1359</v>
      </c>
      <c r="J913" t="s">
        <v>35</v>
      </c>
      <c r="K913" t="s">
        <v>37</v>
      </c>
      <c r="L913" t="s">
        <v>809</v>
      </c>
      <c r="M913" t="s">
        <v>36</v>
      </c>
      <c r="N913" t="s">
        <v>817</v>
      </c>
      <c r="O913" t="s">
        <v>394</v>
      </c>
      <c r="P913" t="s">
        <v>826</v>
      </c>
    </row>
    <row r="914" spans="1:16" x14ac:dyDescent="0.25">
      <c r="A914" t="s">
        <v>1402</v>
      </c>
      <c r="B914" t="s">
        <v>116</v>
      </c>
      <c r="C914" t="s">
        <v>1360</v>
      </c>
      <c r="D914" t="s">
        <v>60</v>
      </c>
      <c r="E914">
        <v>2013</v>
      </c>
      <c r="F914" t="s">
        <v>78</v>
      </c>
      <c r="G914" t="s">
        <v>1362</v>
      </c>
      <c r="H914" t="s">
        <v>354</v>
      </c>
      <c r="I914" t="s">
        <v>1363</v>
      </c>
      <c r="J914" t="s">
        <v>35</v>
      </c>
      <c r="K914" t="s">
        <v>37</v>
      </c>
      <c r="L914" t="s">
        <v>809</v>
      </c>
      <c r="M914" t="s">
        <v>36</v>
      </c>
      <c r="N914" t="s">
        <v>813</v>
      </c>
      <c r="O914" t="s">
        <v>391</v>
      </c>
      <c r="P914" t="s">
        <v>828</v>
      </c>
    </row>
    <row r="915" spans="1:16" x14ac:dyDescent="0.25">
      <c r="A915" t="s">
        <v>1402</v>
      </c>
      <c r="B915" t="s">
        <v>116</v>
      </c>
      <c r="C915" t="s">
        <v>1360</v>
      </c>
      <c r="D915" t="s">
        <v>60</v>
      </c>
      <c r="E915">
        <v>2013</v>
      </c>
      <c r="F915" t="s">
        <v>78</v>
      </c>
      <c r="G915" t="s">
        <v>1362</v>
      </c>
      <c r="H915" t="s">
        <v>354</v>
      </c>
      <c r="I915" t="s">
        <v>1363</v>
      </c>
      <c r="J915" t="s">
        <v>35</v>
      </c>
      <c r="K915" t="s">
        <v>37</v>
      </c>
      <c r="L915" t="s">
        <v>809</v>
      </c>
      <c r="M915" t="s">
        <v>802</v>
      </c>
      <c r="N915" t="s">
        <v>813</v>
      </c>
      <c r="O915" t="s">
        <v>391</v>
      </c>
      <c r="P915" t="s">
        <v>828</v>
      </c>
    </row>
    <row r="916" spans="1:16" x14ac:dyDescent="0.25">
      <c r="A916" t="s">
        <v>1403</v>
      </c>
      <c r="B916" t="s">
        <v>116</v>
      </c>
      <c r="C916" t="s">
        <v>1364</v>
      </c>
      <c r="D916" t="s">
        <v>60</v>
      </c>
      <c r="E916">
        <v>2025</v>
      </c>
      <c r="F916" t="s">
        <v>78</v>
      </c>
      <c r="G916" t="s">
        <v>1366</v>
      </c>
      <c r="H916" t="s">
        <v>354</v>
      </c>
      <c r="I916" t="s">
        <v>1367</v>
      </c>
      <c r="J916" t="s">
        <v>35</v>
      </c>
      <c r="K916" t="s">
        <v>37</v>
      </c>
      <c r="L916" t="s">
        <v>809</v>
      </c>
      <c r="M916" t="s">
        <v>803</v>
      </c>
      <c r="N916" t="s">
        <v>813</v>
      </c>
      <c r="O916" t="s">
        <v>391</v>
      </c>
      <c r="P916" t="s">
        <v>828</v>
      </c>
    </row>
    <row r="917" spans="1:16" x14ac:dyDescent="0.25">
      <c r="A917" t="s">
        <v>1403</v>
      </c>
      <c r="B917" t="s">
        <v>116</v>
      </c>
      <c r="C917" t="s">
        <v>1364</v>
      </c>
      <c r="D917" t="s">
        <v>60</v>
      </c>
      <c r="E917">
        <v>2025</v>
      </c>
      <c r="F917" t="s">
        <v>78</v>
      </c>
      <c r="G917" t="s">
        <v>1366</v>
      </c>
      <c r="H917" t="s">
        <v>354</v>
      </c>
      <c r="I917" t="s">
        <v>1367</v>
      </c>
      <c r="J917" t="s">
        <v>35</v>
      </c>
      <c r="K917" t="s">
        <v>37</v>
      </c>
      <c r="L917" t="s">
        <v>809</v>
      </c>
      <c r="M917" t="s">
        <v>802</v>
      </c>
      <c r="N917" t="s">
        <v>813</v>
      </c>
      <c r="O917" t="s">
        <v>391</v>
      </c>
      <c r="P917" t="s">
        <v>828</v>
      </c>
    </row>
    <row r="918" spans="1:16" x14ac:dyDescent="0.25">
      <c r="A918" t="s">
        <v>1403</v>
      </c>
      <c r="B918" t="s">
        <v>116</v>
      </c>
      <c r="C918" t="s">
        <v>1364</v>
      </c>
      <c r="D918" t="s">
        <v>60</v>
      </c>
      <c r="E918">
        <v>2025</v>
      </c>
      <c r="F918" t="s">
        <v>78</v>
      </c>
      <c r="G918" t="s">
        <v>1366</v>
      </c>
      <c r="H918" t="s">
        <v>354</v>
      </c>
      <c r="I918" t="s">
        <v>1367</v>
      </c>
      <c r="J918" t="s">
        <v>35</v>
      </c>
      <c r="K918" t="s">
        <v>37</v>
      </c>
      <c r="L918" t="s">
        <v>809</v>
      </c>
      <c r="M918" t="s">
        <v>804</v>
      </c>
      <c r="N918" t="s">
        <v>813</v>
      </c>
      <c r="O918" t="s">
        <v>391</v>
      </c>
      <c r="P918" t="s">
        <v>828</v>
      </c>
    </row>
    <row r="919" spans="1:16" x14ac:dyDescent="0.25">
      <c r="A919" t="s">
        <v>1403</v>
      </c>
      <c r="B919" t="s">
        <v>116</v>
      </c>
      <c r="C919" t="s">
        <v>1364</v>
      </c>
      <c r="D919" t="s">
        <v>60</v>
      </c>
      <c r="E919">
        <v>2025</v>
      </c>
      <c r="F919" t="s">
        <v>78</v>
      </c>
      <c r="G919" t="s">
        <v>1366</v>
      </c>
      <c r="H919" t="s">
        <v>354</v>
      </c>
      <c r="I919" t="s">
        <v>1367</v>
      </c>
      <c r="J919" t="s">
        <v>35</v>
      </c>
      <c r="K919" t="s">
        <v>37</v>
      </c>
      <c r="L919" t="s">
        <v>809</v>
      </c>
      <c r="M919" t="s">
        <v>36</v>
      </c>
      <c r="N919" t="s">
        <v>813</v>
      </c>
      <c r="O919" t="s">
        <v>391</v>
      </c>
      <c r="P919" t="s">
        <v>828</v>
      </c>
    </row>
    <row r="920" spans="1:16" x14ac:dyDescent="0.25">
      <c r="A920" t="s">
        <v>1404</v>
      </c>
      <c r="B920" t="s">
        <v>116</v>
      </c>
      <c r="C920" t="s">
        <v>1374</v>
      </c>
      <c r="D920" t="s">
        <v>8</v>
      </c>
      <c r="E920">
        <v>2025</v>
      </c>
      <c r="F920" t="s">
        <v>192</v>
      </c>
      <c r="G920" t="s">
        <v>1382</v>
      </c>
      <c r="H920" t="s">
        <v>354</v>
      </c>
      <c r="I920" t="s">
        <v>1376</v>
      </c>
      <c r="J920" t="s">
        <v>35</v>
      </c>
      <c r="K920" t="s">
        <v>807</v>
      </c>
      <c r="L920" t="s">
        <v>809</v>
      </c>
      <c r="M920" t="s">
        <v>803</v>
      </c>
      <c r="N920" t="s">
        <v>817</v>
      </c>
      <c r="O920" t="s">
        <v>394</v>
      </c>
      <c r="P920" t="s">
        <v>826</v>
      </c>
    </row>
    <row r="921" spans="1:16" x14ac:dyDescent="0.25">
      <c r="A921" t="s">
        <v>1404</v>
      </c>
      <c r="B921" t="s">
        <v>116</v>
      </c>
      <c r="C921" t="s">
        <v>1374</v>
      </c>
      <c r="D921" t="s">
        <v>8</v>
      </c>
      <c r="E921">
        <v>2025</v>
      </c>
      <c r="F921" t="s">
        <v>192</v>
      </c>
      <c r="G921" t="s">
        <v>1382</v>
      </c>
      <c r="H921" t="s">
        <v>354</v>
      </c>
      <c r="I921" t="s">
        <v>1376</v>
      </c>
      <c r="J921" t="s">
        <v>35</v>
      </c>
      <c r="K921" t="s">
        <v>807</v>
      </c>
      <c r="L921" t="s">
        <v>809</v>
      </c>
      <c r="M921" t="s">
        <v>802</v>
      </c>
      <c r="N921" t="s">
        <v>817</v>
      </c>
      <c r="O921" t="s">
        <v>394</v>
      </c>
      <c r="P921" t="s">
        <v>826</v>
      </c>
    </row>
    <row r="922" spans="1:16" x14ac:dyDescent="0.25">
      <c r="A922" t="s">
        <v>1405</v>
      </c>
      <c r="B922" t="s">
        <v>116</v>
      </c>
      <c r="C922" t="s">
        <v>1378</v>
      </c>
      <c r="D922" t="s">
        <v>8</v>
      </c>
      <c r="E922">
        <v>2025</v>
      </c>
      <c r="F922" t="s">
        <v>192</v>
      </c>
      <c r="G922" t="s">
        <v>1383</v>
      </c>
      <c r="H922" t="s">
        <v>354</v>
      </c>
      <c r="I922" t="s">
        <v>1376</v>
      </c>
      <c r="J922" t="s">
        <v>35</v>
      </c>
      <c r="K922" t="s">
        <v>807</v>
      </c>
      <c r="L922" t="s">
        <v>809</v>
      </c>
      <c r="M922" t="s">
        <v>802</v>
      </c>
      <c r="N922" t="s">
        <v>816</v>
      </c>
      <c r="O922" t="s">
        <v>404</v>
      </c>
      <c r="P922" t="s">
        <v>824</v>
      </c>
    </row>
    <row r="923" spans="1:16" x14ac:dyDescent="0.25">
      <c r="A923" t="s">
        <v>1406</v>
      </c>
      <c r="B923" t="s">
        <v>116</v>
      </c>
      <c r="C923" t="s">
        <v>1380</v>
      </c>
      <c r="D923" t="s">
        <v>8</v>
      </c>
      <c r="E923">
        <v>2025</v>
      </c>
      <c r="F923" t="s">
        <v>192</v>
      </c>
      <c r="G923" t="s">
        <v>1384</v>
      </c>
      <c r="H923" t="s">
        <v>354</v>
      </c>
      <c r="I923" t="s">
        <v>1376</v>
      </c>
      <c r="J923" t="s">
        <v>35</v>
      </c>
      <c r="K923" t="s">
        <v>807</v>
      </c>
      <c r="L923" t="s">
        <v>809</v>
      </c>
      <c r="M923" t="s">
        <v>802</v>
      </c>
      <c r="N923" t="s">
        <v>815</v>
      </c>
      <c r="O923" t="s">
        <v>403</v>
      </c>
      <c r="P923" t="s">
        <v>823</v>
      </c>
    </row>
    <row r="924" spans="1:16" x14ac:dyDescent="0.25">
      <c r="A924" t="s">
        <v>1407</v>
      </c>
      <c r="B924" t="s">
        <v>116</v>
      </c>
      <c r="C924" t="s">
        <v>1385</v>
      </c>
      <c r="D924" t="s">
        <v>8</v>
      </c>
      <c r="E924">
        <v>2025</v>
      </c>
      <c r="F924" t="s">
        <v>78</v>
      </c>
      <c r="G924" t="s">
        <v>1387</v>
      </c>
      <c r="H924" t="s">
        <v>354</v>
      </c>
      <c r="I924" t="s">
        <v>460</v>
      </c>
      <c r="J924" t="s">
        <v>35</v>
      </c>
      <c r="K924" t="s">
        <v>807</v>
      </c>
      <c r="L924" t="s">
        <v>809</v>
      </c>
      <c r="M924" t="s">
        <v>802</v>
      </c>
      <c r="N924" t="s">
        <v>814</v>
      </c>
      <c r="O924" t="s">
        <v>392</v>
      </c>
      <c r="P924" t="s">
        <v>825</v>
      </c>
    </row>
    <row r="925" spans="1:16" x14ac:dyDescent="0.25">
      <c r="A925" t="s">
        <v>1407</v>
      </c>
      <c r="B925" t="s">
        <v>116</v>
      </c>
      <c r="C925" t="s">
        <v>1385</v>
      </c>
      <c r="D925" t="s">
        <v>8</v>
      </c>
      <c r="E925">
        <v>2025</v>
      </c>
      <c r="F925" t="s">
        <v>78</v>
      </c>
      <c r="G925" t="s">
        <v>1387</v>
      </c>
      <c r="H925" t="s">
        <v>354</v>
      </c>
      <c r="I925" t="s">
        <v>460</v>
      </c>
      <c r="J925" t="s">
        <v>35</v>
      </c>
      <c r="K925" t="s">
        <v>807</v>
      </c>
      <c r="L925" t="s">
        <v>809</v>
      </c>
      <c r="M925" t="s">
        <v>803</v>
      </c>
      <c r="N925" t="s">
        <v>814</v>
      </c>
      <c r="O925" t="s">
        <v>392</v>
      </c>
      <c r="P925" t="s">
        <v>825</v>
      </c>
    </row>
    <row r="926" spans="1:16" x14ac:dyDescent="0.25">
      <c r="A926" t="s">
        <v>1408</v>
      </c>
      <c r="B926" t="s">
        <v>116</v>
      </c>
      <c r="C926" t="s">
        <v>1388</v>
      </c>
      <c r="D926" t="s">
        <v>60</v>
      </c>
      <c r="E926">
        <v>2012</v>
      </c>
      <c r="F926" t="s">
        <v>78</v>
      </c>
      <c r="G926" t="s">
        <v>1390</v>
      </c>
      <c r="H926" t="s">
        <v>354</v>
      </c>
      <c r="I926" t="s">
        <v>1391</v>
      </c>
      <c r="J926" t="s">
        <v>35</v>
      </c>
      <c r="K926" t="s">
        <v>37</v>
      </c>
      <c r="L926" t="s">
        <v>809</v>
      </c>
      <c r="M926" t="s">
        <v>802</v>
      </c>
      <c r="N926" t="s">
        <v>813</v>
      </c>
      <c r="O926" t="s">
        <v>391</v>
      </c>
      <c r="P926" t="s">
        <v>912</v>
      </c>
    </row>
    <row r="927" spans="1:16" x14ac:dyDescent="0.25">
      <c r="A927" t="s">
        <v>1408</v>
      </c>
      <c r="B927" t="s">
        <v>116</v>
      </c>
      <c r="C927" t="s">
        <v>1388</v>
      </c>
      <c r="D927" t="s">
        <v>60</v>
      </c>
      <c r="E927">
        <v>2012</v>
      </c>
      <c r="F927" t="s">
        <v>78</v>
      </c>
      <c r="G927" t="s">
        <v>1390</v>
      </c>
      <c r="H927" t="s">
        <v>354</v>
      </c>
      <c r="I927" t="s">
        <v>1391</v>
      </c>
      <c r="J927" t="s">
        <v>35</v>
      </c>
      <c r="K927" t="s">
        <v>37</v>
      </c>
      <c r="L927" t="s">
        <v>809</v>
      </c>
      <c r="M927" t="s">
        <v>802</v>
      </c>
      <c r="N927" t="s">
        <v>815</v>
      </c>
      <c r="O927" t="s">
        <v>403</v>
      </c>
      <c r="P927" t="s">
        <v>912</v>
      </c>
    </row>
    <row r="928" spans="1:16" x14ac:dyDescent="0.25">
      <c r="A928" t="s">
        <v>1408</v>
      </c>
      <c r="B928" t="s">
        <v>116</v>
      </c>
      <c r="C928" t="s">
        <v>1388</v>
      </c>
      <c r="D928" t="s">
        <v>60</v>
      </c>
      <c r="E928">
        <v>2012</v>
      </c>
      <c r="F928" t="s">
        <v>78</v>
      </c>
      <c r="G928" t="s">
        <v>1390</v>
      </c>
      <c r="H928" t="s">
        <v>354</v>
      </c>
      <c r="I928" t="s">
        <v>1391</v>
      </c>
      <c r="J928" t="s">
        <v>35</v>
      </c>
      <c r="K928" t="s">
        <v>37</v>
      </c>
      <c r="L928" t="s">
        <v>809</v>
      </c>
      <c r="M928" t="s">
        <v>803</v>
      </c>
      <c r="N928" t="s">
        <v>813</v>
      </c>
      <c r="O928" t="s">
        <v>391</v>
      </c>
      <c r="P928" t="s">
        <v>912</v>
      </c>
    </row>
    <row r="929" spans="1:16" x14ac:dyDescent="0.25">
      <c r="A929" t="s">
        <v>1408</v>
      </c>
      <c r="B929" t="s">
        <v>116</v>
      </c>
      <c r="C929" t="s">
        <v>1388</v>
      </c>
      <c r="D929" t="s">
        <v>60</v>
      </c>
      <c r="E929">
        <v>2012</v>
      </c>
      <c r="F929" t="s">
        <v>78</v>
      </c>
      <c r="G929" t="s">
        <v>1390</v>
      </c>
      <c r="H929" t="s">
        <v>354</v>
      </c>
      <c r="I929" t="s">
        <v>1391</v>
      </c>
      <c r="J929" t="s">
        <v>35</v>
      </c>
      <c r="K929" t="s">
        <v>37</v>
      </c>
      <c r="L929" t="s">
        <v>809</v>
      </c>
      <c r="M929" t="s">
        <v>803</v>
      </c>
      <c r="N929" t="s">
        <v>815</v>
      </c>
      <c r="O929" t="s">
        <v>403</v>
      </c>
      <c r="P929" t="s">
        <v>912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1449-454D-4F6F-8807-DB42D0C84CB0}">
  <sheetPr codeName="Sheet5"/>
  <dimension ref="A1:AA62"/>
  <sheetViews>
    <sheetView zoomScale="160" zoomScaleNormal="160" workbookViewId="0">
      <selection activeCell="X2" sqref="X2"/>
    </sheetView>
  </sheetViews>
  <sheetFormatPr defaultColWidth="8.85546875" defaultRowHeight="15" x14ac:dyDescent="0.25"/>
  <cols>
    <col min="1" max="1" width="12.42578125" customWidth="1"/>
    <col min="3" max="3" width="43.28515625" customWidth="1"/>
    <col min="4" max="7" width="41.85546875" customWidth="1"/>
    <col min="8" max="9" width="26.140625" customWidth="1"/>
    <col min="10" max="10" width="31" customWidth="1"/>
    <col min="11" max="11" width="26.140625" customWidth="1"/>
    <col min="12" max="12" width="32" customWidth="1"/>
    <col min="13" max="14" width="26.140625" customWidth="1"/>
    <col min="15" max="16" width="9.140625" customWidth="1"/>
    <col min="18" max="18" width="15.140625" customWidth="1"/>
    <col min="19" max="19" width="18.7109375" customWidth="1"/>
    <col min="22" max="22" width="9" customWidth="1"/>
    <col min="24" max="24" width="9.42578125" customWidth="1"/>
    <col min="25" max="25" width="11.42578125" customWidth="1"/>
  </cols>
  <sheetData>
    <row r="1" spans="1:27" x14ac:dyDescent="0.25">
      <c r="A1" t="s">
        <v>1</v>
      </c>
      <c r="C1" s="7" t="s">
        <v>103</v>
      </c>
      <c r="D1" s="7" t="s">
        <v>104</v>
      </c>
      <c r="E1" s="7" t="s">
        <v>105</v>
      </c>
      <c r="F1" s="7" t="s">
        <v>106</v>
      </c>
      <c r="G1" s="6"/>
      <c r="H1" t="s">
        <v>14</v>
      </c>
      <c r="J1" t="s">
        <v>95</v>
      </c>
      <c r="K1" s="6" t="s">
        <v>70</v>
      </c>
      <c r="L1" t="s">
        <v>96</v>
      </c>
      <c r="M1" s="6" t="s">
        <v>71</v>
      </c>
      <c r="N1" s="6"/>
      <c r="O1" t="s">
        <v>15</v>
      </c>
      <c r="P1" t="s">
        <v>91</v>
      </c>
      <c r="R1" t="s">
        <v>2</v>
      </c>
      <c r="S1" t="s">
        <v>92</v>
      </c>
      <c r="U1" t="s">
        <v>3</v>
      </c>
      <c r="V1" t="s">
        <v>93</v>
      </c>
      <c r="X1" t="s">
        <v>4</v>
      </c>
      <c r="Y1" t="s">
        <v>94</v>
      </c>
      <c r="AA1" t="s">
        <v>17</v>
      </c>
    </row>
    <row r="2" spans="1:27" x14ac:dyDescent="0.25">
      <c r="A2" t="s">
        <v>8</v>
      </c>
      <c r="C2" s="6" t="s">
        <v>370</v>
      </c>
      <c r="D2" t="s">
        <v>67</v>
      </c>
      <c r="E2" t="s">
        <v>367</v>
      </c>
      <c r="F2" t="s">
        <v>388</v>
      </c>
      <c r="H2">
        <v>2014</v>
      </c>
      <c r="J2" s="6" t="s">
        <v>85</v>
      </c>
      <c r="K2" s="6" t="s">
        <v>80</v>
      </c>
      <c r="L2" t="s">
        <v>86</v>
      </c>
      <c r="M2" t="s">
        <v>72</v>
      </c>
      <c r="O2" t="s">
        <v>22</v>
      </c>
      <c r="P2" t="s">
        <v>34</v>
      </c>
      <c r="R2" s="103" t="s">
        <v>6</v>
      </c>
      <c r="S2" s="103" t="s">
        <v>90</v>
      </c>
      <c r="U2" s="6" t="s">
        <v>707</v>
      </c>
      <c r="V2" t="s">
        <v>806</v>
      </c>
      <c r="X2" s="6" t="s">
        <v>558</v>
      </c>
      <c r="Y2" t="s">
        <v>808</v>
      </c>
      <c r="AA2" t="s">
        <v>23</v>
      </c>
    </row>
    <row r="3" spans="1:27" x14ac:dyDescent="0.25">
      <c r="A3" t="s">
        <v>60</v>
      </c>
      <c r="C3" s="6" t="s">
        <v>810</v>
      </c>
      <c r="D3" t="s">
        <v>27</v>
      </c>
      <c r="E3" s="6" t="s">
        <v>811</v>
      </c>
      <c r="F3" t="s">
        <v>389</v>
      </c>
      <c r="H3">
        <v>2015</v>
      </c>
      <c r="J3" s="6" t="s">
        <v>88</v>
      </c>
      <c r="K3" t="s">
        <v>121</v>
      </c>
      <c r="L3" s="6" t="s">
        <v>87</v>
      </c>
      <c r="M3" t="s">
        <v>122</v>
      </c>
      <c r="O3" t="s">
        <v>33</v>
      </c>
      <c r="P3" t="s">
        <v>35</v>
      </c>
      <c r="R3" t="s">
        <v>18</v>
      </c>
      <c r="S3" s="6" t="s">
        <v>36</v>
      </c>
      <c r="T3" s="6"/>
      <c r="U3" s="6" t="s">
        <v>568</v>
      </c>
      <c r="V3" t="s">
        <v>807</v>
      </c>
      <c r="X3" t="s">
        <v>203</v>
      </c>
      <c r="Y3" t="s">
        <v>204</v>
      </c>
      <c r="AA3" t="s">
        <v>64</v>
      </c>
    </row>
    <row r="4" spans="1:27" x14ac:dyDescent="0.25">
      <c r="C4" s="6" t="s">
        <v>812</v>
      </c>
      <c r="D4" t="s">
        <v>28</v>
      </c>
      <c r="E4" t="s">
        <v>368</v>
      </c>
      <c r="F4" t="s">
        <v>390</v>
      </c>
      <c r="H4">
        <v>2016</v>
      </c>
      <c r="J4" s="6" t="s">
        <v>88</v>
      </c>
      <c r="K4" t="s">
        <v>123</v>
      </c>
      <c r="L4" s="6" t="s">
        <v>87</v>
      </c>
      <c r="M4" t="s">
        <v>124</v>
      </c>
      <c r="O4" s="6" t="s">
        <v>273</v>
      </c>
      <c r="P4" s="6" t="s">
        <v>321</v>
      </c>
      <c r="R4" s="6" t="s">
        <v>523</v>
      </c>
      <c r="S4" s="6" t="s">
        <v>802</v>
      </c>
      <c r="U4" t="s">
        <v>58</v>
      </c>
      <c r="V4" t="s">
        <v>37</v>
      </c>
      <c r="X4" s="6" t="s">
        <v>7</v>
      </c>
      <c r="Y4" s="6" t="s">
        <v>809</v>
      </c>
      <c r="AA4" t="s">
        <v>66</v>
      </c>
    </row>
    <row r="5" spans="1:27" x14ac:dyDescent="0.25">
      <c r="C5" s="6" t="s">
        <v>538</v>
      </c>
      <c r="D5" t="s">
        <v>29</v>
      </c>
      <c r="E5" s="6" t="s">
        <v>813</v>
      </c>
      <c r="F5" t="s">
        <v>391</v>
      </c>
      <c r="H5">
        <v>2017</v>
      </c>
      <c r="J5" s="6" t="s">
        <v>88</v>
      </c>
      <c r="K5" t="s">
        <v>125</v>
      </c>
      <c r="L5" s="6" t="s">
        <v>87</v>
      </c>
      <c r="M5" t="s">
        <v>126</v>
      </c>
      <c r="O5" t="s">
        <v>205</v>
      </c>
      <c r="P5" t="s">
        <v>206</v>
      </c>
      <c r="R5" s="6" t="s">
        <v>524</v>
      </c>
      <c r="S5" s="6" t="s">
        <v>803</v>
      </c>
      <c r="X5" t="s">
        <v>5</v>
      </c>
      <c r="Y5" t="s">
        <v>5</v>
      </c>
      <c r="AA5" t="s">
        <v>59</v>
      </c>
    </row>
    <row r="6" spans="1:27" ht="30" x14ac:dyDescent="0.25">
      <c r="C6" s="6" t="s">
        <v>531</v>
      </c>
      <c r="D6" t="s">
        <v>32</v>
      </c>
      <c r="E6" s="6" t="s">
        <v>814</v>
      </c>
      <c r="F6" t="s">
        <v>392</v>
      </c>
      <c r="H6">
        <v>2018</v>
      </c>
      <c r="J6" s="6" t="s">
        <v>85</v>
      </c>
      <c r="K6" s="6" t="s">
        <v>493</v>
      </c>
      <c r="L6" s="6" t="s">
        <v>86</v>
      </c>
      <c r="M6" s="38" t="s">
        <v>818</v>
      </c>
      <c r="R6" s="6" t="s">
        <v>527</v>
      </c>
      <c r="S6" s="6" t="s">
        <v>804</v>
      </c>
      <c r="X6" s="6"/>
      <c r="Y6" s="6"/>
      <c r="AA6" t="s">
        <v>62</v>
      </c>
    </row>
    <row r="7" spans="1:27" x14ac:dyDescent="0.25">
      <c r="C7" s="103" t="s">
        <v>366</v>
      </c>
      <c r="D7" s="103" t="s">
        <v>31</v>
      </c>
      <c r="E7" s="103" t="s">
        <v>369</v>
      </c>
      <c r="F7" s="103" t="s">
        <v>393</v>
      </c>
      <c r="H7">
        <v>2019</v>
      </c>
      <c r="J7" s="6" t="s">
        <v>88</v>
      </c>
      <c r="K7" s="6" t="s">
        <v>73</v>
      </c>
      <c r="L7" s="6" t="s">
        <v>87</v>
      </c>
      <c r="M7" t="s">
        <v>127</v>
      </c>
      <c r="R7" s="6" t="s">
        <v>750</v>
      </c>
      <c r="S7" s="38" t="s">
        <v>805</v>
      </c>
    </row>
    <row r="8" spans="1:27" x14ac:dyDescent="0.25">
      <c r="C8" s="6" t="s">
        <v>522</v>
      </c>
      <c r="D8" t="s">
        <v>402</v>
      </c>
      <c r="E8" s="6" t="s">
        <v>815</v>
      </c>
      <c r="F8" t="s">
        <v>403</v>
      </c>
      <c r="H8">
        <v>2020</v>
      </c>
      <c r="J8" s="6" t="s">
        <v>88</v>
      </c>
      <c r="K8" t="s">
        <v>128</v>
      </c>
      <c r="L8" s="6" t="s">
        <v>87</v>
      </c>
      <c r="M8" t="s">
        <v>129</v>
      </c>
    </row>
    <row r="9" spans="1:27" x14ac:dyDescent="0.25">
      <c r="C9" s="6" t="s">
        <v>529</v>
      </c>
      <c r="D9" t="s">
        <v>386</v>
      </c>
      <c r="E9" s="6" t="s">
        <v>816</v>
      </c>
      <c r="F9" t="s">
        <v>404</v>
      </c>
      <c r="H9">
        <v>2021</v>
      </c>
      <c r="J9" s="6" t="s">
        <v>88</v>
      </c>
      <c r="K9" t="s">
        <v>130</v>
      </c>
      <c r="L9" s="6" t="s">
        <v>87</v>
      </c>
      <c r="M9" t="s">
        <v>131</v>
      </c>
    </row>
    <row r="10" spans="1:27" x14ac:dyDescent="0.25">
      <c r="C10" s="6" t="s">
        <v>534</v>
      </c>
      <c r="D10" t="s">
        <v>30</v>
      </c>
      <c r="E10" s="6" t="s">
        <v>817</v>
      </c>
      <c r="F10" t="s">
        <v>394</v>
      </c>
      <c r="H10">
        <v>2022</v>
      </c>
      <c r="J10" s="6" t="s">
        <v>88</v>
      </c>
      <c r="K10" t="s">
        <v>132</v>
      </c>
      <c r="L10" s="6" t="s">
        <v>87</v>
      </c>
      <c r="M10" t="s">
        <v>133</v>
      </c>
    </row>
    <row r="11" spans="1:27" x14ac:dyDescent="0.25">
      <c r="J11" s="6" t="s">
        <v>88</v>
      </c>
      <c r="K11" t="s">
        <v>134</v>
      </c>
      <c r="L11" s="6" t="s">
        <v>87</v>
      </c>
      <c r="M11" t="s">
        <v>135</v>
      </c>
    </row>
    <row r="12" spans="1:27" x14ac:dyDescent="0.25">
      <c r="J12" s="6" t="s">
        <v>85</v>
      </c>
      <c r="K12" s="6" t="s">
        <v>820</v>
      </c>
      <c r="L12" s="6" t="s">
        <v>86</v>
      </c>
      <c r="M12" t="s">
        <v>821</v>
      </c>
    </row>
    <row r="13" spans="1:27" x14ac:dyDescent="0.25">
      <c r="J13" s="6" t="s">
        <v>88</v>
      </c>
      <c r="K13" t="s">
        <v>81</v>
      </c>
      <c r="L13" s="6" t="s">
        <v>87</v>
      </c>
      <c r="M13" t="s">
        <v>82</v>
      </c>
    </row>
    <row r="14" spans="1:27" x14ac:dyDescent="0.25">
      <c r="J14" s="6" t="s">
        <v>88</v>
      </c>
      <c r="K14" t="s">
        <v>136</v>
      </c>
      <c r="L14" s="6" t="s">
        <v>87</v>
      </c>
      <c r="M14" t="s">
        <v>137</v>
      </c>
    </row>
    <row r="15" spans="1:27" x14ac:dyDescent="0.25">
      <c r="J15" s="6" t="s">
        <v>88</v>
      </c>
      <c r="K15" t="s">
        <v>138</v>
      </c>
      <c r="L15" s="6" t="s">
        <v>87</v>
      </c>
      <c r="M15" t="s">
        <v>139</v>
      </c>
    </row>
    <row r="16" spans="1:27" x14ac:dyDescent="0.25">
      <c r="J16" s="6" t="s">
        <v>88</v>
      </c>
      <c r="K16" t="s">
        <v>140</v>
      </c>
      <c r="L16" s="6" t="s">
        <v>87</v>
      </c>
      <c r="M16" t="s">
        <v>141</v>
      </c>
    </row>
    <row r="17" spans="4:13" x14ac:dyDescent="0.25">
      <c r="J17" s="6" t="s">
        <v>88</v>
      </c>
      <c r="K17" t="s">
        <v>142</v>
      </c>
      <c r="L17" s="6" t="s">
        <v>87</v>
      </c>
      <c r="M17" t="s">
        <v>143</v>
      </c>
    </row>
    <row r="18" spans="4:13" x14ac:dyDescent="0.25">
      <c r="J18" s="6" t="s">
        <v>88</v>
      </c>
      <c r="K18" t="s">
        <v>144</v>
      </c>
      <c r="L18" s="6" t="s">
        <v>87</v>
      </c>
      <c r="M18" t="s">
        <v>145</v>
      </c>
    </row>
    <row r="19" spans="4:13" x14ac:dyDescent="0.25">
      <c r="J19" s="6" t="s">
        <v>88</v>
      </c>
      <c r="K19" t="s">
        <v>76</v>
      </c>
      <c r="L19" s="6" t="s">
        <v>87</v>
      </c>
      <c r="M19" t="s">
        <v>76</v>
      </c>
    </row>
    <row r="20" spans="4:13" x14ac:dyDescent="0.25">
      <c r="J20" s="6" t="s">
        <v>88</v>
      </c>
      <c r="K20" t="s">
        <v>146</v>
      </c>
      <c r="L20" s="6" t="s">
        <v>87</v>
      </c>
      <c r="M20" t="s">
        <v>147</v>
      </c>
    </row>
    <row r="21" spans="4:13" x14ac:dyDescent="0.25">
      <c r="J21" s="6" t="s">
        <v>88</v>
      </c>
      <c r="K21" t="s">
        <v>148</v>
      </c>
      <c r="L21" s="6" t="s">
        <v>87</v>
      </c>
      <c r="M21" t="s">
        <v>149</v>
      </c>
    </row>
    <row r="22" spans="4:13" x14ac:dyDescent="0.25">
      <c r="J22" s="6" t="s">
        <v>88</v>
      </c>
      <c r="K22" t="s">
        <v>150</v>
      </c>
      <c r="L22" s="6" t="s">
        <v>87</v>
      </c>
      <c r="M22" t="s">
        <v>151</v>
      </c>
    </row>
    <row r="23" spans="4:13" x14ac:dyDescent="0.25">
      <c r="J23" s="6" t="s">
        <v>88</v>
      </c>
      <c r="K23" t="s">
        <v>152</v>
      </c>
      <c r="L23" s="6" t="s">
        <v>87</v>
      </c>
      <c r="M23" t="s">
        <v>153</v>
      </c>
    </row>
    <row r="24" spans="4:13" x14ac:dyDescent="0.25">
      <c r="J24" s="6" t="s">
        <v>88</v>
      </c>
      <c r="K24" t="s">
        <v>154</v>
      </c>
      <c r="L24" s="6" t="s">
        <v>87</v>
      </c>
      <c r="M24" t="s">
        <v>155</v>
      </c>
    </row>
    <row r="25" spans="4:13" x14ac:dyDescent="0.25">
      <c r="D25" t="s">
        <v>387</v>
      </c>
      <c r="J25" s="6" t="s">
        <v>88</v>
      </c>
      <c r="K25" t="s">
        <v>156</v>
      </c>
      <c r="L25" s="6" t="s">
        <v>87</v>
      </c>
      <c r="M25" t="s">
        <v>157</v>
      </c>
    </row>
    <row r="26" spans="4:13" x14ac:dyDescent="0.25">
      <c r="J26" s="6" t="s">
        <v>88</v>
      </c>
      <c r="K26" t="s">
        <v>74</v>
      </c>
      <c r="L26" s="6" t="s">
        <v>87</v>
      </c>
      <c r="M26" t="s">
        <v>75</v>
      </c>
    </row>
    <row r="27" spans="4:13" x14ac:dyDescent="0.25">
      <c r="J27" s="6" t="s">
        <v>85</v>
      </c>
      <c r="K27" s="6" t="s">
        <v>589</v>
      </c>
      <c r="L27" s="6" t="s">
        <v>86</v>
      </c>
      <c r="M27" s="6" t="s">
        <v>819</v>
      </c>
    </row>
    <row r="28" spans="4:13" x14ac:dyDescent="0.25">
      <c r="J28" s="6" t="s">
        <v>88</v>
      </c>
      <c r="K28" t="s">
        <v>158</v>
      </c>
      <c r="L28" s="6" t="s">
        <v>87</v>
      </c>
      <c r="M28" t="s">
        <v>159</v>
      </c>
    </row>
    <row r="29" spans="4:13" x14ac:dyDescent="0.25">
      <c r="J29" s="6" t="s">
        <v>88</v>
      </c>
      <c r="K29" t="s">
        <v>160</v>
      </c>
      <c r="L29" s="6" t="s">
        <v>87</v>
      </c>
      <c r="M29" t="s">
        <v>161</v>
      </c>
    </row>
    <row r="30" spans="4:13" x14ac:dyDescent="0.25">
      <c r="J30" s="6" t="s">
        <v>88</v>
      </c>
      <c r="K30" t="s">
        <v>162</v>
      </c>
      <c r="L30" s="6" t="s">
        <v>87</v>
      </c>
      <c r="M30" t="s">
        <v>162</v>
      </c>
    </row>
    <row r="31" spans="4:13" x14ac:dyDescent="0.25">
      <c r="J31" s="6" t="s">
        <v>88</v>
      </c>
      <c r="K31" t="s">
        <v>163</v>
      </c>
      <c r="L31" s="6" t="s">
        <v>87</v>
      </c>
      <c r="M31" t="s">
        <v>164</v>
      </c>
    </row>
    <row r="32" spans="4:13" x14ac:dyDescent="0.25">
      <c r="J32" s="6" t="s">
        <v>88</v>
      </c>
      <c r="K32" t="s">
        <v>165</v>
      </c>
      <c r="L32" s="6" t="s">
        <v>87</v>
      </c>
      <c r="M32" t="s">
        <v>166</v>
      </c>
    </row>
    <row r="33" spans="10:13" x14ac:dyDescent="0.25">
      <c r="J33" s="6" t="s">
        <v>88</v>
      </c>
      <c r="K33" t="s">
        <v>167</v>
      </c>
      <c r="L33" s="6" t="s">
        <v>87</v>
      </c>
      <c r="M33" t="s">
        <v>167</v>
      </c>
    </row>
    <row r="34" spans="10:13" x14ac:dyDescent="0.25">
      <c r="J34" s="6" t="s">
        <v>88</v>
      </c>
      <c r="K34" t="s">
        <v>168</v>
      </c>
      <c r="L34" s="6" t="s">
        <v>87</v>
      </c>
      <c r="M34" t="s">
        <v>169</v>
      </c>
    </row>
    <row r="35" spans="10:13" x14ac:dyDescent="0.25">
      <c r="J35" s="6" t="s">
        <v>88</v>
      </c>
      <c r="K35" t="s">
        <v>77</v>
      </c>
      <c r="L35" s="6" t="s">
        <v>87</v>
      </c>
      <c r="M35" t="s">
        <v>78</v>
      </c>
    </row>
    <row r="36" spans="10:13" x14ac:dyDescent="0.25">
      <c r="J36" s="6" t="s">
        <v>88</v>
      </c>
      <c r="K36" t="s">
        <v>170</v>
      </c>
      <c r="L36" s="6" t="s">
        <v>87</v>
      </c>
      <c r="M36" t="s">
        <v>171</v>
      </c>
    </row>
    <row r="37" spans="10:13" x14ac:dyDescent="0.25">
      <c r="J37" s="6" t="s">
        <v>88</v>
      </c>
      <c r="K37" t="s">
        <v>172</v>
      </c>
      <c r="L37" s="6" t="s">
        <v>87</v>
      </c>
      <c r="M37" t="s">
        <v>173</v>
      </c>
    </row>
    <row r="38" spans="10:13" x14ac:dyDescent="0.25">
      <c r="J38" s="6" t="s">
        <v>88</v>
      </c>
      <c r="K38" t="s">
        <v>79</v>
      </c>
      <c r="L38" s="6" t="s">
        <v>87</v>
      </c>
      <c r="M38" t="s">
        <v>89</v>
      </c>
    </row>
    <row r="39" spans="10:13" x14ac:dyDescent="0.25">
      <c r="J39" s="6" t="s">
        <v>88</v>
      </c>
      <c r="K39" t="s">
        <v>174</v>
      </c>
      <c r="L39" s="6" t="s">
        <v>87</v>
      </c>
      <c r="M39" t="s">
        <v>174</v>
      </c>
    </row>
    <row r="40" spans="10:13" x14ac:dyDescent="0.25">
      <c r="J40" s="6" t="s">
        <v>88</v>
      </c>
      <c r="K40" t="s">
        <v>175</v>
      </c>
      <c r="L40" s="6" t="s">
        <v>87</v>
      </c>
      <c r="M40" t="s">
        <v>176</v>
      </c>
    </row>
    <row r="41" spans="10:13" x14ac:dyDescent="0.25">
      <c r="J41" s="6" t="s">
        <v>88</v>
      </c>
      <c r="K41" t="s">
        <v>177</v>
      </c>
      <c r="L41" s="6" t="s">
        <v>87</v>
      </c>
      <c r="M41" t="s">
        <v>178</v>
      </c>
    </row>
    <row r="42" spans="10:13" x14ac:dyDescent="0.25">
      <c r="J42" s="6" t="s">
        <v>85</v>
      </c>
      <c r="K42" t="s">
        <v>687</v>
      </c>
      <c r="L42" s="6" t="s">
        <v>86</v>
      </c>
      <c r="M42" s="38" t="s">
        <v>822</v>
      </c>
    </row>
    <row r="43" spans="10:13" x14ac:dyDescent="0.25">
      <c r="J43" s="6" t="s">
        <v>88</v>
      </c>
      <c r="K43" t="s">
        <v>179</v>
      </c>
      <c r="L43" s="6" t="s">
        <v>87</v>
      </c>
      <c r="M43" t="s">
        <v>180</v>
      </c>
    </row>
    <row r="44" spans="10:13" x14ac:dyDescent="0.25">
      <c r="J44" s="6" t="s">
        <v>88</v>
      </c>
      <c r="K44" t="s">
        <v>181</v>
      </c>
      <c r="L44" s="6" t="s">
        <v>87</v>
      </c>
      <c r="M44" t="s">
        <v>182</v>
      </c>
    </row>
    <row r="45" spans="10:13" x14ac:dyDescent="0.25">
      <c r="J45" s="6" t="s">
        <v>88</v>
      </c>
      <c r="K45" t="s">
        <v>183</v>
      </c>
      <c r="L45" s="6" t="s">
        <v>87</v>
      </c>
      <c r="M45" t="s">
        <v>184</v>
      </c>
    </row>
    <row r="46" spans="10:13" x14ac:dyDescent="0.25">
      <c r="J46" s="6" t="s">
        <v>88</v>
      </c>
      <c r="K46" t="s">
        <v>185</v>
      </c>
      <c r="L46" s="6" t="s">
        <v>87</v>
      </c>
      <c r="M46" t="s">
        <v>186</v>
      </c>
    </row>
    <row r="47" spans="10:13" x14ac:dyDescent="0.25">
      <c r="J47" s="6" t="s">
        <v>88</v>
      </c>
      <c r="K47" t="s">
        <v>187</v>
      </c>
      <c r="L47" s="6" t="s">
        <v>87</v>
      </c>
      <c r="M47" t="s">
        <v>188</v>
      </c>
    </row>
    <row r="48" spans="10:13" x14ac:dyDescent="0.25">
      <c r="J48" s="6" t="s">
        <v>88</v>
      </c>
      <c r="K48" t="s">
        <v>190</v>
      </c>
      <c r="L48" s="6" t="s">
        <v>87</v>
      </c>
      <c r="M48" t="s">
        <v>190</v>
      </c>
    </row>
    <row r="49" spans="10:13" x14ac:dyDescent="0.25">
      <c r="J49" s="6" t="s">
        <v>88</v>
      </c>
      <c r="K49" t="s">
        <v>189</v>
      </c>
      <c r="L49" s="6" t="s">
        <v>87</v>
      </c>
      <c r="M49" t="s">
        <v>189</v>
      </c>
    </row>
    <row r="50" spans="10:13" x14ac:dyDescent="0.25">
      <c r="J50" s="6" t="s">
        <v>88</v>
      </c>
      <c r="K50" s="6" t="s">
        <v>191</v>
      </c>
      <c r="L50" s="6" t="s">
        <v>87</v>
      </c>
      <c r="M50" s="6" t="s">
        <v>192</v>
      </c>
    </row>
    <row r="51" spans="10:13" x14ac:dyDescent="0.25">
      <c r="J51" s="6" t="s">
        <v>88</v>
      </c>
      <c r="K51" t="s">
        <v>83</v>
      </c>
      <c r="L51" t="s">
        <v>87</v>
      </c>
      <c r="M51" t="s">
        <v>84</v>
      </c>
    </row>
    <row r="52" spans="10:13" x14ac:dyDescent="0.25">
      <c r="J52" s="6" t="s">
        <v>85</v>
      </c>
      <c r="K52" s="6" t="s">
        <v>416</v>
      </c>
      <c r="L52" s="6" t="s">
        <v>86</v>
      </c>
      <c r="M52" s="6" t="s">
        <v>520</v>
      </c>
    </row>
    <row r="53" spans="10:13" x14ac:dyDescent="0.25">
      <c r="J53" s="6" t="s">
        <v>85</v>
      </c>
      <c r="K53" s="6" t="s">
        <v>198</v>
      </c>
      <c r="L53" s="6" t="s">
        <v>86</v>
      </c>
      <c r="M53" s="6" t="s">
        <v>199</v>
      </c>
    </row>
    <row r="54" spans="10:13" x14ac:dyDescent="0.25">
      <c r="J54" s="6" t="s">
        <v>85</v>
      </c>
      <c r="K54" s="6" t="s">
        <v>200</v>
      </c>
      <c r="L54" s="6" t="s">
        <v>86</v>
      </c>
      <c r="M54" s="6" t="s">
        <v>200</v>
      </c>
    </row>
    <row r="55" spans="10:13" x14ac:dyDescent="0.25">
      <c r="J55" s="6" t="s">
        <v>85</v>
      </c>
      <c r="K55" s="6" t="s">
        <v>201</v>
      </c>
      <c r="L55" s="6" t="s">
        <v>86</v>
      </c>
      <c r="M55" s="6" t="s">
        <v>202</v>
      </c>
    </row>
    <row r="56" spans="10:13" x14ac:dyDescent="0.25">
      <c r="J56" s="6" t="s">
        <v>85</v>
      </c>
      <c r="K56" s="6" t="s">
        <v>410</v>
      </c>
      <c r="L56" s="6" t="s">
        <v>86</v>
      </c>
      <c r="M56" s="6" t="s">
        <v>411</v>
      </c>
    </row>
    <row r="57" spans="10:13" x14ac:dyDescent="0.25">
      <c r="J57" s="6" t="s">
        <v>85</v>
      </c>
      <c r="K57" s="6" t="s">
        <v>193</v>
      </c>
      <c r="L57" s="6" t="s">
        <v>86</v>
      </c>
      <c r="M57" t="s">
        <v>196</v>
      </c>
    </row>
    <row r="58" spans="10:13" x14ac:dyDescent="0.25">
      <c r="J58" s="6" t="s">
        <v>85</v>
      </c>
      <c r="K58" s="6" t="s">
        <v>194</v>
      </c>
      <c r="L58" s="6" t="s">
        <v>86</v>
      </c>
      <c r="M58" t="s">
        <v>197</v>
      </c>
    </row>
    <row r="59" spans="10:13" x14ac:dyDescent="0.25">
      <c r="J59" s="6" t="s">
        <v>85</v>
      </c>
      <c r="K59" s="6" t="s">
        <v>195</v>
      </c>
      <c r="L59" s="6" t="s">
        <v>86</v>
      </c>
      <c r="M59" t="s">
        <v>195</v>
      </c>
    </row>
    <row r="60" spans="10:13" x14ac:dyDescent="0.25">
      <c r="J60" s="6"/>
      <c r="K60" s="6"/>
      <c r="L60" s="6"/>
      <c r="M60" s="6"/>
    </row>
    <row r="61" spans="10:13" x14ac:dyDescent="0.25">
      <c r="J61" s="6"/>
      <c r="K61" s="6"/>
      <c r="L61" s="6"/>
      <c r="M61" s="6"/>
    </row>
    <row r="62" spans="10:13" x14ac:dyDescent="0.25">
      <c r="J62" s="6"/>
      <c r="K62" s="6"/>
      <c r="L62" s="6"/>
      <c r="M62" s="6"/>
    </row>
  </sheetData>
  <sortState xmlns:xlrd2="http://schemas.microsoft.com/office/spreadsheetml/2017/richdata2" ref="O16:O69">
    <sortCondition ref="O16:O69"/>
  </sortState>
  <pageMargins left="0.7" right="0.7" top="0.75" bottom="0.75" header="0.3" footer="0.3"/>
  <pageSetup paperSize="9" orientation="portrait" verticalDpi="599" r:id="rId1"/>
  <tableParts count="7">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4BD8-427D-48D2-A1C3-284AE537F81D}">
  <sheetPr codeName="Sheet6"/>
  <dimension ref="A1:H35"/>
  <sheetViews>
    <sheetView workbookViewId="0">
      <selection activeCell="C26" sqref="C26"/>
    </sheetView>
  </sheetViews>
  <sheetFormatPr defaultColWidth="8.85546875" defaultRowHeight="15" x14ac:dyDescent="0.25"/>
  <cols>
    <col min="1" max="2" width="20" customWidth="1"/>
    <col min="3" max="3" width="90.7109375" customWidth="1"/>
    <col min="4" max="4" width="20" customWidth="1"/>
  </cols>
  <sheetData>
    <row r="1" spans="1:8" ht="13.5" customHeight="1" x14ac:dyDescent="0.25">
      <c r="A1" s="8" t="s">
        <v>56</v>
      </c>
      <c r="B1" s="8" t="s">
        <v>118</v>
      </c>
      <c r="C1" s="8" t="s">
        <v>119</v>
      </c>
      <c r="D1" s="8" t="s">
        <v>120</v>
      </c>
    </row>
    <row r="2" spans="1:8" ht="13.5" customHeight="1" x14ac:dyDescent="0.25">
      <c r="A2" s="20" t="s">
        <v>57</v>
      </c>
      <c r="B2" s="20" t="s">
        <v>97</v>
      </c>
      <c r="C2" s="22" t="s">
        <v>334</v>
      </c>
      <c r="D2" s="24">
        <v>0</v>
      </c>
    </row>
    <row r="3" spans="1:8" ht="13.5" customHeight="1" x14ac:dyDescent="0.25">
      <c r="A3" s="21" t="s">
        <v>116</v>
      </c>
      <c r="B3" s="21" t="s">
        <v>97</v>
      </c>
      <c r="C3" s="23" t="s">
        <v>335</v>
      </c>
      <c r="D3" s="25">
        <v>0</v>
      </c>
    </row>
    <row r="4" spans="1:8" ht="13.5" customHeight="1" x14ac:dyDescent="0.25">
      <c r="A4" s="20" t="s">
        <v>57</v>
      </c>
      <c r="B4" s="20" t="s">
        <v>322</v>
      </c>
      <c r="C4" s="40" t="s">
        <v>397</v>
      </c>
      <c r="D4" s="24">
        <v>0</v>
      </c>
      <c r="H4" s="38" t="s">
        <v>395</v>
      </c>
    </row>
    <row r="5" spans="1:8" ht="13.5" customHeight="1" x14ac:dyDescent="0.25">
      <c r="A5" s="21" t="s">
        <v>116</v>
      </c>
      <c r="B5" s="21" t="s">
        <v>322</v>
      </c>
      <c r="C5" s="39" t="s">
        <v>396</v>
      </c>
      <c r="D5" s="25">
        <v>0</v>
      </c>
    </row>
    <row r="6" spans="1:8" ht="13.5" customHeight="1" x14ac:dyDescent="0.25">
      <c r="A6" s="20" t="s">
        <v>57</v>
      </c>
      <c r="B6" s="20" t="s">
        <v>323</v>
      </c>
      <c r="C6" s="40" t="s">
        <v>399</v>
      </c>
      <c r="D6" s="24">
        <v>0</v>
      </c>
    </row>
    <row r="7" spans="1:8" ht="13.5" customHeight="1" x14ac:dyDescent="0.25">
      <c r="A7" s="21" t="s">
        <v>116</v>
      </c>
      <c r="B7" s="21" t="s">
        <v>323</v>
      </c>
      <c r="C7" s="39" t="s">
        <v>398</v>
      </c>
      <c r="D7" s="25">
        <v>0</v>
      </c>
    </row>
    <row r="8" spans="1:8" ht="13.5" customHeight="1" x14ac:dyDescent="0.25">
      <c r="A8" s="20" t="s">
        <v>57</v>
      </c>
      <c r="B8" s="20" t="s">
        <v>324</v>
      </c>
      <c r="C8" s="22" t="s">
        <v>1</v>
      </c>
      <c r="D8" s="24">
        <v>1</v>
      </c>
    </row>
    <row r="9" spans="1:8" ht="13.5" customHeight="1" x14ac:dyDescent="0.25">
      <c r="A9" s="21" t="s">
        <v>116</v>
      </c>
      <c r="B9" s="21" t="s">
        <v>324</v>
      </c>
      <c r="C9" s="23" t="s">
        <v>336</v>
      </c>
      <c r="D9" s="25">
        <v>1</v>
      </c>
    </row>
    <row r="10" spans="1:8" ht="13.5" customHeight="1" x14ac:dyDescent="0.25">
      <c r="A10" s="20" t="s">
        <v>57</v>
      </c>
      <c r="B10" s="20" t="s">
        <v>325</v>
      </c>
      <c r="C10" s="26" t="s">
        <v>343</v>
      </c>
      <c r="D10" s="24">
        <v>2</v>
      </c>
    </row>
    <row r="11" spans="1:8" ht="13.5" customHeight="1" x14ac:dyDescent="0.25">
      <c r="A11" s="21" t="s">
        <v>116</v>
      </c>
      <c r="B11" s="21" t="s">
        <v>325</v>
      </c>
      <c r="C11" s="27" t="s">
        <v>361</v>
      </c>
      <c r="D11" s="25">
        <v>2</v>
      </c>
    </row>
    <row r="12" spans="1:8" ht="13.5" customHeight="1" x14ac:dyDescent="0.25">
      <c r="A12" s="20" t="s">
        <v>57</v>
      </c>
      <c r="B12" s="20" t="s">
        <v>326</v>
      </c>
      <c r="C12" s="22" t="s">
        <v>358</v>
      </c>
      <c r="D12" s="24">
        <v>3</v>
      </c>
    </row>
    <row r="13" spans="1:8" ht="13.5" customHeight="1" x14ac:dyDescent="0.25">
      <c r="A13" s="21" t="s">
        <v>116</v>
      </c>
      <c r="B13" s="21" t="s">
        <v>326</v>
      </c>
      <c r="C13" s="32" t="s">
        <v>357</v>
      </c>
      <c r="D13" s="25">
        <v>3</v>
      </c>
    </row>
    <row r="14" spans="1:8" ht="13.5" customHeight="1" x14ac:dyDescent="0.25">
      <c r="A14" s="20" t="s">
        <v>57</v>
      </c>
      <c r="B14" s="20" t="s">
        <v>327</v>
      </c>
      <c r="C14" s="22" t="s">
        <v>2</v>
      </c>
      <c r="D14" s="24">
        <v>4</v>
      </c>
    </row>
    <row r="15" spans="1:8" ht="13.5" customHeight="1" x14ac:dyDescent="0.25">
      <c r="A15" s="21" t="s">
        <v>116</v>
      </c>
      <c r="B15" s="21" t="s">
        <v>327</v>
      </c>
      <c r="C15" s="23" t="s">
        <v>337</v>
      </c>
      <c r="D15" s="25">
        <v>4</v>
      </c>
    </row>
    <row r="16" spans="1:8" ht="13.5" customHeight="1" x14ac:dyDescent="0.25">
      <c r="A16" s="20" t="s">
        <v>57</v>
      </c>
      <c r="B16" s="20" t="s">
        <v>328</v>
      </c>
      <c r="C16" s="22" t="s">
        <v>70</v>
      </c>
      <c r="D16" s="24">
        <v>5</v>
      </c>
    </row>
    <row r="17" spans="1:4" ht="13.5" customHeight="1" x14ac:dyDescent="0.25">
      <c r="A17" s="21" t="s">
        <v>116</v>
      </c>
      <c r="B17" s="21" t="s">
        <v>328</v>
      </c>
      <c r="C17" s="23" t="s">
        <v>71</v>
      </c>
      <c r="D17" s="25">
        <v>5</v>
      </c>
    </row>
    <row r="18" spans="1:4" ht="13.5" customHeight="1" x14ac:dyDescent="0.25">
      <c r="A18" s="20" t="s">
        <v>57</v>
      </c>
      <c r="B18" s="20" t="s">
        <v>329</v>
      </c>
      <c r="C18" s="22" t="s">
        <v>4</v>
      </c>
      <c r="D18" s="24">
        <v>6</v>
      </c>
    </row>
    <row r="19" spans="1:4" ht="13.5" customHeight="1" x14ac:dyDescent="0.25">
      <c r="A19" s="21" t="s">
        <v>116</v>
      </c>
      <c r="B19" s="21" t="s">
        <v>329</v>
      </c>
      <c r="C19" s="23" t="s">
        <v>338</v>
      </c>
      <c r="D19" s="25">
        <v>6</v>
      </c>
    </row>
    <row r="20" spans="1:4" ht="13.5" customHeight="1" x14ac:dyDescent="0.25">
      <c r="A20" s="20" t="s">
        <v>57</v>
      </c>
      <c r="B20" s="20" t="s">
        <v>330</v>
      </c>
      <c r="C20" s="22" t="s">
        <v>339</v>
      </c>
      <c r="D20" s="24">
        <v>7</v>
      </c>
    </row>
    <row r="21" spans="1:4" ht="13.5" customHeight="1" x14ac:dyDescent="0.25">
      <c r="A21" s="21" t="s">
        <v>116</v>
      </c>
      <c r="B21" s="21" t="s">
        <v>330</v>
      </c>
      <c r="C21" s="27" t="s">
        <v>400</v>
      </c>
      <c r="D21" s="25">
        <v>7</v>
      </c>
    </row>
    <row r="22" spans="1:4" x14ac:dyDescent="0.25">
      <c r="A22" s="20" t="s">
        <v>57</v>
      </c>
      <c r="B22" s="20" t="s">
        <v>331</v>
      </c>
      <c r="C22" s="22" t="s">
        <v>923</v>
      </c>
      <c r="D22" s="24">
        <v>8</v>
      </c>
    </row>
    <row r="23" spans="1:4" x14ac:dyDescent="0.25">
      <c r="A23" s="21" t="s">
        <v>116</v>
      </c>
      <c r="B23" s="21" t="s">
        <v>331</v>
      </c>
      <c r="C23" s="27" t="s">
        <v>401</v>
      </c>
      <c r="D23" s="25">
        <v>8</v>
      </c>
    </row>
    <row r="24" spans="1:4" x14ac:dyDescent="0.25">
      <c r="A24" s="20" t="s">
        <v>57</v>
      </c>
      <c r="B24" s="20" t="s">
        <v>332</v>
      </c>
      <c r="C24" s="22" t="s">
        <v>3</v>
      </c>
      <c r="D24" s="24">
        <v>9</v>
      </c>
    </row>
    <row r="25" spans="1:4" x14ac:dyDescent="0.25">
      <c r="A25" s="21" t="s">
        <v>116</v>
      </c>
      <c r="B25" s="21" t="s">
        <v>332</v>
      </c>
      <c r="C25" s="23" t="s">
        <v>340</v>
      </c>
      <c r="D25" s="25">
        <v>9</v>
      </c>
    </row>
    <row r="26" spans="1:4" x14ac:dyDescent="0.25">
      <c r="A26" s="20" t="s">
        <v>57</v>
      </c>
      <c r="B26" s="20" t="s">
        <v>333</v>
      </c>
      <c r="C26" s="22" t="s">
        <v>341</v>
      </c>
      <c r="D26" s="24">
        <v>10</v>
      </c>
    </row>
    <row r="27" spans="1:4" x14ac:dyDescent="0.25">
      <c r="A27" s="21" t="s">
        <v>116</v>
      </c>
      <c r="B27" s="21" t="s">
        <v>333</v>
      </c>
      <c r="C27" s="23" t="s">
        <v>342</v>
      </c>
      <c r="D27" s="25">
        <v>10</v>
      </c>
    </row>
    <row r="28" spans="1:4" x14ac:dyDescent="0.25">
      <c r="A28" s="20" t="s">
        <v>57</v>
      </c>
      <c r="B28" s="20" t="s">
        <v>356</v>
      </c>
      <c r="C28" s="22" t="s">
        <v>359</v>
      </c>
      <c r="D28" s="24">
        <v>11</v>
      </c>
    </row>
    <row r="29" spans="1:4" x14ac:dyDescent="0.25">
      <c r="A29" s="21" t="s">
        <v>116</v>
      </c>
      <c r="B29" s="21" t="s">
        <v>356</v>
      </c>
      <c r="C29" s="23" t="s">
        <v>360</v>
      </c>
      <c r="D29" s="25">
        <v>11</v>
      </c>
    </row>
    <row r="30" spans="1:4" x14ac:dyDescent="0.25">
      <c r="A30" s="20" t="s">
        <v>57</v>
      </c>
      <c r="B30" s="34" t="s">
        <v>364</v>
      </c>
      <c r="C30" s="33" t="s">
        <v>363</v>
      </c>
      <c r="D30" s="36">
        <v>12</v>
      </c>
    </row>
    <row r="31" spans="1:4" x14ac:dyDescent="0.25">
      <c r="A31" s="21" t="s">
        <v>116</v>
      </c>
      <c r="B31" s="35" t="s">
        <v>364</v>
      </c>
      <c r="C31" s="6" t="s">
        <v>362</v>
      </c>
      <c r="D31" s="37">
        <v>12</v>
      </c>
    </row>
    <row r="32" spans="1:4" x14ac:dyDescent="0.25">
      <c r="A32" s="20" t="s">
        <v>57</v>
      </c>
      <c r="B32" s="34" t="str">
        <f>"filter"&amp;D32</f>
        <v>filter13</v>
      </c>
      <c r="C32" s="33" t="s">
        <v>120</v>
      </c>
      <c r="D32" s="36">
        <v>13</v>
      </c>
    </row>
    <row r="33" spans="1:4" x14ac:dyDescent="0.25">
      <c r="A33" s="21" t="s">
        <v>116</v>
      </c>
      <c r="B33" s="34" t="str">
        <f t="shared" ref="B33:B35" si="0">"filter"&amp;D33</f>
        <v>filter13</v>
      </c>
      <c r="C33" s="6" t="s">
        <v>120</v>
      </c>
      <c r="D33" s="37">
        <v>13</v>
      </c>
    </row>
    <row r="34" spans="1:4" x14ac:dyDescent="0.25">
      <c r="A34" s="20" t="s">
        <v>57</v>
      </c>
      <c r="B34" s="34" t="str">
        <f t="shared" si="0"/>
        <v>filter14</v>
      </c>
      <c r="C34" s="33" t="s">
        <v>1130</v>
      </c>
      <c r="D34" s="36">
        <v>14</v>
      </c>
    </row>
    <row r="35" spans="1:4" x14ac:dyDescent="0.25">
      <c r="A35" s="21" t="s">
        <v>116</v>
      </c>
      <c r="B35" s="34" t="str">
        <f t="shared" si="0"/>
        <v>filter14</v>
      </c>
      <c r="C35" s="6" t="s">
        <v>1131</v>
      </c>
      <c r="D35" s="37">
        <v>14</v>
      </c>
    </row>
  </sheetData>
  <phoneticPr fontId="9" type="noConversion"/>
  <pageMargins left="0.7" right="0.7" top="0.75" bottom="0.75" header="0.3" footer="0.3"/>
  <pageSetup paperSize="9" orientation="portrait" verticalDpi="59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6DE5-1B49-4823-A998-EE7242F54D86}">
  <sheetPr codeName="Sheet7"/>
  <dimension ref="A1:B16359"/>
  <sheetViews>
    <sheetView zoomScale="85" zoomScaleNormal="85" workbookViewId="0">
      <selection activeCell="D3" sqref="D3"/>
    </sheetView>
  </sheetViews>
  <sheetFormatPr defaultColWidth="11.42578125" defaultRowHeight="46.5" customHeight="1" x14ac:dyDescent="0.25"/>
  <cols>
    <col min="1" max="1" width="88" customWidth="1"/>
    <col min="2" max="2" width="255.7109375" bestFit="1" customWidth="1"/>
  </cols>
  <sheetData>
    <row r="1" spans="1:2" ht="46.5" customHeight="1" x14ac:dyDescent="0.25">
      <c r="A1" s="5" t="s">
        <v>46</v>
      </c>
      <c r="B1" s="1" t="s">
        <v>53</v>
      </c>
    </row>
    <row r="2" spans="1:2" ht="46.5" customHeight="1" x14ac:dyDescent="0.25">
      <c r="A2" s="5" t="s">
        <v>41</v>
      </c>
      <c r="B2" s="1" t="s">
        <v>54</v>
      </c>
    </row>
    <row r="3" spans="1:2" ht="46.5" customHeight="1" x14ac:dyDescent="0.25">
      <c r="A3" s="1" t="s">
        <v>39</v>
      </c>
      <c r="B3" s="1" t="s">
        <v>52</v>
      </c>
    </row>
    <row r="4" spans="1:2" ht="46.5" customHeight="1" x14ac:dyDescent="0.25">
      <c r="A4" s="1" t="s">
        <v>42</v>
      </c>
      <c r="B4" s="1" t="s">
        <v>49</v>
      </c>
    </row>
    <row r="5" spans="1:2" ht="46.5" customHeight="1" x14ac:dyDescent="0.25">
      <c r="A5" s="1" t="s">
        <v>43</v>
      </c>
      <c r="B5" s="1" t="s">
        <v>55</v>
      </c>
    </row>
    <row r="6" spans="1:2" ht="46.5" customHeight="1" x14ac:dyDescent="0.25">
      <c r="A6" s="1" t="s">
        <v>44</v>
      </c>
      <c r="B6" s="1" t="s">
        <v>50</v>
      </c>
    </row>
    <row r="7" spans="1:2" ht="46.5" customHeight="1" x14ac:dyDescent="0.25">
      <c r="A7" s="1" t="s">
        <v>40</v>
      </c>
      <c r="B7" s="1" t="s">
        <v>48</v>
      </c>
    </row>
    <row r="8" spans="1:2" ht="46.5" customHeight="1" x14ac:dyDescent="0.25">
      <c r="A8" s="1" t="s">
        <v>38</v>
      </c>
      <c r="B8" s="1" t="s">
        <v>47</v>
      </c>
    </row>
    <row r="9" spans="1:2" ht="46.5" customHeight="1" x14ac:dyDescent="0.25">
      <c r="A9" s="1" t="s">
        <v>45</v>
      </c>
      <c r="B9" s="1" t="s">
        <v>51</v>
      </c>
    </row>
    <row r="10" spans="1:2" ht="46.5" customHeight="1" x14ac:dyDescent="0.25">
      <c r="A10" s="2" t="s">
        <v>9</v>
      </c>
      <c r="B10" s="3" t="s">
        <v>67</v>
      </c>
    </row>
    <row r="11" spans="1:2" ht="46.5" customHeight="1" x14ac:dyDescent="0.25">
      <c r="A11" s="2" t="s">
        <v>12</v>
      </c>
      <c r="B11" s="3" t="s">
        <v>27</v>
      </c>
    </row>
    <row r="12" spans="1:2" ht="46.5" customHeight="1" x14ac:dyDescent="0.25">
      <c r="A12" s="2" t="s">
        <v>13</v>
      </c>
      <c r="B12" s="3" t="s">
        <v>28</v>
      </c>
    </row>
    <row r="13" spans="1:2" ht="46.5" customHeight="1" x14ac:dyDescent="0.25">
      <c r="A13" s="2" t="s">
        <v>11</v>
      </c>
      <c r="B13" s="3" t="s">
        <v>29</v>
      </c>
    </row>
    <row r="14" spans="1:2" ht="46.5" customHeight="1" x14ac:dyDescent="0.25">
      <c r="A14" s="2" t="s">
        <v>25</v>
      </c>
      <c r="B14" s="3" t="s">
        <v>32</v>
      </c>
    </row>
    <row r="15" spans="1:2" ht="46.5" customHeight="1" x14ac:dyDescent="0.25">
      <c r="A15" s="2" t="s">
        <v>10</v>
      </c>
      <c r="B15" s="3" t="s">
        <v>31</v>
      </c>
    </row>
    <row r="16" spans="1:2" ht="46.5" customHeight="1" x14ac:dyDescent="0.25">
      <c r="A16" s="2" t="s">
        <v>24</v>
      </c>
      <c r="B16" s="3" t="s">
        <v>68</v>
      </c>
    </row>
    <row r="17" spans="1:2" ht="46.5" customHeight="1" x14ac:dyDescent="0.25">
      <c r="A17" s="2" t="s">
        <v>19</v>
      </c>
      <c r="B17" s="3" t="s">
        <v>69</v>
      </c>
    </row>
    <row r="18" spans="1:2" ht="46.5" customHeight="1" thickBot="1" x14ac:dyDescent="0.3">
      <c r="A18" s="4" t="s">
        <v>26</v>
      </c>
      <c r="B18" s="3" t="s">
        <v>30</v>
      </c>
    </row>
    <row r="19" spans="1:2" ht="46.5" customHeight="1" x14ac:dyDescent="0.25">
      <c r="A19" s="1"/>
    </row>
    <row r="20" spans="1:2" ht="46.5" customHeight="1" x14ac:dyDescent="0.25">
      <c r="A20" s="1"/>
    </row>
    <row r="21" spans="1:2" ht="46.5" customHeight="1" x14ac:dyDescent="0.25">
      <c r="A21" s="1"/>
    </row>
    <row r="22" spans="1:2" ht="46.5" customHeight="1" x14ac:dyDescent="0.25">
      <c r="A22" s="1"/>
    </row>
    <row r="23" spans="1:2" ht="46.5" customHeight="1" x14ac:dyDescent="0.25">
      <c r="A23" s="1"/>
    </row>
    <row r="24" spans="1:2" ht="46.5" customHeight="1" x14ac:dyDescent="0.25">
      <c r="A24" s="1"/>
    </row>
    <row r="25" spans="1:2" ht="46.5" customHeight="1" x14ac:dyDescent="0.25">
      <c r="A25" s="1"/>
    </row>
    <row r="26" spans="1:2" ht="46.5" customHeight="1" x14ac:dyDescent="0.25">
      <c r="A26" s="1"/>
    </row>
    <row r="27" spans="1:2" ht="46.5" customHeight="1" x14ac:dyDescent="0.25">
      <c r="A27" s="1"/>
    </row>
    <row r="28" spans="1:2" ht="46.5" customHeight="1" x14ac:dyDescent="0.25">
      <c r="A28" s="1"/>
    </row>
    <row r="29" spans="1:2" ht="46.5" customHeight="1" x14ac:dyDescent="0.25">
      <c r="A29" s="1"/>
    </row>
    <row r="30" spans="1:2" ht="46.5" customHeight="1" x14ac:dyDescent="0.25">
      <c r="A30" s="1"/>
    </row>
    <row r="31" spans="1:2" ht="46.5" customHeight="1" x14ac:dyDescent="0.25">
      <c r="A31" s="1"/>
    </row>
    <row r="32" spans="1:2" ht="46.5" customHeight="1" x14ac:dyDescent="0.25">
      <c r="A32" s="1"/>
    </row>
    <row r="33" spans="1:1" ht="46.5" customHeight="1" x14ac:dyDescent="0.25">
      <c r="A33" s="1"/>
    </row>
    <row r="34" spans="1:1" ht="46.5" customHeight="1" x14ac:dyDescent="0.25">
      <c r="A34" s="1"/>
    </row>
    <row r="35" spans="1:1" ht="46.5" customHeight="1" x14ac:dyDescent="0.25">
      <c r="A35" s="1"/>
    </row>
    <row r="36" spans="1:1" ht="46.5" customHeight="1" x14ac:dyDescent="0.25">
      <c r="A36" s="1"/>
    </row>
    <row r="37" spans="1:1" ht="46.5" customHeight="1" x14ac:dyDescent="0.25">
      <c r="A37" s="1"/>
    </row>
    <row r="38" spans="1:1" ht="46.5" customHeight="1" x14ac:dyDescent="0.25">
      <c r="A38" s="1"/>
    </row>
    <row r="39" spans="1:1" ht="46.5" customHeight="1" x14ac:dyDescent="0.25">
      <c r="A39" s="1"/>
    </row>
    <row r="40" spans="1:1" ht="46.5" customHeight="1" x14ac:dyDescent="0.25">
      <c r="A40" s="1"/>
    </row>
    <row r="41" spans="1:1" ht="46.5" customHeight="1" x14ac:dyDescent="0.25">
      <c r="A41" s="1"/>
    </row>
    <row r="42" spans="1:1" ht="46.5" customHeight="1" x14ac:dyDescent="0.25">
      <c r="A42" s="1"/>
    </row>
    <row r="43" spans="1:1" ht="46.5" customHeight="1" x14ac:dyDescent="0.25">
      <c r="A43" s="1"/>
    </row>
    <row r="44" spans="1:1" ht="46.5" customHeight="1" x14ac:dyDescent="0.25">
      <c r="A44" s="1"/>
    </row>
    <row r="45" spans="1:1" ht="46.5" customHeight="1" x14ac:dyDescent="0.25">
      <c r="A45" s="1"/>
    </row>
    <row r="46" spans="1:1" ht="46.5" customHeight="1" x14ac:dyDescent="0.25">
      <c r="A46" s="1"/>
    </row>
    <row r="47" spans="1:1" ht="46.5" customHeight="1" x14ac:dyDescent="0.25">
      <c r="A47" s="1"/>
    </row>
    <row r="48" spans="1:1" ht="46.5" customHeight="1" x14ac:dyDescent="0.25">
      <c r="A48" s="1"/>
    </row>
    <row r="49" spans="1:1" ht="46.5" customHeight="1" x14ac:dyDescent="0.25">
      <c r="A49" s="1"/>
    </row>
    <row r="50" spans="1:1" ht="46.5" customHeight="1" x14ac:dyDescent="0.25">
      <c r="A50" s="1"/>
    </row>
    <row r="51" spans="1:1" ht="46.5" customHeight="1" x14ac:dyDescent="0.25">
      <c r="A51" s="1"/>
    </row>
    <row r="52" spans="1:1" ht="46.5" customHeight="1" x14ac:dyDescent="0.25">
      <c r="A52" s="1"/>
    </row>
    <row r="53" spans="1:1" ht="46.5" customHeight="1" x14ac:dyDescent="0.25">
      <c r="A53" s="1"/>
    </row>
    <row r="54" spans="1:1" ht="46.5" customHeight="1" x14ac:dyDescent="0.25">
      <c r="A54" s="1"/>
    </row>
    <row r="55" spans="1:1" ht="46.5" customHeight="1" x14ac:dyDescent="0.25">
      <c r="A55" s="1"/>
    </row>
    <row r="56" spans="1:1" ht="46.5" customHeight="1" x14ac:dyDescent="0.25">
      <c r="A56" s="1"/>
    </row>
    <row r="57" spans="1:1" ht="46.5" customHeight="1" x14ac:dyDescent="0.25">
      <c r="A57" s="1"/>
    </row>
    <row r="58" spans="1:1" ht="46.5" customHeight="1" x14ac:dyDescent="0.25">
      <c r="A58" s="1"/>
    </row>
    <row r="59" spans="1:1" ht="46.5" customHeight="1" x14ac:dyDescent="0.25">
      <c r="A59" s="1"/>
    </row>
    <row r="60" spans="1:1" ht="46.5" customHeight="1" x14ac:dyDescent="0.25">
      <c r="A60" s="1"/>
    </row>
    <row r="61" spans="1:1" ht="46.5" customHeight="1" x14ac:dyDescent="0.25">
      <c r="A61" s="1"/>
    </row>
    <row r="62" spans="1:1" ht="46.5" customHeight="1" x14ac:dyDescent="0.25">
      <c r="A62" s="1"/>
    </row>
    <row r="63" spans="1:1" ht="46.5" customHeight="1" x14ac:dyDescent="0.25">
      <c r="A63" s="1"/>
    </row>
    <row r="64" spans="1:1" ht="46.5" customHeight="1" x14ac:dyDescent="0.25">
      <c r="A64" s="1"/>
    </row>
    <row r="65" spans="1:1" ht="46.5" customHeight="1" x14ac:dyDescent="0.25">
      <c r="A65" s="1"/>
    </row>
    <row r="66" spans="1:1" ht="46.5" customHeight="1" x14ac:dyDescent="0.25">
      <c r="A66" s="1"/>
    </row>
    <row r="67" spans="1:1" ht="46.5" customHeight="1" x14ac:dyDescent="0.25">
      <c r="A67" s="1"/>
    </row>
    <row r="68" spans="1:1" ht="46.5" customHeight="1" x14ac:dyDescent="0.25">
      <c r="A68" s="1"/>
    </row>
    <row r="69" spans="1:1" ht="46.5" customHeight="1" x14ac:dyDescent="0.25">
      <c r="A69" s="1"/>
    </row>
    <row r="70" spans="1:1" ht="46.5" customHeight="1" x14ac:dyDescent="0.25">
      <c r="A70" s="1"/>
    </row>
    <row r="71" spans="1:1" ht="46.5" customHeight="1" x14ac:dyDescent="0.25">
      <c r="A71" s="1"/>
    </row>
    <row r="72" spans="1:1" ht="46.5" customHeight="1" x14ac:dyDescent="0.25">
      <c r="A72" s="1"/>
    </row>
    <row r="73" spans="1:1" ht="46.5" customHeight="1" x14ac:dyDescent="0.25">
      <c r="A73" s="1"/>
    </row>
    <row r="74" spans="1:1" ht="46.5" customHeight="1" x14ac:dyDescent="0.25">
      <c r="A74" s="1"/>
    </row>
    <row r="75" spans="1:1" ht="46.5" customHeight="1" x14ac:dyDescent="0.25">
      <c r="A75" s="1"/>
    </row>
    <row r="76" spans="1:1" ht="46.5" customHeight="1" x14ac:dyDescent="0.25">
      <c r="A76" s="1"/>
    </row>
    <row r="77" spans="1:1" ht="46.5" customHeight="1" x14ac:dyDescent="0.25">
      <c r="A77" s="1"/>
    </row>
    <row r="78" spans="1:1" ht="46.5" customHeight="1" x14ac:dyDescent="0.25">
      <c r="A78" s="1"/>
    </row>
    <row r="79" spans="1:1" ht="46.5" customHeight="1" x14ac:dyDescent="0.25">
      <c r="A79" s="1"/>
    </row>
    <row r="80" spans="1:1" ht="46.5" customHeight="1" x14ac:dyDescent="0.25">
      <c r="A80" s="1"/>
    </row>
    <row r="81" spans="1:1" ht="46.5" customHeight="1" x14ac:dyDescent="0.25">
      <c r="A81" s="1"/>
    </row>
    <row r="82" spans="1:1" ht="46.5" customHeight="1" x14ac:dyDescent="0.25">
      <c r="A82" s="1"/>
    </row>
    <row r="83" spans="1:1" ht="46.5" customHeight="1" x14ac:dyDescent="0.25">
      <c r="A83" s="1"/>
    </row>
    <row r="84" spans="1:1" ht="46.5" customHeight="1" x14ac:dyDescent="0.25">
      <c r="A84" s="1"/>
    </row>
    <row r="85" spans="1:1" ht="46.5" customHeight="1" x14ac:dyDescent="0.25">
      <c r="A85" s="1"/>
    </row>
    <row r="86" spans="1:1" ht="46.5" customHeight="1" x14ac:dyDescent="0.25">
      <c r="A86" s="1"/>
    </row>
    <row r="87" spans="1:1" ht="46.5" customHeight="1" x14ac:dyDescent="0.25">
      <c r="A87" s="1"/>
    </row>
    <row r="88" spans="1:1" ht="46.5" customHeight="1" x14ac:dyDescent="0.25">
      <c r="A88" s="1"/>
    </row>
    <row r="89" spans="1:1" ht="46.5" customHeight="1" x14ac:dyDescent="0.25">
      <c r="A89" s="1"/>
    </row>
    <row r="90" spans="1:1" ht="46.5" customHeight="1" x14ac:dyDescent="0.25">
      <c r="A90" s="1"/>
    </row>
    <row r="91" spans="1:1" ht="46.5" customHeight="1" x14ac:dyDescent="0.25">
      <c r="A91" s="1"/>
    </row>
    <row r="92" spans="1:1" ht="46.5" customHeight="1" x14ac:dyDescent="0.25">
      <c r="A92" s="1"/>
    </row>
    <row r="93" spans="1:1" ht="46.5" customHeight="1" x14ac:dyDescent="0.25">
      <c r="A93" s="1"/>
    </row>
    <row r="94" spans="1:1" ht="46.5" customHeight="1" x14ac:dyDescent="0.25">
      <c r="A94" s="1"/>
    </row>
    <row r="95" spans="1:1" ht="46.5" customHeight="1" x14ac:dyDescent="0.25">
      <c r="A95" s="1"/>
    </row>
    <row r="96" spans="1:1" ht="46.5" customHeight="1" x14ac:dyDescent="0.25">
      <c r="A96" s="1"/>
    </row>
    <row r="97" spans="1:1" ht="46.5" customHeight="1" x14ac:dyDescent="0.25">
      <c r="A97" s="1"/>
    </row>
    <row r="98" spans="1:1" ht="46.5" customHeight="1" x14ac:dyDescent="0.25">
      <c r="A98" s="1"/>
    </row>
    <row r="99" spans="1:1" ht="46.5" customHeight="1" x14ac:dyDescent="0.25">
      <c r="A99" s="1"/>
    </row>
    <row r="100" spans="1:1" ht="46.5" customHeight="1" x14ac:dyDescent="0.25">
      <c r="A100" s="1"/>
    </row>
    <row r="101" spans="1:1" ht="46.5" customHeight="1" x14ac:dyDescent="0.25">
      <c r="A101" s="1"/>
    </row>
    <row r="102" spans="1:1" ht="46.5" customHeight="1" x14ac:dyDescent="0.25">
      <c r="A102" s="1"/>
    </row>
    <row r="103" spans="1:1" ht="46.5" customHeight="1" x14ac:dyDescent="0.25">
      <c r="A103" s="1"/>
    </row>
    <row r="104" spans="1:1" ht="46.5" customHeight="1" x14ac:dyDescent="0.25">
      <c r="A104" s="1"/>
    </row>
    <row r="105" spans="1:1" ht="46.5" customHeight="1" x14ac:dyDescent="0.25">
      <c r="A105" s="1"/>
    </row>
    <row r="106" spans="1:1" ht="46.5" customHeight="1" x14ac:dyDescent="0.25">
      <c r="A106" s="1"/>
    </row>
    <row r="107" spans="1:1" ht="46.5" customHeight="1" x14ac:dyDescent="0.25">
      <c r="A107" s="1"/>
    </row>
    <row r="108" spans="1:1" ht="46.5" customHeight="1" x14ac:dyDescent="0.25">
      <c r="A108" s="1"/>
    </row>
    <row r="109" spans="1:1" ht="46.5" customHeight="1" x14ac:dyDescent="0.25">
      <c r="A109" s="1"/>
    </row>
    <row r="110" spans="1:1" ht="46.5" customHeight="1" x14ac:dyDescent="0.25">
      <c r="A110" s="1"/>
    </row>
    <row r="111" spans="1:1" ht="46.5" customHeight="1" x14ac:dyDescent="0.25">
      <c r="A111" s="1"/>
    </row>
    <row r="112" spans="1:1" ht="46.5" customHeight="1" x14ac:dyDescent="0.25">
      <c r="A112" s="1"/>
    </row>
    <row r="113" spans="1:1" ht="46.5" customHeight="1" x14ac:dyDescent="0.25">
      <c r="A113" s="1"/>
    </row>
    <row r="114" spans="1:1" ht="46.5" customHeight="1" x14ac:dyDescent="0.25">
      <c r="A114" s="1"/>
    </row>
    <row r="115" spans="1:1" ht="46.5" customHeight="1" x14ac:dyDescent="0.25">
      <c r="A115" s="1"/>
    </row>
    <row r="116" spans="1:1" ht="46.5" customHeight="1" x14ac:dyDescent="0.25">
      <c r="A116" s="1"/>
    </row>
    <row r="117" spans="1:1" ht="46.5" customHeight="1" x14ac:dyDescent="0.25">
      <c r="A117" s="1"/>
    </row>
    <row r="118" spans="1:1" ht="46.5" customHeight="1" x14ac:dyDescent="0.25">
      <c r="A118" s="1"/>
    </row>
    <row r="119" spans="1:1" ht="46.5" customHeight="1" x14ac:dyDescent="0.25">
      <c r="A119" s="1"/>
    </row>
    <row r="120" spans="1:1" ht="46.5" customHeight="1" x14ac:dyDescent="0.25">
      <c r="A120" s="1"/>
    </row>
    <row r="121" spans="1:1" ht="46.5" customHeight="1" x14ac:dyDescent="0.25">
      <c r="A121" s="1"/>
    </row>
    <row r="122" spans="1:1" ht="46.5" customHeight="1" x14ac:dyDescent="0.25">
      <c r="A122" s="1"/>
    </row>
    <row r="123" spans="1:1" ht="46.5" customHeight="1" x14ac:dyDescent="0.25">
      <c r="A123" s="1"/>
    </row>
    <row r="124" spans="1:1" ht="46.5" customHeight="1" x14ac:dyDescent="0.25">
      <c r="A124" s="1"/>
    </row>
    <row r="125" spans="1:1" ht="46.5" customHeight="1" x14ac:dyDescent="0.25">
      <c r="A125" s="1"/>
    </row>
    <row r="126" spans="1:1" ht="46.5" customHeight="1" x14ac:dyDescent="0.25">
      <c r="A126" s="1"/>
    </row>
    <row r="127" spans="1:1" ht="46.5" customHeight="1" x14ac:dyDescent="0.25">
      <c r="A127" s="1"/>
    </row>
    <row r="128" spans="1:1" ht="46.5" customHeight="1" x14ac:dyDescent="0.25">
      <c r="A128" s="1"/>
    </row>
    <row r="129" spans="1:1" ht="46.5" customHeight="1" x14ac:dyDescent="0.25">
      <c r="A129" s="1"/>
    </row>
    <row r="130" spans="1:1" ht="46.5" customHeight="1" x14ac:dyDescent="0.25">
      <c r="A130" s="1"/>
    </row>
    <row r="131" spans="1:1" ht="46.5" customHeight="1" x14ac:dyDescent="0.25">
      <c r="A131" s="1"/>
    </row>
    <row r="132" spans="1:1" ht="46.5" customHeight="1" x14ac:dyDescent="0.25">
      <c r="A132" s="1"/>
    </row>
    <row r="133" spans="1:1" ht="46.5" customHeight="1" x14ac:dyDescent="0.25">
      <c r="A133" s="1"/>
    </row>
    <row r="134" spans="1:1" ht="46.5" customHeight="1" x14ac:dyDescent="0.25">
      <c r="A134" s="1"/>
    </row>
    <row r="135" spans="1:1" ht="46.5" customHeight="1" x14ac:dyDescent="0.25">
      <c r="A135" s="1"/>
    </row>
    <row r="136" spans="1:1" ht="46.5" customHeight="1" x14ac:dyDescent="0.25">
      <c r="A136" s="1"/>
    </row>
    <row r="137" spans="1:1" ht="46.5" customHeight="1" x14ac:dyDescent="0.25">
      <c r="A137" s="1"/>
    </row>
    <row r="138" spans="1:1" ht="46.5" customHeight="1" x14ac:dyDescent="0.25">
      <c r="A138" s="1"/>
    </row>
    <row r="139" spans="1:1" ht="46.5" customHeight="1" x14ac:dyDescent="0.25">
      <c r="A139" s="1"/>
    </row>
    <row r="140" spans="1:1" ht="46.5" customHeight="1" x14ac:dyDescent="0.25">
      <c r="A140" s="1"/>
    </row>
    <row r="141" spans="1:1" ht="46.5" customHeight="1" x14ac:dyDescent="0.25">
      <c r="A141" s="1"/>
    </row>
    <row r="142" spans="1:1" ht="46.5" customHeight="1" x14ac:dyDescent="0.25">
      <c r="A142" s="1"/>
    </row>
    <row r="143" spans="1:1" ht="46.5" customHeight="1" x14ac:dyDescent="0.25">
      <c r="A143" s="1"/>
    </row>
    <row r="144" spans="1:1" ht="46.5" customHeight="1" x14ac:dyDescent="0.25">
      <c r="A144" s="1"/>
    </row>
    <row r="145" spans="1:1" ht="46.5" customHeight="1" x14ac:dyDescent="0.25">
      <c r="A145" s="1"/>
    </row>
    <row r="146" spans="1:1" ht="46.5" customHeight="1" x14ac:dyDescent="0.25">
      <c r="A146" s="1"/>
    </row>
    <row r="147" spans="1:1" ht="46.5" customHeight="1" x14ac:dyDescent="0.25">
      <c r="A147" s="1"/>
    </row>
    <row r="148" spans="1:1" ht="46.5" customHeight="1" x14ac:dyDescent="0.25">
      <c r="A148" s="1"/>
    </row>
    <row r="149" spans="1:1" ht="46.5" customHeight="1" x14ac:dyDescent="0.25">
      <c r="A149" s="1"/>
    </row>
    <row r="150" spans="1:1" ht="46.5" customHeight="1" x14ac:dyDescent="0.25">
      <c r="A150" s="1"/>
    </row>
    <row r="151" spans="1:1" ht="46.5" customHeight="1" x14ac:dyDescent="0.25">
      <c r="A151" s="1"/>
    </row>
    <row r="152" spans="1:1" ht="46.5" customHeight="1" x14ac:dyDescent="0.25">
      <c r="A152" s="1"/>
    </row>
    <row r="153" spans="1:1" ht="46.5" customHeight="1" x14ac:dyDescent="0.25">
      <c r="A153" s="1"/>
    </row>
    <row r="154" spans="1:1" ht="46.5" customHeight="1" x14ac:dyDescent="0.25">
      <c r="A154" s="1"/>
    </row>
    <row r="155" spans="1:1" ht="46.5" customHeight="1" x14ac:dyDescent="0.25">
      <c r="A155" s="1"/>
    </row>
    <row r="156" spans="1:1" ht="46.5" customHeight="1" x14ac:dyDescent="0.25">
      <c r="A156" s="1"/>
    </row>
    <row r="157" spans="1:1" ht="46.5" customHeight="1" x14ac:dyDescent="0.25">
      <c r="A157" s="1"/>
    </row>
    <row r="158" spans="1:1" ht="46.5" customHeight="1" x14ac:dyDescent="0.25">
      <c r="A158" s="1"/>
    </row>
    <row r="159" spans="1:1" ht="46.5" customHeight="1" x14ac:dyDescent="0.25">
      <c r="A159" s="1"/>
    </row>
    <row r="160" spans="1:1" ht="46.5" customHeight="1" x14ac:dyDescent="0.25">
      <c r="A160" s="1"/>
    </row>
    <row r="161" spans="1:1" ht="46.5" customHeight="1" x14ac:dyDescent="0.25">
      <c r="A161" s="1"/>
    </row>
    <row r="162" spans="1:1" ht="46.5" customHeight="1" x14ac:dyDescent="0.25">
      <c r="A162" s="1"/>
    </row>
    <row r="163" spans="1:1" ht="46.5" customHeight="1" x14ac:dyDescent="0.25">
      <c r="A163" s="1"/>
    </row>
    <row r="164" spans="1:1" ht="46.5" customHeight="1" x14ac:dyDescent="0.25">
      <c r="A164" s="1"/>
    </row>
    <row r="165" spans="1:1" ht="46.5" customHeight="1" x14ac:dyDescent="0.25">
      <c r="A165" s="1"/>
    </row>
    <row r="166" spans="1:1" ht="46.5" customHeight="1" x14ac:dyDescent="0.25">
      <c r="A166" s="1"/>
    </row>
    <row r="167" spans="1:1" ht="46.5" customHeight="1" x14ac:dyDescent="0.25">
      <c r="A167" s="1"/>
    </row>
    <row r="168" spans="1:1" ht="46.5" customHeight="1" x14ac:dyDescent="0.25">
      <c r="A168" s="1"/>
    </row>
    <row r="169" spans="1:1" ht="46.5" customHeight="1" x14ac:dyDescent="0.25">
      <c r="A169" s="1"/>
    </row>
    <row r="170" spans="1:1" ht="46.5" customHeight="1" x14ac:dyDescent="0.25">
      <c r="A170" s="1"/>
    </row>
    <row r="171" spans="1:1" ht="46.5" customHeight="1" x14ac:dyDescent="0.25">
      <c r="A171" s="1"/>
    </row>
    <row r="172" spans="1:1" ht="46.5" customHeight="1" x14ac:dyDescent="0.25">
      <c r="A172" s="1"/>
    </row>
    <row r="173" spans="1:1" ht="46.5" customHeight="1" x14ac:dyDescent="0.25">
      <c r="A173" s="1"/>
    </row>
    <row r="174" spans="1:1" ht="46.5" customHeight="1" x14ac:dyDescent="0.25">
      <c r="A174" s="1"/>
    </row>
    <row r="175" spans="1:1" ht="46.5" customHeight="1" x14ac:dyDescent="0.25">
      <c r="A175" s="1"/>
    </row>
    <row r="176" spans="1:1" ht="46.5" customHeight="1" x14ac:dyDescent="0.25">
      <c r="A176" s="1"/>
    </row>
    <row r="177" spans="1:1" ht="46.5" customHeight="1" x14ac:dyDescent="0.25">
      <c r="A177" s="1"/>
    </row>
    <row r="178" spans="1:1" ht="46.5" customHeight="1" x14ac:dyDescent="0.25">
      <c r="A178" s="1"/>
    </row>
    <row r="179" spans="1:1" ht="46.5" customHeight="1" x14ac:dyDescent="0.25">
      <c r="A179" s="1"/>
    </row>
    <row r="180" spans="1:1" ht="46.5" customHeight="1" x14ac:dyDescent="0.25">
      <c r="A180" s="1"/>
    </row>
    <row r="181" spans="1:1" ht="46.5" customHeight="1" x14ac:dyDescent="0.25">
      <c r="A181" s="1"/>
    </row>
    <row r="182" spans="1:1" ht="46.5" customHeight="1" x14ac:dyDescent="0.25">
      <c r="A182" s="1"/>
    </row>
    <row r="183" spans="1:1" ht="46.5" customHeight="1" x14ac:dyDescent="0.25">
      <c r="A183" s="1"/>
    </row>
    <row r="184" spans="1:1" ht="46.5" customHeight="1" x14ac:dyDescent="0.25">
      <c r="A184" s="1"/>
    </row>
    <row r="185" spans="1:1" ht="46.5" customHeight="1" x14ac:dyDescent="0.25">
      <c r="A185" s="1"/>
    </row>
    <row r="186" spans="1:1" ht="46.5" customHeight="1" x14ac:dyDescent="0.25">
      <c r="A186" s="1"/>
    </row>
    <row r="187" spans="1:1" ht="46.5" customHeight="1" x14ac:dyDescent="0.25">
      <c r="A187" s="1"/>
    </row>
    <row r="188" spans="1:1" ht="46.5" customHeight="1" x14ac:dyDescent="0.25">
      <c r="A188" s="1"/>
    </row>
    <row r="189" spans="1:1" ht="46.5" customHeight="1" x14ac:dyDescent="0.25">
      <c r="A189" s="1"/>
    </row>
    <row r="190" spans="1:1" ht="46.5" customHeight="1" x14ac:dyDescent="0.25">
      <c r="A190" s="1"/>
    </row>
    <row r="191" spans="1:1" ht="46.5" customHeight="1" x14ac:dyDescent="0.25">
      <c r="A191" s="1"/>
    </row>
    <row r="192" spans="1:1" ht="46.5" customHeight="1" x14ac:dyDescent="0.25">
      <c r="A192" s="1"/>
    </row>
    <row r="193" spans="1:1" ht="46.5" customHeight="1" x14ac:dyDescent="0.25">
      <c r="A193" s="1"/>
    </row>
    <row r="194" spans="1:1" ht="46.5" customHeight="1" x14ac:dyDescent="0.25">
      <c r="A194" s="1"/>
    </row>
    <row r="195" spans="1:1" ht="46.5" customHeight="1" x14ac:dyDescent="0.25">
      <c r="A195" s="1"/>
    </row>
    <row r="196" spans="1:1" ht="46.5" customHeight="1" x14ac:dyDescent="0.25">
      <c r="A196" s="1"/>
    </row>
    <row r="197" spans="1:1" ht="46.5" customHeight="1" x14ac:dyDescent="0.25">
      <c r="A197" s="1"/>
    </row>
    <row r="198" spans="1:1" ht="46.5" customHeight="1" x14ac:dyDescent="0.25">
      <c r="A198" s="1"/>
    </row>
    <row r="199" spans="1:1" ht="46.5" customHeight="1" x14ac:dyDescent="0.25">
      <c r="A199" s="1"/>
    </row>
    <row r="200" spans="1:1" ht="46.5" customHeight="1" x14ac:dyDescent="0.25">
      <c r="A200" s="1"/>
    </row>
    <row r="201" spans="1:1" ht="46.5" customHeight="1" x14ac:dyDescent="0.25">
      <c r="A201" s="1"/>
    </row>
    <row r="202" spans="1:1" ht="46.5" customHeight="1" x14ac:dyDescent="0.25">
      <c r="A202" s="1"/>
    </row>
    <row r="203" spans="1:1" ht="46.5" customHeight="1" x14ac:dyDescent="0.25">
      <c r="A203" s="1"/>
    </row>
    <row r="204" spans="1:1" ht="46.5" customHeight="1" x14ac:dyDescent="0.25">
      <c r="A204" s="1"/>
    </row>
    <row r="205" spans="1:1" ht="46.5" customHeight="1" x14ac:dyDescent="0.25">
      <c r="A205" s="1"/>
    </row>
    <row r="206" spans="1:1" ht="46.5" customHeight="1" x14ac:dyDescent="0.25">
      <c r="A206" s="1"/>
    </row>
    <row r="207" spans="1:1" ht="46.5" customHeight="1" x14ac:dyDescent="0.25">
      <c r="A207" s="1"/>
    </row>
    <row r="208" spans="1:1" ht="46.5" customHeight="1" x14ac:dyDescent="0.25">
      <c r="A208" s="1"/>
    </row>
    <row r="209" spans="1:1" ht="46.5" customHeight="1" x14ac:dyDescent="0.25">
      <c r="A209" s="1"/>
    </row>
    <row r="210" spans="1:1" ht="46.5" customHeight="1" x14ac:dyDescent="0.25">
      <c r="A210" s="1"/>
    </row>
    <row r="211" spans="1:1" ht="46.5" customHeight="1" x14ac:dyDescent="0.25">
      <c r="A211" s="1"/>
    </row>
    <row r="212" spans="1:1" ht="46.5" customHeight="1" x14ac:dyDescent="0.25">
      <c r="A212" s="1"/>
    </row>
    <row r="213" spans="1:1" ht="46.5" customHeight="1" x14ac:dyDescent="0.25">
      <c r="A213" s="1"/>
    </row>
    <row r="214" spans="1:1" ht="46.5" customHeight="1" x14ac:dyDescent="0.25">
      <c r="A214" s="1"/>
    </row>
    <row r="215" spans="1:1" ht="46.5" customHeight="1" x14ac:dyDescent="0.25">
      <c r="A215" s="1"/>
    </row>
    <row r="216" spans="1:1" ht="46.5" customHeight="1" x14ac:dyDescent="0.25">
      <c r="A216" s="1"/>
    </row>
    <row r="217" spans="1:1" ht="46.5" customHeight="1" x14ac:dyDescent="0.25">
      <c r="A217" s="1"/>
    </row>
    <row r="218" spans="1:1" ht="46.5" customHeight="1" x14ac:dyDescent="0.25">
      <c r="A218" s="1"/>
    </row>
    <row r="219" spans="1:1" ht="46.5" customHeight="1" x14ac:dyDescent="0.25">
      <c r="A219" s="1"/>
    </row>
    <row r="220" spans="1:1" ht="46.5" customHeight="1" x14ac:dyDescent="0.25">
      <c r="A220" s="1"/>
    </row>
    <row r="221" spans="1:1" ht="46.5" customHeight="1" x14ac:dyDescent="0.25">
      <c r="A221" s="1"/>
    </row>
    <row r="222" spans="1:1" ht="46.5" customHeight="1" x14ac:dyDescent="0.25">
      <c r="A222" s="1"/>
    </row>
    <row r="223" spans="1:1" ht="46.5" customHeight="1" x14ac:dyDescent="0.25">
      <c r="A223" s="1"/>
    </row>
    <row r="224" spans="1:1" ht="46.5" customHeight="1" x14ac:dyDescent="0.25">
      <c r="A224" s="1"/>
    </row>
    <row r="225" spans="1:1" ht="46.5" customHeight="1" x14ac:dyDescent="0.25">
      <c r="A225" s="1"/>
    </row>
    <row r="226" spans="1:1" ht="46.5" customHeight="1" x14ac:dyDescent="0.25">
      <c r="A226" s="1"/>
    </row>
    <row r="227" spans="1:1" ht="46.5" customHeight="1" x14ac:dyDescent="0.25">
      <c r="A227" s="1"/>
    </row>
    <row r="228" spans="1:1" ht="46.5" customHeight="1" x14ac:dyDescent="0.25">
      <c r="A228" s="1"/>
    </row>
    <row r="229" spans="1:1" ht="46.5" customHeight="1" x14ac:dyDescent="0.25">
      <c r="A229" s="1"/>
    </row>
    <row r="230" spans="1:1" ht="46.5" customHeight="1" x14ac:dyDescent="0.25">
      <c r="A230" s="1"/>
    </row>
    <row r="231" spans="1:1" ht="46.5" customHeight="1" x14ac:dyDescent="0.25">
      <c r="A231" s="1"/>
    </row>
    <row r="232" spans="1:1" ht="46.5" customHeight="1" x14ac:dyDescent="0.25">
      <c r="A232" s="1"/>
    </row>
    <row r="233" spans="1:1" ht="46.5" customHeight="1" x14ac:dyDescent="0.25">
      <c r="A233" s="1"/>
    </row>
    <row r="234" spans="1:1" ht="46.5" customHeight="1" x14ac:dyDescent="0.25">
      <c r="A234" s="1"/>
    </row>
    <row r="235" spans="1:1" ht="46.5" customHeight="1" x14ac:dyDescent="0.25">
      <c r="A235" s="1"/>
    </row>
    <row r="236" spans="1:1" ht="46.5" customHeight="1" x14ac:dyDescent="0.25">
      <c r="A236" s="1"/>
    </row>
    <row r="237" spans="1:1" ht="46.5" customHeight="1" x14ac:dyDescent="0.25">
      <c r="A237" s="1"/>
    </row>
    <row r="238" spans="1:1" ht="46.5" customHeight="1" x14ac:dyDescent="0.25">
      <c r="A238" s="1"/>
    </row>
    <row r="239" spans="1:1" ht="46.5" customHeight="1" x14ac:dyDescent="0.25">
      <c r="A239" s="1"/>
    </row>
    <row r="240" spans="1:1" ht="46.5" customHeight="1" x14ac:dyDescent="0.25">
      <c r="A240" s="1"/>
    </row>
    <row r="241" spans="1:1" ht="46.5" customHeight="1" x14ac:dyDescent="0.25">
      <c r="A241" s="1"/>
    </row>
    <row r="242" spans="1:1" ht="46.5" customHeight="1" x14ac:dyDescent="0.25">
      <c r="A242" s="1"/>
    </row>
    <row r="243" spans="1:1" ht="46.5" customHeight="1" x14ac:dyDescent="0.25">
      <c r="A243" s="1"/>
    </row>
    <row r="244" spans="1:1" ht="46.5" customHeight="1" x14ac:dyDescent="0.25">
      <c r="A244" s="1"/>
    </row>
    <row r="245" spans="1:1" ht="46.5" customHeight="1" x14ac:dyDescent="0.25">
      <c r="A245" s="1"/>
    </row>
    <row r="246" spans="1:1" ht="46.5" customHeight="1" x14ac:dyDescent="0.25">
      <c r="A246" s="1"/>
    </row>
    <row r="247" spans="1:1" ht="46.5" customHeight="1" x14ac:dyDescent="0.25">
      <c r="A247" s="1"/>
    </row>
    <row r="248" spans="1:1" ht="46.5" customHeight="1" x14ac:dyDescent="0.25">
      <c r="A248" s="1"/>
    </row>
    <row r="249" spans="1:1" ht="46.5" customHeight="1" x14ac:dyDescent="0.25">
      <c r="A249" s="1"/>
    </row>
    <row r="250" spans="1:1" ht="46.5" customHeight="1" x14ac:dyDescent="0.25">
      <c r="A250" s="1"/>
    </row>
    <row r="251" spans="1:1" ht="46.5" customHeight="1" x14ac:dyDescent="0.25">
      <c r="A251" s="1"/>
    </row>
    <row r="252" spans="1:1" ht="46.5" customHeight="1" x14ac:dyDescent="0.25">
      <c r="A252" s="1"/>
    </row>
    <row r="253" spans="1:1" ht="46.5" customHeight="1" x14ac:dyDescent="0.25">
      <c r="A253" s="1"/>
    </row>
    <row r="254" spans="1:1" ht="46.5" customHeight="1" x14ac:dyDescent="0.25">
      <c r="A254" s="1"/>
    </row>
    <row r="255" spans="1:1" ht="46.5" customHeight="1" x14ac:dyDescent="0.25">
      <c r="A255" s="1"/>
    </row>
    <row r="256" spans="1:1" ht="46.5" customHeight="1" x14ac:dyDescent="0.25">
      <c r="A256" s="1"/>
    </row>
    <row r="257" spans="1:1" ht="46.5" customHeight="1" x14ac:dyDescent="0.25">
      <c r="A257" s="1"/>
    </row>
    <row r="258" spans="1:1" ht="46.5" customHeight="1" x14ac:dyDescent="0.25">
      <c r="A258" s="1"/>
    </row>
    <row r="259" spans="1:1" ht="46.5" customHeight="1" x14ac:dyDescent="0.25">
      <c r="A259" s="1"/>
    </row>
    <row r="260" spans="1:1" ht="46.5" customHeight="1" x14ac:dyDescent="0.25">
      <c r="A260" s="1"/>
    </row>
    <row r="261" spans="1:1" ht="46.5" customHeight="1" x14ac:dyDescent="0.25">
      <c r="A261" s="1"/>
    </row>
    <row r="262" spans="1:1" ht="46.5" customHeight="1" x14ac:dyDescent="0.25">
      <c r="A262" s="1"/>
    </row>
    <row r="263" spans="1:1" ht="46.5" customHeight="1" x14ac:dyDescent="0.25">
      <c r="A263" s="1"/>
    </row>
    <row r="264" spans="1:1" ht="46.5" customHeight="1" x14ac:dyDescent="0.25">
      <c r="A264" s="1"/>
    </row>
    <row r="265" spans="1:1" ht="46.5" customHeight="1" x14ac:dyDescent="0.25">
      <c r="A265" s="1"/>
    </row>
    <row r="266" spans="1:1" ht="46.5" customHeight="1" x14ac:dyDescent="0.25">
      <c r="A266" s="1"/>
    </row>
    <row r="267" spans="1:1" ht="46.5" customHeight="1" x14ac:dyDescent="0.25">
      <c r="A267" s="1"/>
    </row>
    <row r="268" spans="1:1" ht="46.5" customHeight="1" x14ac:dyDescent="0.25">
      <c r="A268" s="1"/>
    </row>
    <row r="269" spans="1:1" ht="46.5" customHeight="1" x14ac:dyDescent="0.25">
      <c r="A269" s="1"/>
    </row>
    <row r="270" spans="1:1" ht="46.5" customHeight="1" x14ac:dyDescent="0.25">
      <c r="A270" s="1"/>
    </row>
    <row r="271" spans="1:1" ht="46.5" customHeight="1" x14ac:dyDescent="0.25">
      <c r="A271" s="1"/>
    </row>
    <row r="272" spans="1:1" ht="46.5" customHeight="1" x14ac:dyDescent="0.25">
      <c r="A272" s="1"/>
    </row>
    <row r="273" spans="1:1" ht="46.5" customHeight="1" x14ac:dyDescent="0.25">
      <c r="A273" s="1"/>
    </row>
    <row r="274" spans="1:1" ht="46.5" customHeight="1" x14ac:dyDescent="0.25">
      <c r="A274" s="1"/>
    </row>
    <row r="275" spans="1:1" ht="46.5" customHeight="1" x14ac:dyDescent="0.25">
      <c r="A275" s="1"/>
    </row>
    <row r="276" spans="1:1" ht="46.5" customHeight="1" x14ac:dyDescent="0.25">
      <c r="A276" s="1"/>
    </row>
    <row r="277" spans="1:1" ht="46.5" customHeight="1" x14ac:dyDescent="0.25">
      <c r="A277" s="1"/>
    </row>
    <row r="278" spans="1:1" ht="46.5" customHeight="1" x14ac:dyDescent="0.25">
      <c r="A278" s="1"/>
    </row>
    <row r="279" spans="1:1" ht="46.5" customHeight="1" x14ac:dyDescent="0.25">
      <c r="A279" s="1"/>
    </row>
    <row r="280" spans="1:1" ht="46.5" customHeight="1" x14ac:dyDescent="0.25">
      <c r="A280" s="1"/>
    </row>
    <row r="281" spans="1:1" ht="46.5" customHeight="1" x14ac:dyDescent="0.25">
      <c r="A281" s="1"/>
    </row>
    <row r="282" spans="1:1" ht="46.5" customHeight="1" x14ac:dyDescent="0.25">
      <c r="A282" s="1"/>
    </row>
    <row r="283" spans="1:1" ht="46.5" customHeight="1" x14ac:dyDescent="0.25">
      <c r="A283" s="1"/>
    </row>
    <row r="284" spans="1:1" ht="46.5" customHeight="1" x14ac:dyDescent="0.25">
      <c r="A284" s="1"/>
    </row>
    <row r="285" spans="1:1" ht="46.5" customHeight="1" x14ac:dyDescent="0.25">
      <c r="A285" s="1"/>
    </row>
    <row r="286" spans="1:1" ht="46.5" customHeight="1" x14ac:dyDescent="0.25">
      <c r="A286" s="1"/>
    </row>
    <row r="287" spans="1:1" ht="46.5" customHeight="1" x14ac:dyDescent="0.25">
      <c r="A287" s="1"/>
    </row>
    <row r="288" spans="1:1" ht="46.5" customHeight="1" x14ac:dyDescent="0.25">
      <c r="A288" s="1"/>
    </row>
    <row r="289" spans="1:1" ht="46.5" customHeight="1" x14ac:dyDescent="0.25">
      <c r="A289" s="1"/>
    </row>
    <row r="290" spans="1:1" ht="46.5" customHeight="1" x14ac:dyDescent="0.25">
      <c r="A290" s="1"/>
    </row>
    <row r="291" spans="1:1" ht="46.5" customHeight="1" x14ac:dyDescent="0.25">
      <c r="A291" s="1"/>
    </row>
    <row r="292" spans="1:1" ht="46.5" customHeight="1" x14ac:dyDescent="0.25">
      <c r="A292" s="1"/>
    </row>
    <row r="293" spans="1:1" ht="46.5" customHeight="1" x14ac:dyDescent="0.25">
      <c r="A293" s="1"/>
    </row>
    <row r="294" spans="1:1" ht="46.5" customHeight="1" x14ac:dyDescent="0.25">
      <c r="A294" s="1"/>
    </row>
    <row r="295" spans="1:1" ht="46.5" customHeight="1" x14ac:dyDescent="0.25">
      <c r="A295" s="1"/>
    </row>
    <row r="296" spans="1:1" ht="46.5" customHeight="1" x14ac:dyDescent="0.25">
      <c r="A296" s="1"/>
    </row>
    <row r="297" spans="1:1" ht="46.5" customHeight="1" x14ac:dyDescent="0.25">
      <c r="A297" s="1"/>
    </row>
    <row r="298" spans="1:1" ht="46.5" customHeight="1" x14ac:dyDescent="0.25">
      <c r="A298" s="1"/>
    </row>
    <row r="299" spans="1:1" ht="46.5" customHeight="1" x14ac:dyDescent="0.25">
      <c r="A299" s="1"/>
    </row>
    <row r="300" spans="1:1" ht="46.5" customHeight="1" x14ac:dyDescent="0.25">
      <c r="A300" s="1"/>
    </row>
    <row r="301" spans="1:1" ht="46.5" customHeight="1" x14ac:dyDescent="0.25">
      <c r="A301" s="1"/>
    </row>
    <row r="302" spans="1:1" ht="46.5" customHeight="1" x14ac:dyDescent="0.25">
      <c r="A302" s="1"/>
    </row>
    <row r="303" spans="1:1" ht="46.5" customHeight="1" x14ac:dyDescent="0.25">
      <c r="A303" s="1"/>
    </row>
    <row r="304" spans="1:1" ht="46.5" customHeight="1" x14ac:dyDescent="0.25">
      <c r="A304" s="1"/>
    </row>
    <row r="305" spans="1:1" ht="46.5" customHeight="1" x14ac:dyDescent="0.25">
      <c r="A305" s="1"/>
    </row>
    <row r="306" spans="1:1" ht="46.5" customHeight="1" x14ac:dyDescent="0.25">
      <c r="A306" s="1"/>
    </row>
    <row r="307" spans="1:1" ht="46.5" customHeight="1" x14ac:dyDescent="0.25">
      <c r="A307" s="1"/>
    </row>
    <row r="308" spans="1:1" ht="46.5" customHeight="1" x14ac:dyDescent="0.25">
      <c r="A308" s="1"/>
    </row>
    <row r="309" spans="1:1" ht="46.5" customHeight="1" x14ac:dyDescent="0.25">
      <c r="A309" s="1"/>
    </row>
    <row r="310" spans="1:1" ht="46.5" customHeight="1" x14ac:dyDescent="0.25">
      <c r="A310" s="1"/>
    </row>
    <row r="311" spans="1:1" ht="46.5" customHeight="1" x14ac:dyDescent="0.25">
      <c r="A311" s="1"/>
    </row>
    <row r="312" spans="1:1" ht="46.5" customHeight="1" x14ac:dyDescent="0.25">
      <c r="A312" s="1"/>
    </row>
    <row r="313" spans="1:1" ht="46.5" customHeight="1" x14ac:dyDescent="0.25">
      <c r="A313" s="1"/>
    </row>
    <row r="314" spans="1:1" ht="46.5" customHeight="1" x14ac:dyDescent="0.25">
      <c r="A314" s="1"/>
    </row>
    <row r="315" spans="1:1" ht="46.5" customHeight="1" x14ac:dyDescent="0.25">
      <c r="A315" s="1"/>
    </row>
    <row r="316" spans="1:1" ht="46.5" customHeight="1" x14ac:dyDescent="0.25">
      <c r="A316" s="1"/>
    </row>
    <row r="317" spans="1:1" ht="46.5" customHeight="1" x14ac:dyDescent="0.25">
      <c r="A317" s="1"/>
    </row>
    <row r="318" spans="1:1" ht="46.5" customHeight="1" x14ac:dyDescent="0.25">
      <c r="A318" s="1"/>
    </row>
    <row r="319" spans="1:1" ht="46.5" customHeight="1" x14ac:dyDescent="0.25">
      <c r="A319" s="1"/>
    </row>
    <row r="320" spans="1:1" ht="46.5" customHeight="1" x14ac:dyDescent="0.25">
      <c r="A320" s="1"/>
    </row>
    <row r="321" spans="1:1" ht="46.5" customHeight="1" x14ac:dyDescent="0.25">
      <c r="A321" s="1"/>
    </row>
    <row r="322" spans="1:1" ht="46.5" customHeight="1" x14ac:dyDescent="0.25">
      <c r="A322" s="1"/>
    </row>
    <row r="323" spans="1:1" ht="46.5" customHeight="1" x14ac:dyDescent="0.25">
      <c r="A323" s="1"/>
    </row>
    <row r="324" spans="1:1" ht="46.5" customHeight="1" x14ac:dyDescent="0.25">
      <c r="A324" s="1"/>
    </row>
    <row r="325" spans="1:1" ht="46.5" customHeight="1" x14ac:dyDescent="0.25">
      <c r="A325" s="1"/>
    </row>
    <row r="326" spans="1:1" ht="46.5" customHeight="1" x14ac:dyDescent="0.25">
      <c r="A326" s="1"/>
    </row>
    <row r="327" spans="1:1" ht="46.5" customHeight="1" x14ac:dyDescent="0.25">
      <c r="A327" s="1"/>
    </row>
    <row r="328" spans="1:1" ht="46.5" customHeight="1" x14ac:dyDescent="0.25">
      <c r="A328" s="1"/>
    </row>
    <row r="329" spans="1:1" ht="46.5" customHeight="1" x14ac:dyDescent="0.25">
      <c r="A329" s="1"/>
    </row>
    <row r="330" spans="1:1" ht="46.5" customHeight="1" x14ac:dyDescent="0.25">
      <c r="A330" s="1"/>
    </row>
    <row r="331" spans="1:1" ht="46.5" customHeight="1" x14ac:dyDescent="0.25">
      <c r="A331" s="1"/>
    </row>
    <row r="332" spans="1:1" ht="46.5" customHeight="1" x14ac:dyDescent="0.25">
      <c r="A332" s="1"/>
    </row>
    <row r="333" spans="1:1" ht="46.5" customHeight="1" x14ac:dyDescent="0.25">
      <c r="A333" s="1"/>
    </row>
    <row r="334" spans="1:1" ht="46.5" customHeight="1" x14ac:dyDescent="0.25">
      <c r="A334" s="1"/>
    </row>
    <row r="335" spans="1:1" ht="46.5" customHeight="1" x14ac:dyDescent="0.25">
      <c r="A335" s="1"/>
    </row>
    <row r="336" spans="1:1" ht="46.5" customHeight="1" x14ac:dyDescent="0.25">
      <c r="A336" s="1"/>
    </row>
    <row r="337" spans="1:1" ht="46.5" customHeight="1" x14ac:dyDescent="0.25">
      <c r="A337" s="1"/>
    </row>
    <row r="338" spans="1:1" ht="46.5" customHeight="1" x14ac:dyDescent="0.25">
      <c r="A338" s="1"/>
    </row>
    <row r="339" spans="1:1" ht="46.5" customHeight="1" x14ac:dyDescent="0.25">
      <c r="A339" s="1"/>
    </row>
    <row r="340" spans="1:1" ht="46.5" customHeight="1" x14ac:dyDescent="0.25">
      <c r="A340" s="1"/>
    </row>
    <row r="341" spans="1:1" ht="46.5" customHeight="1" x14ac:dyDescent="0.25">
      <c r="A341" s="1"/>
    </row>
    <row r="342" spans="1:1" ht="46.5" customHeight="1" x14ac:dyDescent="0.25">
      <c r="A342" s="1"/>
    </row>
    <row r="343" spans="1:1" ht="46.5" customHeight="1" x14ac:dyDescent="0.25">
      <c r="A343" s="1"/>
    </row>
    <row r="344" spans="1:1" ht="46.5" customHeight="1" x14ac:dyDescent="0.25">
      <c r="A344" s="1"/>
    </row>
    <row r="345" spans="1:1" ht="46.5" customHeight="1" x14ac:dyDescent="0.25">
      <c r="A345" s="1"/>
    </row>
    <row r="346" spans="1:1" ht="46.5" customHeight="1" x14ac:dyDescent="0.25">
      <c r="A346" s="1"/>
    </row>
    <row r="347" spans="1:1" ht="46.5" customHeight="1" x14ac:dyDescent="0.25">
      <c r="A347" s="1"/>
    </row>
    <row r="348" spans="1:1" ht="46.5" customHeight="1" x14ac:dyDescent="0.25">
      <c r="A348" s="1"/>
    </row>
    <row r="349" spans="1:1" ht="46.5" customHeight="1" x14ac:dyDescent="0.25">
      <c r="A349" s="1"/>
    </row>
    <row r="350" spans="1:1" ht="46.5" customHeight="1" x14ac:dyDescent="0.25">
      <c r="A350" s="1"/>
    </row>
    <row r="351" spans="1:1" ht="46.5" customHeight="1" x14ac:dyDescent="0.25">
      <c r="A351" s="1"/>
    </row>
    <row r="352" spans="1:1" ht="46.5" customHeight="1" x14ac:dyDescent="0.25">
      <c r="A352" s="1"/>
    </row>
    <row r="353" spans="1:1" ht="46.5" customHeight="1" x14ac:dyDescent="0.25">
      <c r="A353" s="1"/>
    </row>
    <row r="354" spans="1:1" ht="46.5" customHeight="1" x14ac:dyDescent="0.25">
      <c r="A354" s="1"/>
    </row>
    <row r="355" spans="1:1" ht="46.5" customHeight="1" x14ac:dyDescent="0.25">
      <c r="A355" s="1"/>
    </row>
    <row r="356" spans="1:1" ht="46.5" customHeight="1" x14ac:dyDescent="0.25">
      <c r="A356" s="1"/>
    </row>
    <row r="357" spans="1:1" ht="46.5" customHeight="1" x14ac:dyDescent="0.25">
      <c r="A357" s="1"/>
    </row>
    <row r="358" spans="1:1" ht="46.5" customHeight="1" x14ac:dyDescent="0.25">
      <c r="A358" s="1"/>
    </row>
    <row r="359" spans="1:1" ht="46.5" customHeight="1" x14ac:dyDescent="0.25">
      <c r="A359" s="1"/>
    </row>
    <row r="360" spans="1:1" ht="46.5" customHeight="1" x14ac:dyDescent="0.25">
      <c r="A360" s="1"/>
    </row>
    <row r="361" spans="1:1" ht="46.5" customHeight="1" x14ac:dyDescent="0.25">
      <c r="A361" s="1"/>
    </row>
    <row r="362" spans="1:1" ht="46.5" customHeight="1" x14ac:dyDescent="0.25">
      <c r="A362" s="1"/>
    </row>
    <row r="363" spans="1:1" ht="46.5" customHeight="1" x14ac:dyDescent="0.25">
      <c r="A363" s="1"/>
    </row>
    <row r="364" spans="1:1" ht="46.5" customHeight="1" x14ac:dyDescent="0.25">
      <c r="A364" s="1"/>
    </row>
    <row r="365" spans="1:1" ht="46.5" customHeight="1" x14ac:dyDescent="0.25">
      <c r="A365" s="1"/>
    </row>
    <row r="366" spans="1:1" ht="46.5" customHeight="1" x14ac:dyDescent="0.25">
      <c r="A366" s="1"/>
    </row>
    <row r="367" spans="1:1" ht="46.5" customHeight="1" x14ac:dyDescent="0.25">
      <c r="A367" s="1"/>
    </row>
    <row r="368" spans="1:1" ht="46.5" customHeight="1" x14ac:dyDescent="0.25">
      <c r="A368" s="1"/>
    </row>
    <row r="369" spans="1:1" ht="46.5" customHeight="1" x14ac:dyDescent="0.25">
      <c r="A369" s="1"/>
    </row>
    <row r="370" spans="1:1" ht="46.5" customHeight="1" x14ac:dyDescent="0.25">
      <c r="A370" s="1"/>
    </row>
    <row r="371" spans="1:1" ht="46.5" customHeight="1" x14ac:dyDescent="0.25">
      <c r="A371" s="1"/>
    </row>
    <row r="372" spans="1:1" ht="46.5" customHeight="1" x14ac:dyDescent="0.25">
      <c r="A372" s="1"/>
    </row>
    <row r="373" spans="1:1" ht="46.5" customHeight="1" x14ac:dyDescent="0.25">
      <c r="A373" s="1"/>
    </row>
    <row r="374" spans="1:1" ht="46.5" customHeight="1" x14ac:dyDescent="0.25">
      <c r="A374" s="1"/>
    </row>
    <row r="375" spans="1:1" ht="46.5" customHeight="1" x14ac:dyDescent="0.25">
      <c r="A375" s="1"/>
    </row>
    <row r="376" spans="1:1" ht="46.5" customHeight="1" x14ac:dyDescent="0.25">
      <c r="A376" s="1"/>
    </row>
    <row r="377" spans="1:1" ht="46.5" customHeight="1" x14ac:dyDescent="0.25">
      <c r="A377" s="1"/>
    </row>
    <row r="378" spans="1:1" ht="46.5" customHeight="1" x14ac:dyDescent="0.25">
      <c r="A378" s="1"/>
    </row>
    <row r="379" spans="1:1" ht="46.5" customHeight="1" x14ac:dyDescent="0.25">
      <c r="A379" s="1"/>
    </row>
    <row r="380" spans="1:1" ht="46.5" customHeight="1" x14ac:dyDescent="0.25">
      <c r="A380" s="1"/>
    </row>
    <row r="381" spans="1:1" ht="46.5" customHeight="1" x14ac:dyDescent="0.25">
      <c r="A381" s="1"/>
    </row>
    <row r="382" spans="1:1" ht="46.5" customHeight="1" x14ac:dyDescent="0.25">
      <c r="A382" s="1"/>
    </row>
    <row r="383" spans="1:1" ht="46.5" customHeight="1" x14ac:dyDescent="0.25">
      <c r="A383" s="1"/>
    </row>
    <row r="384" spans="1:1" ht="46.5" customHeight="1" x14ac:dyDescent="0.25">
      <c r="A384" s="1"/>
    </row>
    <row r="385" spans="1:1" ht="46.5" customHeight="1" x14ac:dyDescent="0.25">
      <c r="A385" s="1"/>
    </row>
    <row r="386" spans="1:1" ht="46.5" customHeight="1" x14ac:dyDescent="0.25">
      <c r="A386" s="1"/>
    </row>
    <row r="387" spans="1:1" ht="46.5" customHeight="1" x14ac:dyDescent="0.25">
      <c r="A387" s="1"/>
    </row>
    <row r="388" spans="1:1" ht="46.5" customHeight="1" x14ac:dyDescent="0.25">
      <c r="A388" s="1"/>
    </row>
    <row r="389" spans="1:1" ht="46.5" customHeight="1" x14ac:dyDescent="0.25">
      <c r="A389" s="1"/>
    </row>
    <row r="390" spans="1:1" ht="46.5" customHeight="1" x14ac:dyDescent="0.25">
      <c r="A390" s="1"/>
    </row>
    <row r="391" spans="1:1" ht="46.5" customHeight="1" x14ac:dyDescent="0.25">
      <c r="A391" s="1"/>
    </row>
    <row r="392" spans="1:1" ht="46.5" customHeight="1" x14ac:dyDescent="0.25">
      <c r="A392" s="1"/>
    </row>
    <row r="393" spans="1:1" ht="46.5" customHeight="1" x14ac:dyDescent="0.25">
      <c r="A393" s="1"/>
    </row>
    <row r="394" spans="1:1" ht="46.5" customHeight="1" x14ac:dyDescent="0.25">
      <c r="A394" s="1"/>
    </row>
    <row r="395" spans="1:1" ht="46.5" customHeight="1" x14ac:dyDescent="0.25">
      <c r="A395" s="1"/>
    </row>
    <row r="396" spans="1:1" ht="46.5" customHeight="1" x14ac:dyDescent="0.25">
      <c r="A396" s="1"/>
    </row>
    <row r="397" spans="1:1" ht="46.5" customHeight="1" x14ac:dyDescent="0.25">
      <c r="A397" s="1"/>
    </row>
    <row r="398" spans="1:1" ht="46.5" customHeight="1" x14ac:dyDescent="0.25">
      <c r="A398" s="1"/>
    </row>
    <row r="399" spans="1:1" ht="46.5" customHeight="1" x14ac:dyDescent="0.25">
      <c r="A399" s="1"/>
    </row>
    <row r="400" spans="1:1" ht="46.5" customHeight="1" x14ac:dyDescent="0.25">
      <c r="A400" s="1"/>
    </row>
    <row r="401" spans="1:1" ht="46.5" customHeight="1" x14ac:dyDescent="0.25">
      <c r="A401" s="1"/>
    </row>
    <row r="402" spans="1:1" ht="46.5" customHeight="1" x14ac:dyDescent="0.25">
      <c r="A402" s="1"/>
    </row>
    <row r="403" spans="1:1" ht="46.5" customHeight="1" x14ac:dyDescent="0.25">
      <c r="A403" s="1"/>
    </row>
    <row r="404" spans="1:1" ht="46.5" customHeight="1" x14ac:dyDescent="0.25">
      <c r="A404" s="1"/>
    </row>
    <row r="405" spans="1:1" ht="46.5" customHeight="1" x14ac:dyDescent="0.25">
      <c r="A405" s="1"/>
    </row>
    <row r="406" spans="1:1" ht="46.5" customHeight="1" x14ac:dyDescent="0.25">
      <c r="A406" s="1"/>
    </row>
    <row r="407" spans="1:1" ht="46.5" customHeight="1" x14ac:dyDescent="0.25">
      <c r="A407" s="1"/>
    </row>
    <row r="408" spans="1:1" ht="46.5" customHeight="1" x14ac:dyDescent="0.25">
      <c r="A408" s="1"/>
    </row>
    <row r="409" spans="1:1" ht="46.5" customHeight="1" x14ac:dyDescent="0.25">
      <c r="A409" s="1"/>
    </row>
    <row r="410" spans="1:1" ht="46.5" customHeight="1" x14ac:dyDescent="0.25">
      <c r="A410" s="1"/>
    </row>
    <row r="411" spans="1:1" ht="46.5" customHeight="1" x14ac:dyDescent="0.25">
      <c r="A411" s="1"/>
    </row>
    <row r="412" spans="1:1" ht="46.5" customHeight="1" x14ac:dyDescent="0.25">
      <c r="A412" s="1"/>
    </row>
    <row r="413" spans="1:1" ht="46.5" customHeight="1" x14ac:dyDescent="0.25">
      <c r="A413" s="1"/>
    </row>
    <row r="414" spans="1:1" ht="46.5" customHeight="1" x14ac:dyDescent="0.25">
      <c r="A414" s="1"/>
    </row>
    <row r="415" spans="1:1" ht="46.5" customHeight="1" x14ac:dyDescent="0.25">
      <c r="A415" s="1"/>
    </row>
    <row r="416" spans="1:1" ht="46.5" customHeight="1" x14ac:dyDescent="0.25">
      <c r="A416" s="1"/>
    </row>
    <row r="417" spans="1:1" ht="46.5" customHeight="1" x14ac:dyDescent="0.25">
      <c r="A417" s="1"/>
    </row>
    <row r="418" spans="1:1" ht="46.5" customHeight="1" x14ac:dyDescent="0.25">
      <c r="A418" s="1"/>
    </row>
    <row r="419" spans="1:1" ht="46.5" customHeight="1" x14ac:dyDescent="0.25">
      <c r="A419" s="1"/>
    </row>
    <row r="420" spans="1:1" ht="46.5" customHeight="1" x14ac:dyDescent="0.25">
      <c r="A420" s="1"/>
    </row>
    <row r="421" spans="1:1" ht="46.5" customHeight="1" x14ac:dyDescent="0.25">
      <c r="A421" s="1"/>
    </row>
    <row r="422" spans="1:1" ht="46.5" customHeight="1" x14ac:dyDescent="0.25">
      <c r="A422" s="1"/>
    </row>
    <row r="423" spans="1:1" ht="46.5" customHeight="1" x14ac:dyDescent="0.25">
      <c r="A423" s="1"/>
    </row>
    <row r="424" spans="1:1" ht="46.5" customHeight="1" x14ac:dyDescent="0.25">
      <c r="A424" s="1"/>
    </row>
    <row r="425" spans="1:1" ht="46.5" customHeight="1" x14ac:dyDescent="0.25">
      <c r="A425" s="1"/>
    </row>
    <row r="426" spans="1:1" ht="46.5" customHeight="1" x14ac:dyDescent="0.25">
      <c r="A426" s="1"/>
    </row>
    <row r="427" spans="1:1" ht="46.5" customHeight="1" x14ac:dyDescent="0.25">
      <c r="A427" s="1"/>
    </row>
    <row r="428" spans="1:1" ht="46.5" customHeight="1" x14ac:dyDescent="0.25">
      <c r="A428" s="1"/>
    </row>
    <row r="429" spans="1:1" ht="46.5" customHeight="1" x14ac:dyDescent="0.25">
      <c r="A429" s="1"/>
    </row>
    <row r="430" spans="1:1" ht="46.5" customHeight="1" x14ac:dyDescent="0.25">
      <c r="A430" s="1"/>
    </row>
    <row r="431" spans="1:1" ht="46.5" customHeight="1" x14ac:dyDescent="0.25">
      <c r="A431" s="1"/>
    </row>
    <row r="432" spans="1:1" ht="46.5" customHeight="1" x14ac:dyDescent="0.25">
      <c r="A432" s="1"/>
    </row>
    <row r="433" spans="1:1" ht="46.5" customHeight="1" x14ac:dyDescent="0.25">
      <c r="A433" s="1"/>
    </row>
    <row r="434" spans="1:1" ht="46.5" customHeight="1" x14ac:dyDescent="0.25">
      <c r="A434" s="1"/>
    </row>
    <row r="435" spans="1:1" ht="46.5" customHeight="1" x14ac:dyDescent="0.25">
      <c r="A435" s="1"/>
    </row>
    <row r="436" spans="1:1" ht="46.5" customHeight="1" x14ac:dyDescent="0.25">
      <c r="A436" s="1"/>
    </row>
    <row r="437" spans="1:1" ht="46.5" customHeight="1" x14ac:dyDescent="0.25">
      <c r="A437" s="1"/>
    </row>
    <row r="438" spans="1:1" ht="46.5" customHeight="1" x14ac:dyDescent="0.25">
      <c r="A438" s="1"/>
    </row>
    <row r="439" spans="1:1" ht="46.5" customHeight="1" x14ac:dyDescent="0.25">
      <c r="A439" s="1"/>
    </row>
    <row r="440" spans="1:1" ht="46.5" customHeight="1" x14ac:dyDescent="0.25">
      <c r="A440" s="1"/>
    </row>
    <row r="441" spans="1:1" ht="46.5" customHeight="1" x14ac:dyDescent="0.25">
      <c r="A441" s="1"/>
    </row>
    <row r="442" spans="1:1" ht="46.5" customHeight="1" x14ac:dyDescent="0.25">
      <c r="A442" s="1"/>
    </row>
    <row r="443" spans="1:1" ht="46.5" customHeight="1" x14ac:dyDescent="0.25">
      <c r="A443" s="1"/>
    </row>
    <row r="444" spans="1:1" ht="46.5" customHeight="1" x14ac:dyDescent="0.25">
      <c r="A444" s="1"/>
    </row>
    <row r="445" spans="1:1" ht="46.5" customHeight="1" x14ac:dyDescent="0.25">
      <c r="A445" s="1"/>
    </row>
    <row r="446" spans="1:1" ht="46.5" customHeight="1" x14ac:dyDescent="0.25">
      <c r="A446" s="1"/>
    </row>
    <row r="447" spans="1:1" ht="46.5" customHeight="1" x14ac:dyDescent="0.25">
      <c r="A447" s="1"/>
    </row>
    <row r="448" spans="1:1" ht="46.5" customHeight="1" x14ac:dyDescent="0.25">
      <c r="A448" s="1"/>
    </row>
    <row r="449" spans="1:1" ht="46.5" customHeight="1" x14ac:dyDescent="0.25">
      <c r="A449" s="1"/>
    </row>
    <row r="450" spans="1:1" ht="46.5" customHeight="1" x14ac:dyDescent="0.25">
      <c r="A450" s="1"/>
    </row>
    <row r="451" spans="1:1" ht="46.5" customHeight="1" x14ac:dyDescent="0.25">
      <c r="A451" s="1"/>
    </row>
    <row r="452" spans="1:1" ht="46.5" customHeight="1" x14ac:dyDescent="0.25">
      <c r="A452" s="1"/>
    </row>
    <row r="453" spans="1:1" ht="46.5" customHeight="1" x14ac:dyDescent="0.25">
      <c r="A453" s="1"/>
    </row>
    <row r="454" spans="1:1" ht="46.5" customHeight="1" x14ac:dyDescent="0.25">
      <c r="A454" s="1"/>
    </row>
    <row r="455" spans="1:1" ht="46.5" customHeight="1" x14ac:dyDescent="0.25">
      <c r="A455" s="1"/>
    </row>
    <row r="456" spans="1:1" ht="46.5" customHeight="1" x14ac:dyDescent="0.25">
      <c r="A456" s="1"/>
    </row>
    <row r="457" spans="1:1" ht="46.5" customHeight="1" x14ac:dyDescent="0.25">
      <c r="A457" s="1"/>
    </row>
    <row r="458" spans="1:1" ht="46.5" customHeight="1" x14ac:dyDescent="0.25">
      <c r="A458" s="1"/>
    </row>
    <row r="459" spans="1:1" ht="46.5" customHeight="1" x14ac:dyDescent="0.25">
      <c r="A459" s="1"/>
    </row>
    <row r="460" spans="1:1" ht="46.5" customHeight="1" x14ac:dyDescent="0.25">
      <c r="A460" s="1"/>
    </row>
    <row r="461" spans="1:1" ht="46.5" customHeight="1" x14ac:dyDescent="0.25">
      <c r="A461" s="1"/>
    </row>
    <row r="462" spans="1:1" ht="46.5" customHeight="1" x14ac:dyDescent="0.25">
      <c r="A462" s="1"/>
    </row>
    <row r="463" spans="1:1" ht="46.5" customHeight="1" x14ac:dyDescent="0.25">
      <c r="A463" s="1"/>
    </row>
    <row r="464" spans="1:1" ht="46.5" customHeight="1" x14ac:dyDescent="0.25">
      <c r="A464" s="1"/>
    </row>
    <row r="465" spans="1:1" ht="46.5" customHeight="1" x14ac:dyDescent="0.25">
      <c r="A465" s="1"/>
    </row>
    <row r="466" spans="1:1" ht="46.5" customHeight="1" x14ac:dyDescent="0.25">
      <c r="A466" s="1"/>
    </row>
    <row r="467" spans="1:1" ht="46.5" customHeight="1" x14ac:dyDescent="0.25">
      <c r="A467" s="1"/>
    </row>
    <row r="468" spans="1:1" ht="46.5" customHeight="1" x14ac:dyDescent="0.25">
      <c r="A468" s="1"/>
    </row>
    <row r="469" spans="1:1" ht="46.5" customHeight="1" x14ac:dyDescent="0.25">
      <c r="A469" s="1"/>
    </row>
    <row r="470" spans="1:1" ht="46.5" customHeight="1" x14ac:dyDescent="0.25">
      <c r="A470" s="1"/>
    </row>
    <row r="471" spans="1:1" ht="46.5" customHeight="1" x14ac:dyDescent="0.25">
      <c r="A471" s="1"/>
    </row>
    <row r="472" spans="1:1" ht="46.5" customHeight="1" x14ac:dyDescent="0.25">
      <c r="A472" s="1"/>
    </row>
    <row r="473" spans="1:1" ht="46.5" customHeight="1" x14ac:dyDescent="0.25">
      <c r="A473" s="1"/>
    </row>
    <row r="474" spans="1:1" ht="46.5" customHeight="1" x14ac:dyDescent="0.25">
      <c r="A474" s="1"/>
    </row>
    <row r="475" spans="1:1" ht="46.5" customHeight="1" x14ac:dyDescent="0.25">
      <c r="A475" s="1"/>
    </row>
    <row r="476" spans="1:1" ht="46.5" customHeight="1" x14ac:dyDescent="0.25">
      <c r="A476" s="1"/>
    </row>
    <row r="477" spans="1:1" ht="46.5" customHeight="1" x14ac:dyDescent="0.25">
      <c r="A477" s="1"/>
    </row>
    <row r="478" spans="1:1" ht="46.5" customHeight="1" x14ac:dyDescent="0.25">
      <c r="A478" s="1"/>
    </row>
    <row r="479" spans="1:1" ht="46.5" customHeight="1" x14ac:dyDescent="0.25">
      <c r="A479" s="1"/>
    </row>
    <row r="480" spans="1:1" ht="46.5" customHeight="1" x14ac:dyDescent="0.25">
      <c r="A480" s="1"/>
    </row>
    <row r="481" spans="1:1" ht="46.5" customHeight="1" x14ac:dyDescent="0.25">
      <c r="A481" s="1"/>
    </row>
    <row r="482" spans="1:1" ht="46.5" customHeight="1" x14ac:dyDescent="0.25">
      <c r="A482" s="1"/>
    </row>
    <row r="483" spans="1:1" ht="46.5" customHeight="1" x14ac:dyDescent="0.25">
      <c r="A483" s="1"/>
    </row>
    <row r="484" spans="1:1" ht="46.5" customHeight="1" x14ac:dyDescent="0.25">
      <c r="A484" s="1"/>
    </row>
    <row r="485" spans="1:1" ht="46.5" customHeight="1" x14ac:dyDescent="0.25">
      <c r="A485" s="1"/>
    </row>
    <row r="486" spans="1:1" ht="46.5" customHeight="1" x14ac:dyDescent="0.25">
      <c r="A486" s="1"/>
    </row>
    <row r="487" spans="1:1" ht="46.5" customHeight="1" x14ac:dyDescent="0.25">
      <c r="A487" s="1"/>
    </row>
    <row r="488" spans="1:1" ht="46.5" customHeight="1" x14ac:dyDescent="0.25">
      <c r="A488" s="1"/>
    </row>
    <row r="489" spans="1:1" ht="46.5" customHeight="1" x14ac:dyDescent="0.25">
      <c r="A489" s="1"/>
    </row>
    <row r="490" spans="1:1" ht="46.5" customHeight="1" x14ac:dyDescent="0.25">
      <c r="A490" s="1"/>
    </row>
    <row r="491" spans="1:1" ht="46.5" customHeight="1" x14ac:dyDescent="0.25">
      <c r="A491" s="1"/>
    </row>
    <row r="492" spans="1:1" ht="46.5" customHeight="1" x14ac:dyDescent="0.25">
      <c r="A492" s="1"/>
    </row>
    <row r="493" spans="1:1" ht="46.5" customHeight="1" x14ac:dyDescent="0.25">
      <c r="A493" s="1"/>
    </row>
    <row r="494" spans="1:1" ht="46.5" customHeight="1" x14ac:dyDescent="0.25">
      <c r="A494" s="1"/>
    </row>
    <row r="495" spans="1:1" ht="46.5" customHeight="1" x14ac:dyDescent="0.25">
      <c r="A495" s="1"/>
    </row>
    <row r="496" spans="1:1" ht="46.5" customHeight="1" x14ac:dyDescent="0.25">
      <c r="A496" s="1"/>
    </row>
    <row r="497" spans="1:1" ht="46.5" customHeight="1" x14ac:dyDescent="0.25">
      <c r="A497" s="1"/>
    </row>
    <row r="498" spans="1:1" ht="46.5" customHeight="1" x14ac:dyDescent="0.25">
      <c r="A498" s="1"/>
    </row>
    <row r="499" spans="1:1" ht="46.5" customHeight="1" x14ac:dyDescent="0.25">
      <c r="A499" s="1"/>
    </row>
    <row r="500" spans="1:1" ht="46.5" customHeight="1" x14ac:dyDescent="0.25">
      <c r="A500" s="1"/>
    </row>
    <row r="501" spans="1:1" ht="46.5" customHeight="1" x14ac:dyDescent="0.25">
      <c r="A501" s="1"/>
    </row>
    <row r="502" spans="1:1" ht="46.5" customHeight="1" x14ac:dyDescent="0.25">
      <c r="A502" s="1"/>
    </row>
    <row r="503" spans="1:1" ht="46.5" customHeight="1" x14ac:dyDescent="0.25">
      <c r="A503" s="1"/>
    </row>
    <row r="504" spans="1:1" ht="46.5" customHeight="1" x14ac:dyDescent="0.25">
      <c r="A504" s="1"/>
    </row>
    <row r="505" spans="1:1" ht="46.5" customHeight="1" x14ac:dyDescent="0.25">
      <c r="A505" s="1"/>
    </row>
    <row r="506" spans="1:1" ht="46.5" customHeight="1" x14ac:dyDescent="0.25">
      <c r="A506" s="1"/>
    </row>
    <row r="507" spans="1:1" ht="46.5" customHeight="1" x14ac:dyDescent="0.25">
      <c r="A507" s="1"/>
    </row>
    <row r="508" spans="1:1" ht="46.5" customHeight="1" x14ac:dyDescent="0.25">
      <c r="A508" s="1"/>
    </row>
    <row r="509" spans="1:1" ht="46.5" customHeight="1" x14ac:dyDescent="0.25">
      <c r="A509" s="1"/>
    </row>
    <row r="510" spans="1:1" ht="46.5" customHeight="1" x14ac:dyDescent="0.25">
      <c r="A510" s="1"/>
    </row>
    <row r="511" spans="1:1" ht="46.5" customHeight="1" x14ac:dyDescent="0.25">
      <c r="A511" s="1"/>
    </row>
    <row r="512" spans="1:1" ht="46.5" customHeight="1" x14ac:dyDescent="0.25">
      <c r="A512" s="1"/>
    </row>
    <row r="513" spans="1:1" ht="46.5" customHeight="1" x14ac:dyDescent="0.25">
      <c r="A513" s="1"/>
    </row>
    <row r="514" spans="1:1" ht="46.5" customHeight="1" x14ac:dyDescent="0.25">
      <c r="A514" s="1"/>
    </row>
    <row r="515" spans="1:1" ht="46.5" customHeight="1" x14ac:dyDescent="0.25">
      <c r="A515" s="1"/>
    </row>
    <row r="516" spans="1:1" ht="46.5" customHeight="1" x14ac:dyDescent="0.25">
      <c r="A516" s="1"/>
    </row>
    <row r="517" spans="1:1" ht="46.5" customHeight="1" x14ac:dyDescent="0.25">
      <c r="A517" s="1"/>
    </row>
    <row r="518" spans="1:1" ht="46.5" customHeight="1" x14ac:dyDescent="0.25">
      <c r="A518" s="1"/>
    </row>
    <row r="519" spans="1:1" ht="46.5" customHeight="1" x14ac:dyDescent="0.25">
      <c r="A519" s="1"/>
    </row>
    <row r="520" spans="1:1" ht="46.5" customHeight="1" x14ac:dyDescent="0.25">
      <c r="A520" s="1"/>
    </row>
    <row r="521" spans="1:1" ht="46.5" customHeight="1" x14ac:dyDescent="0.25">
      <c r="A521" s="1"/>
    </row>
    <row r="522" spans="1:1" ht="46.5" customHeight="1" x14ac:dyDescent="0.25">
      <c r="A522" s="1"/>
    </row>
    <row r="523" spans="1:1" ht="46.5" customHeight="1" x14ac:dyDescent="0.25">
      <c r="A523" s="1"/>
    </row>
    <row r="524" spans="1:1" ht="46.5" customHeight="1" x14ac:dyDescent="0.25">
      <c r="A524" s="1"/>
    </row>
    <row r="525" spans="1:1" ht="46.5" customHeight="1" x14ac:dyDescent="0.25">
      <c r="A525" s="1"/>
    </row>
    <row r="526" spans="1:1" ht="46.5" customHeight="1" x14ac:dyDescent="0.25">
      <c r="A526" s="1"/>
    </row>
    <row r="527" spans="1:1" ht="46.5" customHeight="1" x14ac:dyDescent="0.25">
      <c r="A527" s="1"/>
    </row>
    <row r="528" spans="1:1" ht="46.5" customHeight="1" x14ac:dyDescent="0.25">
      <c r="A528" s="1"/>
    </row>
    <row r="529" spans="1:1" ht="46.5" customHeight="1" x14ac:dyDescent="0.25">
      <c r="A529" s="1"/>
    </row>
    <row r="530" spans="1:1" ht="46.5" customHeight="1" x14ac:dyDescent="0.25">
      <c r="A530" s="1"/>
    </row>
    <row r="531" spans="1:1" ht="46.5" customHeight="1" x14ac:dyDescent="0.25">
      <c r="A531" s="1"/>
    </row>
    <row r="532" spans="1:1" ht="46.5" customHeight="1" x14ac:dyDescent="0.25">
      <c r="A532" s="1"/>
    </row>
    <row r="533" spans="1:1" ht="46.5" customHeight="1" x14ac:dyDescent="0.25">
      <c r="A533" s="1"/>
    </row>
    <row r="534" spans="1:1" ht="46.5" customHeight="1" x14ac:dyDescent="0.25">
      <c r="A534" s="1"/>
    </row>
    <row r="535" spans="1:1" ht="46.5" customHeight="1" x14ac:dyDescent="0.25">
      <c r="A535" s="1"/>
    </row>
    <row r="536" spans="1:1" ht="46.5" customHeight="1" x14ac:dyDescent="0.25">
      <c r="A536" s="1"/>
    </row>
    <row r="537" spans="1:1" ht="46.5" customHeight="1" x14ac:dyDescent="0.25">
      <c r="A537" s="1"/>
    </row>
    <row r="538" spans="1:1" ht="46.5" customHeight="1" x14ac:dyDescent="0.25">
      <c r="A538" s="1"/>
    </row>
    <row r="539" spans="1:1" ht="46.5" customHeight="1" x14ac:dyDescent="0.25">
      <c r="A539" s="1"/>
    </row>
    <row r="540" spans="1:1" ht="46.5" customHeight="1" x14ac:dyDescent="0.25">
      <c r="A540" s="1"/>
    </row>
    <row r="541" spans="1:1" ht="46.5" customHeight="1" x14ac:dyDescent="0.25">
      <c r="A541" s="1"/>
    </row>
    <row r="542" spans="1:1" ht="46.5" customHeight="1" x14ac:dyDescent="0.25">
      <c r="A542" s="1"/>
    </row>
    <row r="543" spans="1:1" ht="46.5" customHeight="1" x14ac:dyDescent="0.25">
      <c r="A543" s="1"/>
    </row>
    <row r="544" spans="1:1" ht="46.5" customHeight="1" x14ac:dyDescent="0.25">
      <c r="A544" s="1"/>
    </row>
    <row r="545" spans="1:1" ht="46.5" customHeight="1" x14ac:dyDescent="0.25">
      <c r="A545" s="1"/>
    </row>
    <row r="546" spans="1:1" ht="46.5" customHeight="1" x14ac:dyDescent="0.25">
      <c r="A546" s="1"/>
    </row>
    <row r="547" spans="1:1" ht="46.5" customHeight="1" x14ac:dyDescent="0.25">
      <c r="A547" s="1"/>
    </row>
    <row r="548" spans="1:1" ht="46.5" customHeight="1" x14ac:dyDescent="0.25">
      <c r="A548" s="1"/>
    </row>
    <row r="549" spans="1:1" ht="46.5" customHeight="1" x14ac:dyDescent="0.25">
      <c r="A549" s="1"/>
    </row>
    <row r="550" spans="1:1" ht="46.5" customHeight="1" x14ac:dyDescent="0.25">
      <c r="A550" s="1"/>
    </row>
    <row r="551" spans="1:1" ht="46.5" customHeight="1" x14ac:dyDescent="0.25">
      <c r="A551" s="1"/>
    </row>
    <row r="552" spans="1:1" ht="46.5" customHeight="1" x14ac:dyDescent="0.25">
      <c r="A552" s="1"/>
    </row>
    <row r="553" spans="1:1" ht="46.5" customHeight="1" x14ac:dyDescent="0.25">
      <c r="A553" s="1"/>
    </row>
    <row r="554" spans="1:1" ht="46.5" customHeight="1" x14ac:dyDescent="0.25">
      <c r="A554" s="1"/>
    </row>
    <row r="555" spans="1:1" ht="46.5" customHeight="1" x14ac:dyDescent="0.25">
      <c r="A555" s="1"/>
    </row>
    <row r="556" spans="1:1" ht="46.5" customHeight="1" x14ac:dyDescent="0.25">
      <c r="A556" s="1"/>
    </row>
    <row r="557" spans="1:1" ht="46.5" customHeight="1" x14ac:dyDescent="0.25">
      <c r="A557" s="1"/>
    </row>
    <row r="558" spans="1:1" ht="46.5" customHeight="1" x14ac:dyDescent="0.25">
      <c r="A558" s="1"/>
    </row>
    <row r="559" spans="1:1" ht="46.5" customHeight="1" x14ac:dyDescent="0.25">
      <c r="A559" s="1"/>
    </row>
    <row r="560" spans="1:1" ht="46.5" customHeight="1" x14ac:dyDescent="0.25">
      <c r="A560" s="1"/>
    </row>
    <row r="561" spans="1:1" ht="46.5" customHeight="1" x14ac:dyDescent="0.25">
      <c r="A561" s="1"/>
    </row>
    <row r="562" spans="1:1" ht="46.5" customHeight="1" x14ac:dyDescent="0.25">
      <c r="A562" s="1"/>
    </row>
    <row r="563" spans="1:1" ht="46.5" customHeight="1" x14ac:dyDescent="0.25">
      <c r="A563" s="1"/>
    </row>
    <row r="564" spans="1:1" ht="46.5" customHeight="1" x14ac:dyDescent="0.25">
      <c r="A564" s="1"/>
    </row>
    <row r="565" spans="1:1" ht="46.5" customHeight="1" x14ac:dyDescent="0.25">
      <c r="A565" s="1"/>
    </row>
    <row r="566" spans="1:1" ht="46.5" customHeight="1" x14ac:dyDescent="0.25">
      <c r="A566" s="1"/>
    </row>
    <row r="567" spans="1:1" ht="46.5" customHeight="1" x14ac:dyDescent="0.25">
      <c r="A567" s="1"/>
    </row>
    <row r="568" spans="1:1" ht="46.5" customHeight="1" x14ac:dyDescent="0.25">
      <c r="A568" s="1"/>
    </row>
    <row r="569" spans="1:1" ht="46.5" customHeight="1" x14ac:dyDescent="0.25">
      <c r="A569" s="1"/>
    </row>
    <row r="570" spans="1:1" ht="46.5" customHeight="1" x14ac:dyDescent="0.25">
      <c r="A570" s="1"/>
    </row>
    <row r="571" spans="1:1" ht="46.5" customHeight="1" x14ac:dyDescent="0.25">
      <c r="A571" s="1"/>
    </row>
    <row r="572" spans="1:1" ht="46.5" customHeight="1" x14ac:dyDescent="0.25">
      <c r="A572" s="1"/>
    </row>
    <row r="573" spans="1:1" ht="46.5" customHeight="1" x14ac:dyDescent="0.25">
      <c r="A573" s="1"/>
    </row>
    <row r="574" spans="1:1" ht="46.5" customHeight="1" x14ac:dyDescent="0.25">
      <c r="A574" s="1"/>
    </row>
    <row r="575" spans="1:1" ht="46.5" customHeight="1" x14ac:dyDescent="0.25">
      <c r="A575" s="1"/>
    </row>
    <row r="576" spans="1:1" ht="46.5" customHeight="1" x14ac:dyDescent="0.25">
      <c r="A576" s="1"/>
    </row>
    <row r="577" spans="1:1" ht="46.5" customHeight="1" x14ac:dyDescent="0.25">
      <c r="A577" s="1"/>
    </row>
    <row r="578" spans="1:1" ht="46.5" customHeight="1" x14ac:dyDescent="0.25">
      <c r="A578" s="1"/>
    </row>
    <row r="579" spans="1:1" ht="46.5" customHeight="1" x14ac:dyDescent="0.25">
      <c r="A579" s="1"/>
    </row>
    <row r="580" spans="1:1" ht="46.5" customHeight="1" x14ac:dyDescent="0.25">
      <c r="A580" s="1"/>
    </row>
    <row r="581" spans="1:1" ht="46.5" customHeight="1" x14ac:dyDescent="0.25">
      <c r="A581" s="1"/>
    </row>
    <row r="582" spans="1:1" ht="46.5" customHeight="1" x14ac:dyDescent="0.25">
      <c r="A582" s="1"/>
    </row>
    <row r="583" spans="1:1" ht="46.5" customHeight="1" x14ac:dyDescent="0.25">
      <c r="A583" s="1"/>
    </row>
    <row r="584" spans="1:1" ht="46.5" customHeight="1" x14ac:dyDescent="0.25">
      <c r="A584" s="1"/>
    </row>
    <row r="585" spans="1:1" ht="46.5" customHeight="1" x14ac:dyDescent="0.25">
      <c r="A585" s="1"/>
    </row>
    <row r="586" spans="1:1" ht="46.5" customHeight="1" x14ac:dyDescent="0.25">
      <c r="A586" s="1"/>
    </row>
    <row r="587" spans="1:1" ht="46.5" customHeight="1" x14ac:dyDescent="0.25">
      <c r="A587" s="1"/>
    </row>
    <row r="588" spans="1:1" ht="46.5" customHeight="1" x14ac:dyDescent="0.25">
      <c r="A588" s="1"/>
    </row>
    <row r="589" spans="1:1" ht="46.5" customHeight="1" x14ac:dyDescent="0.25">
      <c r="A589" s="1"/>
    </row>
    <row r="590" spans="1:1" ht="46.5" customHeight="1" x14ac:dyDescent="0.25">
      <c r="A590" s="1"/>
    </row>
    <row r="591" spans="1:1" ht="46.5" customHeight="1" x14ac:dyDescent="0.25">
      <c r="A591" s="1"/>
    </row>
    <row r="592" spans="1:1" ht="46.5" customHeight="1" x14ac:dyDescent="0.25">
      <c r="A592" s="1"/>
    </row>
    <row r="593" spans="1:1" ht="46.5" customHeight="1" x14ac:dyDescent="0.25">
      <c r="A593" s="1"/>
    </row>
    <row r="594" spans="1:1" ht="46.5" customHeight="1" x14ac:dyDescent="0.25">
      <c r="A594" s="1"/>
    </row>
    <row r="595" spans="1:1" ht="46.5" customHeight="1" x14ac:dyDescent="0.25">
      <c r="A595" s="1"/>
    </row>
    <row r="596" spans="1:1" ht="46.5" customHeight="1" x14ac:dyDescent="0.25">
      <c r="A596" s="1"/>
    </row>
    <row r="597" spans="1:1" ht="46.5" customHeight="1" x14ac:dyDescent="0.25">
      <c r="A597" s="1"/>
    </row>
    <row r="598" spans="1:1" ht="46.5" customHeight="1" x14ac:dyDescent="0.25">
      <c r="A598" s="1"/>
    </row>
    <row r="599" spans="1:1" ht="46.5" customHeight="1" x14ac:dyDescent="0.25">
      <c r="A599" s="1"/>
    </row>
    <row r="600" spans="1:1" ht="46.5" customHeight="1" x14ac:dyDescent="0.25">
      <c r="A600" s="1"/>
    </row>
    <row r="601" spans="1:1" ht="46.5" customHeight="1" x14ac:dyDescent="0.25">
      <c r="A601" s="1"/>
    </row>
    <row r="602" spans="1:1" ht="46.5" customHeight="1" x14ac:dyDescent="0.25">
      <c r="A602" s="1"/>
    </row>
    <row r="603" spans="1:1" ht="46.5" customHeight="1" x14ac:dyDescent="0.25">
      <c r="A603" s="1"/>
    </row>
    <row r="604" spans="1:1" ht="46.5" customHeight="1" x14ac:dyDescent="0.25">
      <c r="A604" s="1"/>
    </row>
    <row r="605" spans="1:1" ht="46.5" customHeight="1" x14ac:dyDescent="0.25">
      <c r="A605" s="1"/>
    </row>
    <row r="606" spans="1:1" ht="46.5" customHeight="1" x14ac:dyDescent="0.25">
      <c r="A606" s="1"/>
    </row>
    <row r="607" spans="1:1" ht="46.5" customHeight="1" x14ac:dyDescent="0.25">
      <c r="A607" s="1"/>
    </row>
    <row r="608" spans="1:1" ht="46.5" customHeight="1" x14ac:dyDescent="0.25">
      <c r="A608" s="1"/>
    </row>
    <row r="609" spans="1:1" ht="46.5" customHeight="1" x14ac:dyDescent="0.25">
      <c r="A609" s="1"/>
    </row>
    <row r="610" spans="1:1" ht="46.5" customHeight="1" x14ac:dyDescent="0.25">
      <c r="A610" s="1"/>
    </row>
    <row r="611" spans="1:1" ht="46.5" customHeight="1" x14ac:dyDescent="0.25">
      <c r="A611" s="1"/>
    </row>
    <row r="612" spans="1:1" ht="46.5" customHeight="1" x14ac:dyDescent="0.25">
      <c r="A612" s="1"/>
    </row>
    <row r="613" spans="1:1" ht="46.5" customHeight="1" x14ac:dyDescent="0.25">
      <c r="A613" s="1"/>
    </row>
    <row r="614" spans="1:1" ht="46.5" customHeight="1" x14ac:dyDescent="0.25">
      <c r="A614" s="1"/>
    </row>
    <row r="615" spans="1:1" ht="46.5" customHeight="1" x14ac:dyDescent="0.25">
      <c r="A615" s="1"/>
    </row>
    <row r="616" spans="1:1" ht="46.5" customHeight="1" x14ac:dyDescent="0.25">
      <c r="A616" s="1"/>
    </row>
    <row r="617" spans="1:1" ht="46.5" customHeight="1" x14ac:dyDescent="0.25">
      <c r="A617" s="1"/>
    </row>
    <row r="618" spans="1:1" ht="46.5" customHeight="1" x14ac:dyDescent="0.25">
      <c r="A618" s="1"/>
    </row>
    <row r="619" spans="1:1" ht="46.5" customHeight="1" x14ac:dyDescent="0.25">
      <c r="A619" s="1"/>
    </row>
    <row r="620" spans="1:1" ht="46.5" customHeight="1" x14ac:dyDescent="0.25">
      <c r="A620" s="1"/>
    </row>
    <row r="621" spans="1:1" ht="46.5" customHeight="1" x14ac:dyDescent="0.25">
      <c r="A621" s="1"/>
    </row>
    <row r="622" spans="1:1" ht="46.5" customHeight="1" x14ac:dyDescent="0.25">
      <c r="A622" s="1"/>
    </row>
    <row r="623" spans="1:1" ht="46.5" customHeight="1" x14ac:dyDescent="0.25">
      <c r="A623" s="1"/>
    </row>
    <row r="624" spans="1:1" ht="46.5" customHeight="1" x14ac:dyDescent="0.25">
      <c r="A624" s="1"/>
    </row>
    <row r="625" spans="1:1" ht="46.5" customHeight="1" x14ac:dyDescent="0.25">
      <c r="A625" s="1"/>
    </row>
    <row r="626" spans="1:1" ht="46.5" customHeight="1" x14ac:dyDescent="0.25">
      <c r="A626" s="1"/>
    </row>
    <row r="627" spans="1:1" ht="46.5" customHeight="1" x14ac:dyDescent="0.25">
      <c r="A627" s="1"/>
    </row>
    <row r="628" spans="1:1" ht="46.5" customHeight="1" x14ac:dyDescent="0.25">
      <c r="A628" s="1"/>
    </row>
    <row r="629" spans="1:1" ht="46.5" customHeight="1" x14ac:dyDescent="0.25">
      <c r="A629" s="1"/>
    </row>
    <row r="630" spans="1:1" ht="46.5" customHeight="1" x14ac:dyDescent="0.25">
      <c r="A630" s="1"/>
    </row>
    <row r="631" spans="1:1" ht="46.5" customHeight="1" x14ac:dyDescent="0.25">
      <c r="A631" s="1"/>
    </row>
    <row r="632" spans="1:1" ht="46.5" customHeight="1" x14ac:dyDescent="0.25">
      <c r="A632" s="1"/>
    </row>
    <row r="633" spans="1:1" ht="46.5" customHeight="1" x14ac:dyDescent="0.25">
      <c r="A633" s="1"/>
    </row>
    <row r="634" spans="1:1" ht="46.5" customHeight="1" x14ac:dyDescent="0.25">
      <c r="A634" s="1"/>
    </row>
    <row r="635" spans="1:1" ht="46.5" customHeight="1" x14ac:dyDescent="0.25">
      <c r="A635" s="1"/>
    </row>
    <row r="636" spans="1:1" ht="46.5" customHeight="1" x14ac:dyDescent="0.25">
      <c r="A636" s="1"/>
    </row>
    <row r="637" spans="1:1" ht="46.5" customHeight="1" x14ac:dyDescent="0.25">
      <c r="A637" s="1"/>
    </row>
    <row r="638" spans="1:1" ht="46.5" customHeight="1" x14ac:dyDescent="0.25">
      <c r="A638" s="1"/>
    </row>
    <row r="639" spans="1:1" ht="46.5" customHeight="1" x14ac:dyDescent="0.25">
      <c r="A639" s="1"/>
    </row>
    <row r="640" spans="1:1" ht="46.5" customHeight="1" x14ac:dyDescent="0.25">
      <c r="A640" s="1"/>
    </row>
    <row r="641" spans="1:1" ht="46.5" customHeight="1" x14ac:dyDescent="0.25">
      <c r="A641" s="1"/>
    </row>
    <row r="642" spans="1:1" ht="46.5" customHeight="1" x14ac:dyDescent="0.25">
      <c r="A642" s="1"/>
    </row>
    <row r="643" spans="1:1" ht="46.5" customHeight="1" x14ac:dyDescent="0.25">
      <c r="A643" s="1"/>
    </row>
    <row r="644" spans="1:1" ht="46.5" customHeight="1" x14ac:dyDescent="0.25">
      <c r="A644" s="1"/>
    </row>
    <row r="645" spans="1:1" ht="46.5" customHeight="1" x14ac:dyDescent="0.25">
      <c r="A645" s="1"/>
    </row>
    <row r="646" spans="1:1" ht="46.5" customHeight="1" x14ac:dyDescent="0.25">
      <c r="A646" s="1"/>
    </row>
    <row r="647" spans="1:1" ht="46.5" customHeight="1" x14ac:dyDescent="0.25">
      <c r="A647" s="1"/>
    </row>
    <row r="648" spans="1:1" ht="46.5" customHeight="1" x14ac:dyDescent="0.25">
      <c r="A648" s="1"/>
    </row>
    <row r="649" spans="1:1" ht="46.5" customHeight="1" x14ac:dyDescent="0.25">
      <c r="A649" s="1"/>
    </row>
    <row r="650" spans="1:1" ht="46.5" customHeight="1" x14ac:dyDescent="0.25">
      <c r="A650" s="1"/>
    </row>
    <row r="651" spans="1:1" ht="46.5" customHeight="1" x14ac:dyDescent="0.25">
      <c r="A651" s="1"/>
    </row>
    <row r="652" spans="1:1" ht="46.5" customHeight="1" x14ac:dyDescent="0.25">
      <c r="A652" s="1"/>
    </row>
    <row r="653" spans="1:1" ht="46.5" customHeight="1" x14ac:dyDescent="0.25">
      <c r="A653" s="1"/>
    </row>
    <row r="654" spans="1:1" ht="46.5" customHeight="1" x14ac:dyDescent="0.25">
      <c r="A654" s="1"/>
    </row>
    <row r="655" spans="1:1" ht="46.5" customHeight="1" x14ac:dyDescent="0.25">
      <c r="A655" s="1"/>
    </row>
    <row r="656" spans="1:1" ht="46.5" customHeight="1" x14ac:dyDescent="0.25">
      <c r="A656" s="1"/>
    </row>
    <row r="657" spans="1:1" ht="46.5" customHeight="1" x14ac:dyDescent="0.25">
      <c r="A657" s="1"/>
    </row>
    <row r="658" spans="1:1" ht="46.5" customHeight="1" x14ac:dyDescent="0.25">
      <c r="A658" s="1"/>
    </row>
    <row r="659" spans="1:1" ht="46.5" customHeight="1" x14ac:dyDescent="0.25">
      <c r="A659" s="1"/>
    </row>
    <row r="660" spans="1:1" ht="46.5" customHeight="1" x14ac:dyDescent="0.25">
      <c r="A660" s="1"/>
    </row>
    <row r="661" spans="1:1" ht="46.5" customHeight="1" x14ac:dyDescent="0.25">
      <c r="A661" s="1"/>
    </row>
    <row r="662" spans="1:1" ht="46.5" customHeight="1" x14ac:dyDescent="0.25">
      <c r="A662" s="1"/>
    </row>
    <row r="663" spans="1:1" ht="46.5" customHeight="1" x14ac:dyDescent="0.25">
      <c r="A663" s="1"/>
    </row>
    <row r="664" spans="1:1" ht="46.5" customHeight="1" x14ac:dyDescent="0.25">
      <c r="A664" s="1"/>
    </row>
    <row r="665" spans="1:1" ht="46.5" customHeight="1" x14ac:dyDescent="0.25">
      <c r="A665" s="1"/>
    </row>
    <row r="666" spans="1:1" ht="46.5" customHeight="1" x14ac:dyDescent="0.25">
      <c r="A666" s="1"/>
    </row>
    <row r="667" spans="1:1" ht="46.5" customHeight="1" x14ac:dyDescent="0.25">
      <c r="A667" s="1"/>
    </row>
    <row r="668" spans="1:1" ht="46.5" customHeight="1" x14ac:dyDescent="0.25">
      <c r="A668" s="1"/>
    </row>
    <row r="669" spans="1:1" ht="46.5" customHeight="1" x14ac:dyDescent="0.25">
      <c r="A669" s="1"/>
    </row>
    <row r="670" spans="1:1" ht="46.5" customHeight="1" x14ac:dyDescent="0.25">
      <c r="A670" s="1"/>
    </row>
    <row r="671" spans="1:1" ht="46.5" customHeight="1" x14ac:dyDescent="0.25">
      <c r="A671" s="1"/>
    </row>
    <row r="672" spans="1:1" ht="46.5" customHeight="1" x14ac:dyDescent="0.25">
      <c r="A672" s="1"/>
    </row>
    <row r="673" spans="1:1" ht="46.5" customHeight="1" x14ac:dyDescent="0.25">
      <c r="A673" s="1"/>
    </row>
    <row r="674" spans="1:1" ht="46.5" customHeight="1" x14ac:dyDescent="0.25">
      <c r="A674" s="1"/>
    </row>
    <row r="675" spans="1:1" ht="46.5" customHeight="1" x14ac:dyDescent="0.25">
      <c r="A675" s="1"/>
    </row>
    <row r="676" spans="1:1" ht="46.5" customHeight="1" x14ac:dyDescent="0.25">
      <c r="A676" s="1"/>
    </row>
    <row r="677" spans="1:1" ht="46.5" customHeight="1" x14ac:dyDescent="0.25">
      <c r="A677" s="1"/>
    </row>
    <row r="678" spans="1:1" ht="46.5" customHeight="1" x14ac:dyDescent="0.25">
      <c r="A678" s="1"/>
    </row>
    <row r="679" spans="1:1" ht="46.5" customHeight="1" x14ac:dyDescent="0.25">
      <c r="A679" s="1"/>
    </row>
    <row r="680" spans="1:1" ht="46.5" customHeight="1" x14ac:dyDescent="0.25">
      <c r="A680" s="1"/>
    </row>
    <row r="681" spans="1:1" ht="46.5" customHeight="1" x14ac:dyDescent="0.25">
      <c r="A681" s="1"/>
    </row>
    <row r="682" spans="1:1" ht="46.5" customHeight="1" x14ac:dyDescent="0.25">
      <c r="A682" s="1"/>
    </row>
    <row r="683" spans="1:1" ht="46.5" customHeight="1" x14ac:dyDescent="0.25">
      <c r="A683" s="1"/>
    </row>
    <row r="684" spans="1:1" ht="46.5" customHeight="1" x14ac:dyDescent="0.25">
      <c r="A684" s="1"/>
    </row>
    <row r="685" spans="1:1" ht="46.5" customHeight="1" x14ac:dyDescent="0.25">
      <c r="A685" s="1"/>
    </row>
    <row r="686" spans="1:1" ht="46.5" customHeight="1" x14ac:dyDescent="0.25">
      <c r="A686" s="1"/>
    </row>
    <row r="687" spans="1:1" ht="46.5" customHeight="1" x14ac:dyDescent="0.25">
      <c r="A687" s="1"/>
    </row>
    <row r="688" spans="1:1" ht="46.5" customHeight="1" x14ac:dyDescent="0.25">
      <c r="A688" s="1"/>
    </row>
    <row r="689" spans="1:1" ht="46.5" customHeight="1" x14ac:dyDescent="0.25">
      <c r="A689" s="1"/>
    </row>
    <row r="690" spans="1:1" ht="46.5" customHeight="1" x14ac:dyDescent="0.25">
      <c r="A690" s="1"/>
    </row>
    <row r="691" spans="1:1" ht="46.5" customHeight="1" x14ac:dyDescent="0.25">
      <c r="A691" s="1"/>
    </row>
    <row r="692" spans="1:1" ht="46.5" customHeight="1" x14ac:dyDescent="0.25">
      <c r="A692" s="1"/>
    </row>
    <row r="693" spans="1:1" ht="46.5" customHeight="1" x14ac:dyDescent="0.25">
      <c r="A693" s="1"/>
    </row>
    <row r="694" spans="1:1" ht="46.5" customHeight="1" x14ac:dyDescent="0.25">
      <c r="A694" s="1"/>
    </row>
    <row r="695" spans="1:1" ht="46.5" customHeight="1" x14ac:dyDescent="0.25">
      <c r="A695" s="1"/>
    </row>
    <row r="696" spans="1:1" ht="46.5" customHeight="1" x14ac:dyDescent="0.25">
      <c r="A696" s="1"/>
    </row>
    <row r="697" spans="1:1" ht="46.5" customHeight="1" x14ac:dyDescent="0.25">
      <c r="A697" s="1"/>
    </row>
    <row r="698" spans="1:1" ht="46.5" customHeight="1" x14ac:dyDescent="0.25">
      <c r="A698" s="1"/>
    </row>
    <row r="699" spans="1:1" ht="46.5" customHeight="1" x14ac:dyDescent="0.25">
      <c r="A699" s="1"/>
    </row>
    <row r="700" spans="1:1" ht="46.5" customHeight="1" x14ac:dyDescent="0.25">
      <c r="A700" s="1"/>
    </row>
    <row r="701" spans="1:1" ht="46.5" customHeight="1" x14ac:dyDescent="0.25">
      <c r="A701" s="1"/>
    </row>
    <row r="702" spans="1:1" ht="46.5" customHeight="1" x14ac:dyDescent="0.25">
      <c r="A702" s="1"/>
    </row>
    <row r="703" spans="1:1" ht="46.5" customHeight="1" x14ac:dyDescent="0.25">
      <c r="A703" s="1"/>
    </row>
    <row r="704" spans="1:1" ht="46.5" customHeight="1" x14ac:dyDescent="0.25">
      <c r="A704" s="1"/>
    </row>
    <row r="705" spans="1:1" ht="46.5" customHeight="1" x14ac:dyDescent="0.25">
      <c r="A705" s="1"/>
    </row>
    <row r="706" spans="1:1" ht="46.5" customHeight="1" x14ac:dyDescent="0.25">
      <c r="A706" s="1"/>
    </row>
    <row r="707" spans="1:1" ht="46.5" customHeight="1" x14ac:dyDescent="0.25">
      <c r="A707" s="1"/>
    </row>
    <row r="708" spans="1:1" ht="46.5" customHeight="1" x14ac:dyDescent="0.25">
      <c r="A708" s="1"/>
    </row>
    <row r="709" spans="1:1" ht="46.5" customHeight="1" x14ac:dyDescent="0.25">
      <c r="A709" s="1"/>
    </row>
    <row r="710" spans="1:1" ht="46.5" customHeight="1" x14ac:dyDescent="0.25">
      <c r="A710" s="1"/>
    </row>
    <row r="711" spans="1:1" ht="46.5" customHeight="1" x14ac:dyDescent="0.25">
      <c r="A711" s="1"/>
    </row>
    <row r="712" spans="1:1" ht="46.5" customHeight="1" x14ac:dyDescent="0.25">
      <c r="A712" s="1"/>
    </row>
    <row r="713" spans="1:1" ht="46.5" customHeight="1" x14ac:dyDescent="0.25">
      <c r="A713" s="1"/>
    </row>
    <row r="714" spans="1:1" ht="46.5" customHeight="1" x14ac:dyDescent="0.25">
      <c r="A714" s="1"/>
    </row>
    <row r="715" spans="1:1" ht="46.5" customHeight="1" x14ac:dyDescent="0.25">
      <c r="A715" s="1"/>
    </row>
    <row r="716" spans="1:1" ht="46.5" customHeight="1" x14ac:dyDescent="0.25">
      <c r="A716" s="1"/>
    </row>
    <row r="717" spans="1:1" ht="46.5" customHeight="1" x14ac:dyDescent="0.25">
      <c r="A717" s="1"/>
    </row>
    <row r="718" spans="1:1" ht="46.5" customHeight="1" x14ac:dyDescent="0.25">
      <c r="A718" s="1"/>
    </row>
    <row r="719" spans="1:1" ht="46.5" customHeight="1" x14ac:dyDescent="0.25">
      <c r="A719" s="1"/>
    </row>
    <row r="720" spans="1:1" ht="46.5" customHeight="1" x14ac:dyDescent="0.25">
      <c r="A720" s="1"/>
    </row>
    <row r="721" spans="1:1" ht="46.5" customHeight="1" x14ac:dyDescent="0.25">
      <c r="A721" s="1"/>
    </row>
    <row r="722" spans="1:1" ht="46.5" customHeight="1" x14ac:dyDescent="0.25">
      <c r="A722" s="1"/>
    </row>
    <row r="723" spans="1:1" ht="46.5" customHeight="1" x14ac:dyDescent="0.25">
      <c r="A723" s="1"/>
    </row>
    <row r="724" spans="1:1" ht="46.5" customHeight="1" x14ac:dyDescent="0.25">
      <c r="A724" s="1"/>
    </row>
    <row r="725" spans="1:1" ht="46.5" customHeight="1" x14ac:dyDescent="0.25">
      <c r="A725" s="1"/>
    </row>
    <row r="726" spans="1:1" ht="46.5" customHeight="1" x14ac:dyDescent="0.25">
      <c r="A726" s="1"/>
    </row>
    <row r="727" spans="1:1" ht="46.5" customHeight="1" x14ac:dyDescent="0.25">
      <c r="A727" s="1"/>
    </row>
    <row r="728" spans="1:1" ht="46.5" customHeight="1" x14ac:dyDescent="0.25">
      <c r="A728" s="1"/>
    </row>
    <row r="729" spans="1:1" ht="46.5" customHeight="1" x14ac:dyDescent="0.25">
      <c r="A729" s="1"/>
    </row>
    <row r="730" spans="1:1" ht="46.5" customHeight="1" x14ac:dyDescent="0.25">
      <c r="A730" s="1"/>
    </row>
    <row r="731" spans="1:1" ht="46.5" customHeight="1" x14ac:dyDescent="0.25">
      <c r="A731" s="1"/>
    </row>
    <row r="732" spans="1:1" ht="46.5" customHeight="1" x14ac:dyDescent="0.25">
      <c r="A732" s="1"/>
    </row>
    <row r="733" spans="1:1" ht="46.5" customHeight="1" x14ac:dyDescent="0.25">
      <c r="A733" s="1"/>
    </row>
    <row r="734" spans="1:1" ht="46.5" customHeight="1" x14ac:dyDescent="0.25">
      <c r="A734" s="1"/>
    </row>
    <row r="735" spans="1:1" ht="46.5" customHeight="1" x14ac:dyDescent="0.25">
      <c r="A735" s="1"/>
    </row>
    <row r="736" spans="1:1" ht="46.5" customHeight="1" x14ac:dyDescent="0.25">
      <c r="A736" s="1"/>
    </row>
    <row r="737" spans="1:1" ht="46.5" customHeight="1" x14ac:dyDescent="0.25">
      <c r="A737" s="1"/>
    </row>
    <row r="738" spans="1:1" ht="46.5" customHeight="1" x14ac:dyDescent="0.25">
      <c r="A738" s="1"/>
    </row>
    <row r="739" spans="1:1" ht="46.5" customHeight="1" x14ac:dyDescent="0.25">
      <c r="A739" s="1"/>
    </row>
    <row r="740" spans="1:1" ht="46.5" customHeight="1" x14ac:dyDescent="0.25">
      <c r="A740" s="1"/>
    </row>
    <row r="741" spans="1:1" ht="46.5" customHeight="1" x14ac:dyDescent="0.25">
      <c r="A741" s="1"/>
    </row>
    <row r="742" spans="1:1" ht="46.5" customHeight="1" x14ac:dyDescent="0.25">
      <c r="A742" s="1"/>
    </row>
    <row r="743" spans="1:1" ht="46.5" customHeight="1" x14ac:dyDescent="0.25">
      <c r="A743" s="1"/>
    </row>
    <row r="744" spans="1:1" ht="46.5" customHeight="1" x14ac:dyDescent="0.25">
      <c r="A744" s="1"/>
    </row>
    <row r="745" spans="1:1" ht="46.5" customHeight="1" x14ac:dyDescent="0.25">
      <c r="A745" s="1"/>
    </row>
    <row r="746" spans="1:1" ht="46.5" customHeight="1" x14ac:dyDescent="0.25">
      <c r="A746" s="1"/>
    </row>
    <row r="747" spans="1:1" ht="46.5" customHeight="1" x14ac:dyDescent="0.25">
      <c r="A747" s="1"/>
    </row>
    <row r="748" spans="1:1" ht="46.5" customHeight="1" x14ac:dyDescent="0.25">
      <c r="A748" s="1"/>
    </row>
    <row r="749" spans="1:1" ht="46.5" customHeight="1" x14ac:dyDescent="0.25">
      <c r="A749" s="1"/>
    </row>
    <row r="750" spans="1:1" ht="46.5" customHeight="1" x14ac:dyDescent="0.25">
      <c r="A750" s="1"/>
    </row>
    <row r="751" spans="1:1" ht="46.5" customHeight="1" x14ac:dyDescent="0.25">
      <c r="A751" s="1"/>
    </row>
    <row r="752" spans="1:1" ht="46.5" customHeight="1" x14ac:dyDescent="0.25">
      <c r="A752" s="1"/>
    </row>
    <row r="753" spans="1:1" ht="46.5" customHeight="1" x14ac:dyDescent="0.25">
      <c r="A753" s="1"/>
    </row>
    <row r="754" spans="1:1" ht="46.5" customHeight="1" x14ac:dyDescent="0.25">
      <c r="A754" s="1"/>
    </row>
    <row r="755" spans="1:1" ht="46.5" customHeight="1" x14ac:dyDescent="0.25">
      <c r="A755" s="1"/>
    </row>
    <row r="756" spans="1:1" ht="46.5" customHeight="1" x14ac:dyDescent="0.25">
      <c r="A756" s="1"/>
    </row>
    <row r="757" spans="1:1" ht="46.5" customHeight="1" x14ac:dyDescent="0.25">
      <c r="A757" s="1"/>
    </row>
    <row r="758" spans="1:1" ht="46.5" customHeight="1" x14ac:dyDescent="0.25">
      <c r="A758" s="1"/>
    </row>
    <row r="759" spans="1:1" ht="46.5" customHeight="1" x14ac:dyDescent="0.25">
      <c r="A759" s="1"/>
    </row>
    <row r="760" spans="1:1" ht="46.5" customHeight="1" x14ac:dyDescent="0.25">
      <c r="A760" s="1"/>
    </row>
    <row r="761" spans="1:1" ht="46.5" customHeight="1" x14ac:dyDescent="0.25">
      <c r="A761" s="1"/>
    </row>
    <row r="762" spans="1:1" ht="46.5" customHeight="1" x14ac:dyDescent="0.25">
      <c r="A762" s="1"/>
    </row>
    <row r="763" spans="1:1" ht="46.5" customHeight="1" x14ac:dyDescent="0.25">
      <c r="A763" s="1"/>
    </row>
    <row r="764" spans="1:1" ht="46.5" customHeight="1" x14ac:dyDescent="0.25">
      <c r="A764" s="1"/>
    </row>
    <row r="765" spans="1:1" ht="46.5" customHeight="1" x14ac:dyDescent="0.25">
      <c r="A765" s="1"/>
    </row>
    <row r="766" spans="1:1" ht="46.5" customHeight="1" x14ac:dyDescent="0.25">
      <c r="A766" s="1"/>
    </row>
    <row r="767" spans="1:1" ht="46.5" customHeight="1" x14ac:dyDescent="0.25">
      <c r="A767" s="1"/>
    </row>
    <row r="768" spans="1:1" ht="46.5" customHeight="1" x14ac:dyDescent="0.25">
      <c r="A768" s="1"/>
    </row>
    <row r="769" spans="1:1" ht="46.5" customHeight="1" x14ac:dyDescent="0.25">
      <c r="A769" s="1"/>
    </row>
    <row r="770" spans="1:1" ht="46.5" customHeight="1" x14ac:dyDescent="0.25">
      <c r="A770" s="1"/>
    </row>
    <row r="771" spans="1:1" ht="46.5" customHeight="1" x14ac:dyDescent="0.25">
      <c r="A771" s="1"/>
    </row>
    <row r="772" spans="1:1" ht="46.5" customHeight="1" x14ac:dyDescent="0.25">
      <c r="A772" s="1"/>
    </row>
    <row r="773" spans="1:1" ht="46.5" customHeight="1" x14ac:dyDescent="0.25">
      <c r="A773" s="1"/>
    </row>
    <row r="774" spans="1:1" ht="46.5" customHeight="1" x14ac:dyDescent="0.25">
      <c r="A774" s="1"/>
    </row>
    <row r="775" spans="1:1" ht="46.5" customHeight="1" x14ac:dyDescent="0.25">
      <c r="A775" s="1"/>
    </row>
    <row r="776" spans="1:1" ht="46.5" customHeight="1" x14ac:dyDescent="0.25">
      <c r="A776" s="1"/>
    </row>
    <row r="777" spans="1:1" ht="46.5" customHeight="1" x14ac:dyDescent="0.25">
      <c r="A777" s="1"/>
    </row>
    <row r="778" spans="1:1" ht="46.5" customHeight="1" x14ac:dyDescent="0.25">
      <c r="A778" s="1"/>
    </row>
    <row r="779" spans="1:1" ht="46.5" customHeight="1" x14ac:dyDescent="0.25">
      <c r="A779" s="1"/>
    </row>
    <row r="780" spans="1:1" ht="46.5" customHeight="1" x14ac:dyDescent="0.25">
      <c r="A780" s="1"/>
    </row>
    <row r="781" spans="1:1" ht="46.5" customHeight="1" x14ac:dyDescent="0.25">
      <c r="A781" s="1"/>
    </row>
    <row r="782" spans="1:1" ht="46.5" customHeight="1" x14ac:dyDescent="0.25">
      <c r="A782" s="1"/>
    </row>
    <row r="783" spans="1:1" ht="46.5" customHeight="1" x14ac:dyDescent="0.25">
      <c r="A783" s="1"/>
    </row>
    <row r="784" spans="1:1" ht="46.5" customHeight="1" x14ac:dyDescent="0.25">
      <c r="A784" s="1"/>
    </row>
    <row r="785" spans="1:1" ht="46.5" customHeight="1" x14ac:dyDescent="0.25">
      <c r="A785" s="1"/>
    </row>
    <row r="786" spans="1:1" ht="46.5" customHeight="1" x14ac:dyDescent="0.25">
      <c r="A786" s="1"/>
    </row>
    <row r="787" spans="1:1" ht="46.5" customHeight="1" x14ac:dyDescent="0.25">
      <c r="A787" s="1"/>
    </row>
    <row r="788" spans="1:1" ht="46.5" customHeight="1" x14ac:dyDescent="0.25">
      <c r="A788" s="1"/>
    </row>
    <row r="789" spans="1:1" ht="46.5" customHeight="1" x14ac:dyDescent="0.25">
      <c r="A789" s="1"/>
    </row>
    <row r="790" spans="1:1" ht="46.5" customHeight="1" x14ac:dyDescent="0.25">
      <c r="A790" s="1"/>
    </row>
    <row r="791" spans="1:1" ht="46.5" customHeight="1" x14ac:dyDescent="0.25">
      <c r="A791" s="1"/>
    </row>
    <row r="792" spans="1:1" ht="46.5" customHeight="1" x14ac:dyDescent="0.25">
      <c r="A792" s="1"/>
    </row>
    <row r="793" spans="1:1" ht="46.5" customHeight="1" x14ac:dyDescent="0.25">
      <c r="A793" s="1"/>
    </row>
    <row r="794" spans="1:1" ht="46.5" customHeight="1" x14ac:dyDescent="0.25">
      <c r="A794" s="1"/>
    </row>
    <row r="795" spans="1:1" ht="46.5" customHeight="1" x14ac:dyDescent="0.25">
      <c r="A795" s="1"/>
    </row>
    <row r="796" spans="1:1" ht="46.5" customHeight="1" x14ac:dyDescent="0.25">
      <c r="A796" s="1"/>
    </row>
    <row r="797" spans="1:1" ht="46.5" customHeight="1" x14ac:dyDescent="0.25">
      <c r="A797" s="1"/>
    </row>
    <row r="798" spans="1:1" ht="46.5" customHeight="1" x14ac:dyDescent="0.25">
      <c r="A798" s="1"/>
    </row>
    <row r="799" spans="1:1" ht="46.5" customHeight="1" x14ac:dyDescent="0.25">
      <c r="A799" s="1"/>
    </row>
    <row r="800" spans="1:1" ht="46.5" customHeight="1" x14ac:dyDescent="0.25">
      <c r="A800" s="1"/>
    </row>
    <row r="801" spans="1:1" ht="46.5" customHeight="1" x14ac:dyDescent="0.25">
      <c r="A801" s="1"/>
    </row>
    <row r="802" spans="1:1" ht="46.5" customHeight="1" x14ac:dyDescent="0.25">
      <c r="A802" s="1"/>
    </row>
    <row r="803" spans="1:1" ht="46.5" customHeight="1" x14ac:dyDescent="0.25">
      <c r="A803" s="1"/>
    </row>
    <row r="804" spans="1:1" ht="46.5" customHeight="1" x14ac:dyDescent="0.25">
      <c r="A804" s="1"/>
    </row>
    <row r="805" spans="1:1" ht="46.5" customHeight="1" x14ac:dyDescent="0.25">
      <c r="A805" s="1"/>
    </row>
    <row r="806" spans="1:1" ht="46.5" customHeight="1" x14ac:dyDescent="0.25">
      <c r="A806" s="1"/>
    </row>
    <row r="807" spans="1:1" ht="46.5" customHeight="1" x14ac:dyDescent="0.25">
      <c r="A807" s="1"/>
    </row>
    <row r="808" spans="1:1" ht="46.5" customHeight="1" x14ac:dyDescent="0.25">
      <c r="A808" s="1"/>
    </row>
    <row r="809" spans="1:1" ht="46.5" customHeight="1" x14ac:dyDescent="0.25">
      <c r="A809" s="1"/>
    </row>
    <row r="810" spans="1:1" ht="46.5" customHeight="1" x14ac:dyDescent="0.25">
      <c r="A810" s="1"/>
    </row>
    <row r="811" spans="1:1" ht="46.5" customHeight="1" x14ac:dyDescent="0.25">
      <c r="A811" s="1"/>
    </row>
    <row r="812" spans="1:1" ht="46.5" customHeight="1" x14ac:dyDescent="0.25">
      <c r="A812" s="1"/>
    </row>
    <row r="813" spans="1:1" ht="46.5" customHeight="1" x14ac:dyDescent="0.25">
      <c r="A813" s="1"/>
    </row>
    <row r="814" spans="1:1" ht="46.5" customHeight="1" x14ac:dyDescent="0.25">
      <c r="A814" s="1"/>
    </row>
    <row r="815" spans="1:1" ht="46.5" customHeight="1" x14ac:dyDescent="0.25">
      <c r="A815" s="1"/>
    </row>
    <row r="816" spans="1:1" ht="46.5" customHeight="1" x14ac:dyDescent="0.25">
      <c r="A816" s="1"/>
    </row>
    <row r="817" spans="1:1" ht="46.5" customHeight="1" x14ac:dyDescent="0.25">
      <c r="A817" s="1"/>
    </row>
    <row r="818" spans="1:1" ht="46.5" customHeight="1" x14ac:dyDescent="0.25">
      <c r="A818" s="1"/>
    </row>
    <row r="819" spans="1:1" ht="46.5" customHeight="1" x14ac:dyDescent="0.25">
      <c r="A819" s="1"/>
    </row>
    <row r="820" spans="1:1" ht="46.5" customHeight="1" x14ac:dyDescent="0.25">
      <c r="A820" s="1"/>
    </row>
    <row r="821" spans="1:1" ht="46.5" customHeight="1" x14ac:dyDescent="0.25">
      <c r="A821" s="1"/>
    </row>
    <row r="822" spans="1:1" ht="46.5" customHeight="1" x14ac:dyDescent="0.25">
      <c r="A822" s="1"/>
    </row>
    <row r="823" spans="1:1" ht="46.5" customHeight="1" x14ac:dyDescent="0.25">
      <c r="A823" s="1"/>
    </row>
    <row r="824" spans="1:1" ht="46.5" customHeight="1" x14ac:dyDescent="0.25">
      <c r="A824" s="1"/>
    </row>
    <row r="825" spans="1:1" ht="46.5" customHeight="1" x14ac:dyDescent="0.25">
      <c r="A825" s="1"/>
    </row>
    <row r="826" spans="1:1" ht="46.5" customHeight="1" x14ac:dyDescent="0.25">
      <c r="A826" s="1"/>
    </row>
    <row r="827" spans="1:1" ht="46.5" customHeight="1" x14ac:dyDescent="0.25">
      <c r="A827" s="1"/>
    </row>
    <row r="828" spans="1:1" ht="46.5" customHeight="1" x14ac:dyDescent="0.25">
      <c r="A828" s="1"/>
    </row>
    <row r="829" spans="1:1" ht="46.5" customHeight="1" x14ac:dyDescent="0.25">
      <c r="A829" s="1"/>
    </row>
    <row r="830" spans="1:1" ht="46.5" customHeight="1" x14ac:dyDescent="0.25">
      <c r="A830" s="1"/>
    </row>
    <row r="831" spans="1:1" ht="46.5" customHeight="1" x14ac:dyDescent="0.25">
      <c r="A831" s="1"/>
    </row>
    <row r="832" spans="1:1" ht="46.5" customHeight="1" x14ac:dyDescent="0.25">
      <c r="A832" s="1"/>
    </row>
    <row r="833" spans="1:1" ht="46.5" customHeight="1" x14ac:dyDescent="0.25">
      <c r="A833" s="1"/>
    </row>
    <row r="834" spans="1:1" ht="46.5" customHeight="1" x14ac:dyDescent="0.25">
      <c r="A834" s="1"/>
    </row>
    <row r="835" spans="1:1" ht="46.5" customHeight="1" x14ac:dyDescent="0.25">
      <c r="A835" s="1"/>
    </row>
    <row r="836" spans="1:1" ht="46.5" customHeight="1" x14ac:dyDescent="0.25">
      <c r="A836" s="1"/>
    </row>
    <row r="837" spans="1:1" ht="46.5" customHeight="1" x14ac:dyDescent="0.25">
      <c r="A837" s="1"/>
    </row>
    <row r="838" spans="1:1" ht="46.5" customHeight="1" x14ac:dyDescent="0.25">
      <c r="A838" s="1"/>
    </row>
    <row r="839" spans="1:1" ht="46.5" customHeight="1" x14ac:dyDescent="0.25">
      <c r="A839" s="1"/>
    </row>
    <row r="840" spans="1:1" ht="46.5" customHeight="1" x14ac:dyDescent="0.25">
      <c r="A840" s="1"/>
    </row>
    <row r="841" spans="1:1" ht="46.5" customHeight="1" x14ac:dyDescent="0.25">
      <c r="A841" s="1"/>
    </row>
    <row r="842" spans="1:1" ht="46.5" customHeight="1" x14ac:dyDescent="0.25">
      <c r="A842" s="1"/>
    </row>
    <row r="843" spans="1:1" ht="46.5" customHeight="1" x14ac:dyDescent="0.25">
      <c r="A843" s="1"/>
    </row>
    <row r="844" spans="1:1" ht="46.5" customHeight="1" x14ac:dyDescent="0.25">
      <c r="A844" s="1"/>
    </row>
    <row r="845" spans="1:1" ht="46.5" customHeight="1" x14ac:dyDescent="0.25">
      <c r="A845" s="1"/>
    </row>
    <row r="846" spans="1:1" ht="46.5" customHeight="1" x14ac:dyDescent="0.25">
      <c r="A846" s="1"/>
    </row>
    <row r="847" spans="1:1" ht="46.5" customHeight="1" x14ac:dyDescent="0.25">
      <c r="A847" s="1"/>
    </row>
    <row r="848" spans="1:1" ht="46.5" customHeight="1" x14ac:dyDescent="0.25">
      <c r="A848" s="1"/>
    </row>
    <row r="849" spans="1:1" ht="46.5" customHeight="1" x14ac:dyDescent="0.25">
      <c r="A849" s="1"/>
    </row>
    <row r="850" spans="1:1" ht="46.5" customHeight="1" x14ac:dyDescent="0.25">
      <c r="A850" s="1"/>
    </row>
    <row r="851" spans="1:1" ht="46.5" customHeight="1" x14ac:dyDescent="0.25">
      <c r="A851" s="1"/>
    </row>
    <row r="852" spans="1:1" ht="46.5" customHeight="1" x14ac:dyDescent="0.25">
      <c r="A852" s="1"/>
    </row>
    <row r="853" spans="1:1" ht="46.5" customHeight="1" x14ac:dyDescent="0.25">
      <c r="A853" s="1"/>
    </row>
    <row r="854" spans="1:1" ht="46.5" customHeight="1" x14ac:dyDescent="0.25">
      <c r="A854" s="1"/>
    </row>
    <row r="855" spans="1:1" ht="46.5" customHeight="1" x14ac:dyDescent="0.25">
      <c r="A855" s="1"/>
    </row>
    <row r="856" spans="1:1" ht="46.5" customHeight="1" x14ac:dyDescent="0.25">
      <c r="A856" s="1"/>
    </row>
    <row r="857" spans="1:1" ht="46.5" customHeight="1" x14ac:dyDescent="0.25">
      <c r="A857" s="1"/>
    </row>
    <row r="858" spans="1:1" ht="46.5" customHeight="1" x14ac:dyDescent="0.25">
      <c r="A858" s="1"/>
    </row>
    <row r="859" spans="1:1" ht="46.5" customHeight="1" x14ac:dyDescent="0.25">
      <c r="A859" s="1"/>
    </row>
    <row r="860" spans="1:1" ht="46.5" customHeight="1" x14ac:dyDescent="0.25">
      <c r="A860" s="1"/>
    </row>
    <row r="861" spans="1:1" ht="46.5" customHeight="1" x14ac:dyDescent="0.25">
      <c r="A861" s="1"/>
    </row>
    <row r="862" spans="1:1" ht="46.5" customHeight="1" x14ac:dyDescent="0.25">
      <c r="A862" s="1"/>
    </row>
    <row r="863" spans="1:1" ht="46.5" customHeight="1" x14ac:dyDescent="0.25">
      <c r="A863" s="1"/>
    </row>
    <row r="864" spans="1:1" ht="46.5" customHeight="1" x14ac:dyDescent="0.25">
      <c r="A864" s="1"/>
    </row>
    <row r="865" spans="1:1" ht="46.5" customHeight="1" x14ac:dyDescent="0.25">
      <c r="A865" s="1"/>
    </row>
    <row r="866" spans="1:1" ht="46.5" customHeight="1" x14ac:dyDescent="0.25">
      <c r="A866" s="1"/>
    </row>
    <row r="867" spans="1:1" ht="46.5" customHeight="1" x14ac:dyDescent="0.25">
      <c r="A867" s="1"/>
    </row>
    <row r="868" spans="1:1" ht="46.5" customHeight="1" x14ac:dyDescent="0.25">
      <c r="A868" s="1"/>
    </row>
    <row r="869" spans="1:1" ht="46.5" customHeight="1" x14ac:dyDescent="0.25">
      <c r="A869" s="1"/>
    </row>
    <row r="870" spans="1:1" ht="46.5" customHeight="1" x14ac:dyDescent="0.25">
      <c r="A870" s="1"/>
    </row>
    <row r="871" spans="1:1" ht="46.5" customHeight="1" x14ac:dyDescent="0.25">
      <c r="A871" s="1"/>
    </row>
    <row r="872" spans="1:1" ht="46.5" customHeight="1" x14ac:dyDescent="0.25">
      <c r="A872" s="1"/>
    </row>
    <row r="873" spans="1:1" ht="46.5" customHeight="1" x14ac:dyDescent="0.25">
      <c r="A873" s="1"/>
    </row>
    <row r="874" spans="1:1" ht="46.5" customHeight="1" x14ac:dyDescent="0.25">
      <c r="A874" s="1"/>
    </row>
    <row r="875" spans="1:1" ht="46.5" customHeight="1" x14ac:dyDescent="0.25">
      <c r="A875" s="1"/>
    </row>
    <row r="876" spans="1:1" ht="46.5" customHeight="1" x14ac:dyDescent="0.25">
      <c r="A876" s="1"/>
    </row>
    <row r="877" spans="1:1" ht="46.5" customHeight="1" x14ac:dyDescent="0.25">
      <c r="A877" s="1"/>
    </row>
    <row r="878" spans="1:1" ht="46.5" customHeight="1" x14ac:dyDescent="0.25">
      <c r="A878" s="1"/>
    </row>
    <row r="879" spans="1:1" ht="46.5" customHeight="1" x14ac:dyDescent="0.25">
      <c r="A879" s="1"/>
    </row>
    <row r="880" spans="1:1" ht="46.5" customHeight="1" x14ac:dyDescent="0.25">
      <c r="A880" s="1"/>
    </row>
    <row r="881" spans="1:1" ht="46.5" customHeight="1" x14ac:dyDescent="0.25">
      <c r="A881" s="1"/>
    </row>
    <row r="882" spans="1:1" ht="46.5" customHeight="1" x14ac:dyDescent="0.25">
      <c r="A882" s="1"/>
    </row>
    <row r="883" spans="1:1" ht="46.5" customHeight="1" x14ac:dyDescent="0.25">
      <c r="A883" s="1"/>
    </row>
    <row r="884" spans="1:1" ht="46.5" customHeight="1" x14ac:dyDescent="0.25">
      <c r="A884" s="1"/>
    </row>
    <row r="885" spans="1:1" ht="46.5" customHeight="1" x14ac:dyDescent="0.25">
      <c r="A885" s="1"/>
    </row>
    <row r="886" spans="1:1" ht="46.5" customHeight="1" x14ac:dyDescent="0.25">
      <c r="A886" s="1"/>
    </row>
    <row r="887" spans="1:1" ht="46.5" customHeight="1" x14ac:dyDescent="0.25">
      <c r="A887" s="1"/>
    </row>
    <row r="888" spans="1:1" ht="46.5" customHeight="1" x14ac:dyDescent="0.25">
      <c r="A888" s="1"/>
    </row>
    <row r="889" spans="1:1" ht="46.5" customHeight="1" x14ac:dyDescent="0.25">
      <c r="A889" s="1"/>
    </row>
    <row r="890" spans="1:1" ht="46.5" customHeight="1" x14ac:dyDescent="0.25">
      <c r="A890" s="1"/>
    </row>
    <row r="891" spans="1:1" ht="46.5" customHeight="1" x14ac:dyDescent="0.25">
      <c r="A891" s="1"/>
    </row>
    <row r="892" spans="1:1" ht="46.5" customHeight="1" x14ac:dyDescent="0.25">
      <c r="A892" s="1"/>
    </row>
    <row r="893" spans="1:1" ht="46.5" customHeight="1" x14ac:dyDescent="0.25">
      <c r="A893" s="1"/>
    </row>
    <row r="894" spans="1:1" ht="46.5" customHeight="1" x14ac:dyDescent="0.25">
      <c r="A894" s="1"/>
    </row>
    <row r="895" spans="1:1" ht="46.5" customHeight="1" x14ac:dyDescent="0.25">
      <c r="A895" s="1"/>
    </row>
    <row r="896" spans="1:1" ht="46.5" customHeight="1" x14ac:dyDescent="0.25">
      <c r="A896" s="1"/>
    </row>
    <row r="897" spans="1:1" ht="46.5" customHeight="1" x14ac:dyDescent="0.25">
      <c r="A897" s="1"/>
    </row>
    <row r="898" spans="1:1" ht="46.5" customHeight="1" x14ac:dyDescent="0.25">
      <c r="A898" s="1"/>
    </row>
    <row r="899" spans="1:1" ht="46.5" customHeight="1" x14ac:dyDescent="0.25">
      <c r="A899" s="1"/>
    </row>
    <row r="900" spans="1:1" ht="46.5" customHeight="1" x14ac:dyDescent="0.25">
      <c r="A900" s="1"/>
    </row>
    <row r="901" spans="1:1" ht="46.5" customHeight="1" x14ac:dyDescent="0.25">
      <c r="A901" s="1"/>
    </row>
    <row r="902" spans="1:1" ht="46.5" customHeight="1" x14ac:dyDescent="0.25">
      <c r="A902" s="1"/>
    </row>
    <row r="903" spans="1:1" ht="46.5" customHeight="1" x14ac:dyDescent="0.25">
      <c r="A903" s="1"/>
    </row>
    <row r="904" spans="1:1" ht="46.5" customHeight="1" x14ac:dyDescent="0.25">
      <c r="A904" s="1"/>
    </row>
    <row r="905" spans="1:1" ht="46.5" customHeight="1" x14ac:dyDescent="0.25">
      <c r="A905" s="1"/>
    </row>
    <row r="906" spans="1:1" ht="46.5" customHeight="1" x14ac:dyDescent="0.25">
      <c r="A906" s="1"/>
    </row>
    <row r="907" spans="1:1" ht="46.5" customHeight="1" x14ac:dyDescent="0.25">
      <c r="A907" s="1"/>
    </row>
    <row r="908" spans="1:1" ht="46.5" customHeight="1" x14ac:dyDescent="0.25">
      <c r="A908" s="1"/>
    </row>
    <row r="909" spans="1:1" ht="46.5" customHeight="1" x14ac:dyDescent="0.25">
      <c r="A909" s="1"/>
    </row>
    <row r="910" spans="1:1" ht="46.5" customHeight="1" x14ac:dyDescent="0.25">
      <c r="A910" s="1"/>
    </row>
    <row r="911" spans="1:1" ht="46.5" customHeight="1" x14ac:dyDescent="0.25">
      <c r="A911" s="1"/>
    </row>
    <row r="912" spans="1:1" ht="46.5" customHeight="1" x14ac:dyDescent="0.25">
      <c r="A912" s="1"/>
    </row>
    <row r="913" spans="1:1" ht="46.5" customHeight="1" x14ac:dyDescent="0.25">
      <c r="A913" s="1"/>
    </row>
    <row r="914" spans="1:1" ht="46.5" customHeight="1" x14ac:dyDescent="0.25">
      <c r="A914" s="1"/>
    </row>
    <row r="915" spans="1:1" ht="46.5" customHeight="1" x14ac:dyDescent="0.25">
      <c r="A915" s="1"/>
    </row>
    <row r="916" spans="1:1" ht="46.5" customHeight="1" x14ac:dyDescent="0.25">
      <c r="A916" s="1"/>
    </row>
    <row r="917" spans="1:1" ht="46.5" customHeight="1" x14ac:dyDescent="0.25">
      <c r="A917" s="1"/>
    </row>
    <row r="918" spans="1:1" ht="46.5" customHeight="1" x14ac:dyDescent="0.25">
      <c r="A918" s="1"/>
    </row>
    <row r="919" spans="1:1" ht="46.5" customHeight="1" x14ac:dyDescent="0.25">
      <c r="A919" s="1"/>
    </row>
    <row r="920" spans="1:1" ht="46.5" customHeight="1" x14ac:dyDescent="0.25">
      <c r="A920" s="1"/>
    </row>
    <row r="921" spans="1:1" ht="46.5" customHeight="1" x14ac:dyDescent="0.25">
      <c r="A921" s="1"/>
    </row>
    <row r="922" spans="1:1" ht="46.5" customHeight="1" x14ac:dyDescent="0.25">
      <c r="A922" s="1"/>
    </row>
    <row r="923" spans="1:1" ht="46.5" customHeight="1" x14ac:dyDescent="0.25">
      <c r="A923" s="1"/>
    </row>
    <row r="924" spans="1:1" ht="46.5" customHeight="1" x14ac:dyDescent="0.25">
      <c r="A924" s="1"/>
    </row>
    <row r="925" spans="1:1" ht="46.5" customHeight="1" x14ac:dyDescent="0.25">
      <c r="A925" s="1"/>
    </row>
    <row r="926" spans="1:1" ht="46.5" customHeight="1" x14ac:dyDescent="0.25">
      <c r="A926" s="1"/>
    </row>
    <row r="927" spans="1:1" ht="46.5" customHeight="1" x14ac:dyDescent="0.25">
      <c r="A927" s="1"/>
    </row>
    <row r="928" spans="1:1" ht="46.5" customHeight="1" x14ac:dyDescent="0.25">
      <c r="A928" s="1"/>
    </row>
    <row r="929" spans="1:1" ht="46.5" customHeight="1" x14ac:dyDescent="0.25">
      <c r="A929" s="1"/>
    </row>
    <row r="930" spans="1:1" ht="46.5" customHeight="1" x14ac:dyDescent="0.25">
      <c r="A930" s="1"/>
    </row>
    <row r="931" spans="1:1" ht="46.5" customHeight="1" x14ac:dyDescent="0.25">
      <c r="A931" s="1"/>
    </row>
    <row r="932" spans="1:1" ht="46.5" customHeight="1" x14ac:dyDescent="0.25">
      <c r="A932" s="1"/>
    </row>
    <row r="933" spans="1:1" ht="46.5" customHeight="1" x14ac:dyDescent="0.25">
      <c r="A933" s="1"/>
    </row>
    <row r="934" spans="1:1" ht="46.5" customHeight="1" x14ac:dyDescent="0.25">
      <c r="A934" s="1"/>
    </row>
    <row r="935" spans="1:1" ht="46.5" customHeight="1" x14ac:dyDescent="0.25">
      <c r="A935" s="1"/>
    </row>
    <row r="936" spans="1:1" ht="46.5" customHeight="1" x14ac:dyDescent="0.25">
      <c r="A936" s="1"/>
    </row>
    <row r="937" spans="1:1" ht="46.5" customHeight="1" x14ac:dyDescent="0.25">
      <c r="A937" s="1"/>
    </row>
    <row r="938" spans="1:1" ht="46.5" customHeight="1" x14ac:dyDescent="0.25">
      <c r="A938" s="1"/>
    </row>
    <row r="939" spans="1:1" ht="46.5" customHeight="1" x14ac:dyDescent="0.25">
      <c r="A939" s="1"/>
    </row>
    <row r="940" spans="1:1" ht="46.5" customHeight="1" x14ac:dyDescent="0.25">
      <c r="A940" s="1"/>
    </row>
    <row r="941" spans="1:1" ht="46.5" customHeight="1" x14ac:dyDescent="0.25">
      <c r="A941" s="1"/>
    </row>
    <row r="942" spans="1:1" ht="46.5" customHeight="1" x14ac:dyDescent="0.25">
      <c r="A942" s="1"/>
    </row>
    <row r="943" spans="1:1" ht="46.5" customHeight="1" x14ac:dyDescent="0.25">
      <c r="A943" s="1"/>
    </row>
    <row r="944" spans="1:1" ht="46.5" customHeight="1" x14ac:dyDescent="0.25">
      <c r="A944" s="1"/>
    </row>
    <row r="945" spans="1:1" ht="46.5" customHeight="1" x14ac:dyDescent="0.25">
      <c r="A945" s="1"/>
    </row>
    <row r="946" spans="1:1" ht="46.5" customHeight="1" x14ac:dyDescent="0.25">
      <c r="A946" s="1"/>
    </row>
    <row r="947" spans="1:1" ht="46.5" customHeight="1" x14ac:dyDescent="0.25">
      <c r="A947" s="1"/>
    </row>
    <row r="948" spans="1:1" ht="46.5" customHeight="1" x14ac:dyDescent="0.25">
      <c r="A948" s="1"/>
    </row>
    <row r="949" spans="1:1" ht="46.5" customHeight="1" x14ac:dyDescent="0.25">
      <c r="A949" s="1"/>
    </row>
    <row r="950" spans="1:1" ht="46.5" customHeight="1" x14ac:dyDescent="0.25">
      <c r="A950" s="1"/>
    </row>
    <row r="951" spans="1:1" ht="46.5" customHeight="1" x14ac:dyDescent="0.25">
      <c r="A951" s="1"/>
    </row>
    <row r="952" spans="1:1" ht="46.5" customHeight="1" x14ac:dyDescent="0.25">
      <c r="A952" s="1"/>
    </row>
    <row r="953" spans="1:1" ht="46.5" customHeight="1" x14ac:dyDescent="0.25">
      <c r="A953" s="1"/>
    </row>
    <row r="954" spans="1:1" ht="46.5" customHeight="1" x14ac:dyDescent="0.25">
      <c r="A954" s="1"/>
    </row>
    <row r="955" spans="1:1" ht="46.5" customHeight="1" x14ac:dyDescent="0.25">
      <c r="A955" s="1"/>
    </row>
    <row r="956" spans="1:1" ht="46.5" customHeight="1" x14ac:dyDescent="0.25">
      <c r="A956" s="1"/>
    </row>
    <row r="957" spans="1:1" ht="46.5" customHeight="1" x14ac:dyDescent="0.25">
      <c r="A957" s="1"/>
    </row>
    <row r="958" spans="1:1" ht="46.5" customHeight="1" x14ac:dyDescent="0.25">
      <c r="A958" s="1"/>
    </row>
    <row r="959" spans="1:1" ht="46.5" customHeight="1" x14ac:dyDescent="0.25">
      <c r="A959" s="1"/>
    </row>
    <row r="960" spans="1:1" ht="46.5" customHeight="1" x14ac:dyDescent="0.25">
      <c r="A960" s="1"/>
    </row>
    <row r="961" spans="1:1" ht="46.5" customHeight="1" x14ac:dyDescent="0.25">
      <c r="A961" s="1"/>
    </row>
    <row r="962" spans="1:1" ht="46.5" customHeight="1" x14ac:dyDescent="0.25">
      <c r="A962" s="1"/>
    </row>
    <row r="963" spans="1:1" ht="46.5" customHeight="1" x14ac:dyDescent="0.25">
      <c r="A963" s="1"/>
    </row>
    <row r="964" spans="1:1" ht="46.5" customHeight="1" x14ac:dyDescent="0.25">
      <c r="A964" s="1"/>
    </row>
    <row r="965" spans="1:1" ht="46.5" customHeight="1" x14ac:dyDescent="0.25">
      <c r="A965" s="1"/>
    </row>
    <row r="966" spans="1:1" ht="46.5" customHeight="1" x14ac:dyDescent="0.25">
      <c r="A966" s="1"/>
    </row>
    <row r="967" spans="1:1" ht="46.5" customHeight="1" x14ac:dyDescent="0.25">
      <c r="A967" s="1"/>
    </row>
    <row r="968" spans="1:1" ht="46.5" customHeight="1" x14ac:dyDescent="0.25">
      <c r="A968" s="1"/>
    </row>
    <row r="969" spans="1:1" ht="46.5" customHeight="1" x14ac:dyDescent="0.25">
      <c r="A969" s="1"/>
    </row>
    <row r="970" spans="1:1" ht="46.5" customHeight="1" x14ac:dyDescent="0.25">
      <c r="A970" s="1"/>
    </row>
    <row r="971" spans="1:1" ht="46.5" customHeight="1" x14ac:dyDescent="0.25">
      <c r="A971" s="1"/>
    </row>
    <row r="972" spans="1:1" ht="46.5" customHeight="1" x14ac:dyDescent="0.25">
      <c r="A972" s="1"/>
    </row>
    <row r="973" spans="1:1" ht="46.5" customHeight="1" x14ac:dyDescent="0.25">
      <c r="A973" s="1"/>
    </row>
    <row r="974" spans="1:1" ht="46.5" customHeight="1" x14ac:dyDescent="0.25">
      <c r="A974" s="1"/>
    </row>
    <row r="975" spans="1:1" ht="46.5" customHeight="1" x14ac:dyDescent="0.25">
      <c r="A975" s="1"/>
    </row>
    <row r="976" spans="1:1" ht="46.5" customHeight="1" x14ac:dyDescent="0.25">
      <c r="A976" s="1"/>
    </row>
    <row r="977" spans="1:1" ht="46.5" customHeight="1" x14ac:dyDescent="0.25">
      <c r="A977" s="1"/>
    </row>
    <row r="978" spans="1:1" ht="46.5" customHeight="1" x14ac:dyDescent="0.25">
      <c r="A978" s="1"/>
    </row>
    <row r="979" spans="1:1" ht="46.5" customHeight="1" x14ac:dyDescent="0.25">
      <c r="A979" s="1"/>
    </row>
    <row r="980" spans="1:1" ht="46.5" customHeight="1" x14ac:dyDescent="0.25">
      <c r="A980" s="1"/>
    </row>
    <row r="981" spans="1:1" ht="46.5" customHeight="1" x14ac:dyDescent="0.25">
      <c r="A981" s="1"/>
    </row>
    <row r="982" spans="1:1" ht="46.5" customHeight="1" x14ac:dyDescent="0.25">
      <c r="A982" s="1"/>
    </row>
    <row r="983" spans="1:1" ht="46.5" customHeight="1" x14ac:dyDescent="0.25">
      <c r="A983" s="1"/>
    </row>
    <row r="984" spans="1:1" ht="46.5" customHeight="1" x14ac:dyDescent="0.25">
      <c r="A984" s="1"/>
    </row>
    <row r="985" spans="1:1" ht="46.5" customHeight="1" x14ac:dyDescent="0.25">
      <c r="A985" s="1"/>
    </row>
    <row r="986" spans="1:1" ht="46.5" customHeight="1" x14ac:dyDescent="0.25">
      <c r="A986" s="1"/>
    </row>
    <row r="987" spans="1:1" ht="46.5" customHeight="1" x14ac:dyDescent="0.25">
      <c r="A987" s="1"/>
    </row>
    <row r="988" spans="1:1" ht="46.5" customHeight="1" x14ac:dyDescent="0.25">
      <c r="A988" s="1"/>
    </row>
    <row r="989" spans="1:1" ht="46.5" customHeight="1" x14ac:dyDescent="0.25">
      <c r="A989" s="1"/>
    </row>
    <row r="990" spans="1:1" ht="46.5" customHeight="1" x14ac:dyDescent="0.25">
      <c r="A990" s="1"/>
    </row>
    <row r="991" spans="1:1" ht="46.5" customHeight="1" x14ac:dyDescent="0.25">
      <c r="A991" s="1"/>
    </row>
    <row r="992" spans="1:1" ht="46.5" customHeight="1" x14ac:dyDescent="0.25">
      <c r="A992" s="1"/>
    </row>
    <row r="993" spans="1:1" ht="46.5" customHeight="1" x14ac:dyDescent="0.25">
      <c r="A993" s="1"/>
    </row>
    <row r="994" spans="1:1" ht="46.5" customHeight="1" x14ac:dyDescent="0.25">
      <c r="A994" s="1"/>
    </row>
    <row r="995" spans="1:1" ht="46.5" customHeight="1" x14ac:dyDescent="0.25">
      <c r="A995" s="1"/>
    </row>
    <row r="996" spans="1:1" ht="46.5" customHeight="1" x14ac:dyDescent="0.25">
      <c r="A996" s="1"/>
    </row>
    <row r="997" spans="1:1" ht="46.5" customHeight="1" x14ac:dyDescent="0.25">
      <c r="A997" s="1"/>
    </row>
    <row r="998" spans="1:1" ht="46.5" customHeight="1" x14ac:dyDescent="0.25">
      <c r="A998" s="1"/>
    </row>
    <row r="999" spans="1:1" ht="46.5" customHeight="1" x14ac:dyDescent="0.25">
      <c r="A999" s="1"/>
    </row>
    <row r="1000" spans="1:1" ht="46.5" customHeight="1" x14ac:dyDescent="0.25">
      <c r="A1000" s="1"/>
    </row>
    <row r="1001" spans="1:1" ht="46.5" customHeight="1" x14ac:dyDescent="0.25">
      <c r="A1001" s="1"/>
    </row>
    <row r="1002" spans="1:1" ht="46.5" customHeight="1" x14ac:dyDescent="0.25">
      <c r="A1002" s="1"/>
    </row>
    <row r="1003" spans="1:1" ht="46.5" customHeight="1" x14ac:dyDescent="0.25">
      <c r="A1003" s="1"/>
    </row>
    <row r="1004" spans="1:1" ht="46.5" customHeight="1" x14ac:dyDescent="0.25">
      <c r="A1004" s="1"/>
    </row>
    <row r="1005" spans="1:1" ht="46.5" customHeight="1" x14ac:dyDescent="0.25">
      <c r="A1005" s="1"/>
    </row>
    <row r="1006" spans="1:1" ht="46.5" customHeight="1" x14ac:dyDescent="0.25">
      <c r="A1006" s="1"/>
    </row>
    <row r="1007" spans="1:1" ht="46.5" customHeight="1" x14ac:dyDescent="0.25">
      <c r="A1007" s="1"/>
    </row>
    <row r="1008" spans="1:1" ht="46.5" customHeight="1" x14ac:dyDescent="0.25">
      <c r="A1008" s="1"/>
    </row>
    <row r="1009" spans="1:1" ht="46.5" customHeight="1" x14ac:dyDescent="0.25">
      <c r="A1009" s="1"/>
    </row>
    <row r="1010" spans="1:1" ht="46.5" customHeight="1" x14ac:dyDescent="0.25">
      <c r="A1010" s="1"/>
    </row>
    <row r="1011" spans="1:1" ht="46.5" customHeight="1" x14ac:dyDescent="0.25">
      <c r="A1011" s="1"/>
    </row>
    <row r="1012" spans="1:1" ht="46.5" customHeight="1" x14ac:dyDescent="0.25">
      <c r="A1012" s="1"/>
    </row>
    <row r="1013" spans="1:1" ht="46.5" customHeight="1" x14ac:dyDescent="0.25">
      <c r="A1013" s="1"/>
    </row>
    <row r="1014" spans="1:1" ht="46.5" customHeight="1" x14ac:dyDescent="0.25">
      <c r="A1014" s="1"/>
    </row>
    <row r="1015" spans="1:1" ht="46.5" customHeight="1" x14ac:dyDescent="0.25">
      <c r="A1015" s="1"/>
    </row>
    <row r="1016" spans="1:1" ht="46.5" customHeight="1" x14ac:dyDescent="0.25">
      <c r="A1016" s="1"/>
    </row>
    <row r="1017" spans="1:1" ht="46.5" customHeight="1" x14ac:dyDescent="0.25">
      <c r="A1017" s="1"/>
    </row>
    <row r="1018" spans="1:1" ht="46.5" customHeight="1" x14ac:dyDescent="0.25">
      <c r="A1018" s="1"/>
    </row>
    <row r="1019" spans="1:1" ht="46.5" customHeight="1" x14ac:dyDescent="0.25">
      <c r="A1019" s="1"/>
    </row>
    <row r="1020" spans="1:1" ht="46.5" customHeight="1" x14ac:dyDescent="0.25">
      <c r="A1020" s="1"/>
    </row>
    <row r="1021" spans="1:1" ht="46.5" customHeight="1" x14ac:dyDescent="0.25">
      <c r="A1021" s="1"/>
    </row>
    <row r="1022" spans="1:1" ht="46.5" customHeight="1" x14ac:dyDescent="0.25">
      <c r="A1022" s="1"/>
    </row>
    <row r="1023" spans="1:1" ht="46.5" customHeight="1" x14ac:dyDescent="0.25">
      <c r="A1023" s="1"/>
    </row>
    <row r="1024" spans="1:1" ht="46.5" customHeight="1" x14ac:dyDescent="0.25">
      <c r="A1024" s="1"/>
    </row>
    <row r="1025" spans="1:1" ht="46.5" customHeight="1" x14ac:dyDescent="0.25">
      <c r="A1025" s="1"/>
    </row>
    <row r="1026" spans="1:1" ht="46.5" customHeight="1" x14ac:dyDescent="0.25">
      <c r="A1026" s="1"/>
    </row>
    <row r="1027" spans="1:1" ht="46.5" customHeight="1" x14ac:dyDescent="0.25">
      <c r="A1027" s="1"/>
    </row>
    <row r="1028" spans="1:1" ht="46.5" customHeight="1" x14ac:dyDescent="0.25">
      <c r="A1028" s="1"/>
    </row>
    <row r="1029" spans="1:1" ht="46.5" customHeight="1" x14ac:dyDescent="0.25">
      <c r="A1029" s="1"/>
    </row>
    <row r="1030" spans="1:1" ht="46.5" customHeight="1" x14ac:dyDescent="0.25">
      <c r="A1030" s="1"/>
    </row>
    <row r="1031" spans="1:1" ht="46.5" customHeight="1" x14ac:dyDescent="0.25">
      <c r="A1031" s="1"/>
    </row>
    <row r="1032" spans="1:1" ht="46.5" customHeight="1" x14ac:dyDescent="0.25">
      <c r="A1032" s="1"/>
    </row>
    <row r="1033" spans="1:1" ht="46.5" customHeight="1" x14ac:dyDescent="0.25">
      <c r="A1033" s="1"/>
    </row>
    <row r="1034" spans="1:1" ht="46.5" customHeight="1" x14ac:dyDescent="0.25">
      <c r="A1034" s="1"/>
    </row>
    <row r="1035" spans="1:1" ht="46.5" customHeight="1" x14ac:dyDescent="0.25">
      <c r="A1035" s="1"/>
    </row>
    <row r="1036" spans="1:1" ht="46.5" customHeight="1" x14ac:dyDescent="0.25">
      <c r="A1036" s="1"/>
    </row>
    <row r="1037" spans="1:1" ht="46.5" customHeight="1" x14ac:dyDescent="0.25">
      <c r="A1037" s="1"/>
    </row>
    <row r="1038" spans="1:1" ht="46.5" customHeight="1" x14ac:dyDescent="0.25">
      <c r="A1038" s="1"/>
    </row>
    <row r="1039" spans="1:1" ht="46.5" customHeight="1" x14ac:dyDescent="0.25">
      <c r="A1039" s="1"/>
    </row>
    <row r="1040" spans="1:1" ht="46.5" customHeight="1" x14ac:dyDescent="0.25">
      <c r="A1040" s="1"/>
    </row>
    <row r="1041" spans="1:1" ht="46.5" customHeight="1" x14ac:dyDescent="0.25">
      <c r="A1041" s="1"/>
    </row>
    <row r="1042" spans="1:1" ht="46.5" customHeight="1" x14ac:dyDescent="0.25">
      <c r="A1042" s="1"/>
    </row>
    <row r="1043" spans="1:1" ht="46.5" customHeight="1" x14ac:dyDescent="0.25">
      <c r="A1043" s="1"/>
    </row>
    <row r="1044" spans="1:1" ht="46.5" customHeight="1" x14ac:dyDescent="0.25">
      <c r="A1044" s="1"/>
    </row>
    <row r="1045" spans="1:1" ht="46.5" customHeight="1" x14ac:dyDescent="0.25">
      <c r="A1045" s="1"/>
    </row>
    <row r="1046" spans="1:1" ht="46.5" customHeight="1" x14ac:dyDescent="0.25">
      <c r="A1046" s="1"/>
    </row>
    <row r="1047" spans="1:1" ht="46.5" customHeight="1" x14ac:dyDescent="0.25">
      <c r="A1047" s="1"/>
    </row>
    <row r="1048" spans="1:1" ht="46.5" customHeight="1" x14ac:dyDescent="0.25">
      <c r="A1048" s="1"/>
    </row>
    <row r="1049" spans="1:1" ht="46.5" customHeight="1" x14ac:dyDescent="0.25">
      <c r="A1049" s="1"/>
    </row>
    <row r="1050" spans="1:1" ht="46.5" customHeight="1" x14ac:dyDescent="0.25">
      <c r="A1050" s="1"/>
    </row>
    <row r="1051" spans="1:1" ht="46.5" customHeight="1" x14ac:dyDescent="0.25">
      <c r="A1051" s="1"/>
    </row>
    <row r="1052" spans="1:1" ht="46.5" customHeight="1" x14ac:dyDescent="0.25">
      <c r="A1052" s="1"/>
    </row>
    <row r="1053" spans="1:1" ht="46.5" customHeight="1" x14ac:dyDescent="0.25">
      <c r="A1053" s="1"/>
    </row>
    <row r="1054" spans="1:1" ht="46.5" customHeight="1" x14ac:dyDescent="0.25">
      <c r="A1054" s="1"/>
    </row>
    <row r="1055" spans="1:1" ht="46.5" customHeight="1" x14ac:dyDescent="0.25">
      <c r="A1055" s="1"/>
    </row>
    <row r="1056" spans="1:1" ht="46.5" customHeight="1" x14ac:dyDescent="0.25">
      <c r="A1056" s="1"/>
    </row>
    <row r="1057" spans="1:1" ht="46.5" customHeight="1" x14ac:dyDescent="0.25">
      <c r="A1057" s="1"/>
    </row>
    <row r="1058" spans="1:1" ht="46.5" customHeight="1" x14ac:dyDescent="0.25">
      <c r="A1058" s="1"/>
    </row>
    <row r="1059" spans="1:1" ht="46.5" customHeight="1" x14ac:dyDescent="0.25">
      <c r="A1059" s="1"/>
    </row>
    <row r="1060" spans="1:1" ht="46.5" customHeight="1" x14ac:dyDescent="0.25">
      <c r="A1060" s="1"/>
    </row>
    <row r="1061" spans="1:1" ht="46.5" customHeight="1" x14ac:dyDescent="0.25">
      <c r="A1061" s="1"/>
    </row>
    <row r="1062" spans="1:1" ht="46.5" customHeight="1" x14ac:dyDescent="0.25">
      <c r="A1062" s="1"/>
    </row>
    <row r="1063" spans="1:1" ht="46.5" customHeight="1" x14ac:dyDescent="0.25">
      <c r="A1063" s="1"/>
    </row>
    <row r="1064" spans="1:1" ht="46.5" customHeight="1" x14ac:dyDescent="0.25">
      <c r="A1064" s="1"/>
    </row>
    <row r="1065" spans="1:1" ht="46.5" customHeight="1" x14ac:dyDescent="0.25">
      <c r="A1065" s="1"/>
    </row>
    <row r="1066" spans="1:1" ht="46.5" customHeight="1" x14ac:dyDescent="0.25">
      <c r="A1066" s="1"/>
    </row>
    <row r="1067" spans="1:1" ht="46.5" customHeight="1" x14ac:dyDescent="0.25">
      <c r="A1067" s="1"/>
    </row>
    <row r="1068" spans="1:1" ht="46.5" customHeight="1" x14ac:dyDescent="0.25">
      <c r="A1068" s="1"/>
    </row>
    <row r="1069" spans="1:1" ht="46.5" customHeight="1" x14ac:dyDescent="0.25">
      <c r="A1069" s="1"/>
    </row>
    <row r="1070" spans="1:1" ht="46.5" customHeight="1" x14ac:dyDescent="0.25">
      <c r="A1070" s="1"/>
    </row>
    <row r="1071" spans="1:1" ht="46.5" customHeight="1" x14ac:dyDescent="0.25">
      <c r="A1071" s="1"/>
    </row>
    <row r="1072" spans="1:1" ht="46.5" customHeight="1" x14ac:dyDescent="0.25">
      <c r="A1072" s="1"/>
    </row>
    <row r="1073" spans="1:1" ht="46.5" customHeight="1" x14ac:dyDescent="0.25">
      <c r="A1073" s="1"/>
    </row>
    <row r="1074" spans="1:1" ht="46.5" customHeight="1" x14ac:dyDescent="0.25">
      <c r="A1074" s="1"/>
    </row>
    <row r="1075" spans="1:1" ht="46.5" customHeight="1" x14ac:dyDescent="0.25">
      <c r="A1075" s="1"/>
    </row>
    <row r="1076" spans="1:1" ht="46.5" customHeight="1" x14ac:dyDescent="0.25">
      <c r="A1076" s="1"/>
    </row>
    <row r="1077" spans="1:1" ht="46.5" customHeight="1" x14ac:dyDescent="0.25">
      <c r="A1077" s="1"/>
    </row>
    <row r="1078" spans="1:1" ht="46.5" customHeight="1" x14ac:dyDescent="0.25">
      <c r="A1078" s="1"/>
    </row>
    <row r="1079" spans="1:1" ht="46.5" customHeight="1" x14ac:dyDescent="0.25">
      <c r="A1079" s="1"/>
    </row>
    <row r="1080" spans="1:1" ht="46.5" customHeight="1" x14ac:dyDescent="0.25">
      <c r="A1080" s="1"/>
    </row>
    <row r="1081" spans="1:1" ht="46.5" customHeight="1" x14ac:dyDescent="0.25">
      <c r="A1081" s="1"/>
    </row>
    <row r="1082" spans="1:1" ht="46.5" customHeight="1" x14ac:dyDescent="0.25">
      <c r="A1082" s="1"/>
    </row>
    <row r="1083" spans="1:1" ht="46.5" customHeight="1" x14ac:dyDescent="0.25">
      <c r="A1083" s="1"/>
    </row>
    <row r="1084" spans="1:1" ht="46.5" customHeight="1" x14ac:dyDescent="0.25">
      <c r="A1084" s="1"/>
    </row>
    <row r="1085" spans="1:1" ht="46.5" customHeight="1" x14ac:dyDescent="0.25">
      <c r="A1085" s="1"/>
    </row>
    <row r="1086" spans="1:1" ht="46.5" customHeight="1" x14ac:dyDescent="0.25">
      <c r="A1086" s="1"/>
    </row>
    <row r="1087" spans="1:1" ht="46.5" customHeight="1" x14ac:dyDescent="0.25">
      <c r="A1087" s="1"/>
    </row>
    <row r="1088" spans="1:1" ht="46.5" customHeight="1" x14ac:dyDescent="0.25">
      <c r="A1088" s="1"/>
    </row>
    <row r="1089" spans="1:1" ht="46.5" customHeight="1" x14ac:dyDescent="0.25">
      <c r="A1089" s="1"/>
    </row>
    <row r="1090" spans="1:1" ht="46.5" customHeight="1" x14ac:dyDescent="0.25">
      <c r="A1090" s="1"/>
    </row>
    <row r="1091" spans="1:1" ht="46.5" customHeight="1" x14ac:dyDescent="0.25">
      <c r="A1091" s="1"/>
    </row>
    <row r="1092" spans="1:1" ht="46.5" customHeight="1" x14ac:dyDescent="0.25">
      <c r="A1092" s="1"/>
    </row>
    <row r="1093" spans="1:1" ht="46.5" customHeight="1" x14ac:dyDescent="0.25">
      <c r="A1093" s="1"/>
    </row>
    <row r="1094" spans="1:1" ht="46.5" customHeight="1" x14ac:dyDescent="0.25">
      <c r="A1094" s="1"/>
    </row>
    <row r="1095" spans="1:1" ht="46.5" customHeight="1" x14ac:dyDescent="0.25">
      <c r="A1095" s="1"/>
    </row>
    <row r="1096" spans="1:1" ht="46.5" customHeight="1" x14ac:dyDescent="0.25">
      <c r="A1096" s="1"/>
    </row>
    <row r="1097" spans="1:1" ht="46.5" customHeight="1" x14ac:dyDescent="0.25">
      <c r="A1097" s="1"/>
    </row>
    <row r="1098" spans="1:1" ht="46.5" customHeight="1" x14ac:dyDescent="0.25">
      <c r="A1098" s="1"/>
    </row>
    <row r="1099" spans="1:1" ht="46.5" customHeight="1" x14ac:dyDescent="0.25">
      <c r="A1099" s="1"/>
    </row>
    <row r="1100" spans="1:1" ht="46.5" customHeight="1" x14ac:dyDescent="0.25">
      <c r="A1100" s="1"/>
    </row>
    <row r="1101" spans="1:1" ht="46.5" customHeight="1" x14ac:dyDescent="0.25">
      <c r="A1101" s="1"/>
    </row>
    <row r="1102" spans="1:1" ht="46.5" customHeight="1" x14ac:dyDescent="0.25">
      <c r="A1102" s="1"/>
    </row>
    <row r="1103" spans="1:1" ht="46.5" customHeight="1" x14ac:dyDescent="0.25">
      <c r="A1103" s="1"/>
    </row>
    <row r="1104" spans="1:1" ht="46.5" customHeight="1" x14ac:dyDescent="0.25">
      <c r="A1104" s="1"/>
    </row>
    <row r="1105" spans="1:1" ht="46.5" customHeight="1" x14ac:dyDescent="0.25">
      <c r="A1105" s="1"/>
    </row>
    <row r="1106" spans="1:1" ht="46.5" customHeight="1" x14ac:dyDescent="0.25">
      <c r="A1106" s="1"/>
    </row>
    <row r="1107" spans="1:1" ht="46.5" customHeight="1" x14ac:dyDescent="0.25">
      <c r="A1107" s="1"/>
    </row>
    <row r="1108" spans="1:1" ht="46.5" customHeight="1" x14ac:dyDescent="0.25">
      <c r="A1108" s="1"/>
    </row>
    <row r="1109" spans="1:1" ht="46.5" customHeight="1" x14ac:dyDescent="0.25">
      <c r="A1109" s="1"/>
    </row>
    <row r="1110" spans="1:1" ht="46.5" customHeight="1" x14ac:dyDescent="0.25">
      <c r="A1110" s="1"/>
    </row>
    <row r="1111" spans="1:1" ht="46.5" customHeight="1" x14ac:dyDescent="0.25">
      <c r="A1111" s="1"/>
    </row>
    <row r="1112" spans="1:1" ht="46.5" customHeight="1" x14ac:dyDescent="0.25">
      <c r="A1112" s="1"/>
    </row>
    <row r="1113" spans="1:1" ht="46.5" customHeight="1" x14ac:dyDescent="0.25">
      <c r="A1113" s="1"/>
    </row>
    <row r="1114" spans="1:1" ht="46.5" customHeight="1" x14ac:dyDescent="0.25">
      <c r="A1114" s="1"/>
    </row>
    <row r="1115" spans="1:1" ht="46.5" customHeight="1" x14ac:dyDescent="0.25">
      <c r="A1115" s="1"/>
    </row>
    <row r="1116" spans="1:1" ht="46.5" customHeight="1" x14ac:dyDescent="0.25">
      <c r="A1116" s="1"/>
    </row>
    <row r="1117" spans="1:1" ht="46.5" customHeight="1" x14ac:dyDescent="0.25">
      <c r="A1117" s="1"/>
    </row>
    <row r="1118" spans="1:1" ht="46.5" customHeight="1" x14ac:dyDescent="0.25">
      <c r="A1118" s="1"/>
    </row>
    <row r="1119" spans="1:1" ht="46.5" customHeight="1" x14ac:dyDescent="0.25">
      <c r="A1119" s="1"/>
    </row>
    <row r="1120" spans="1:1" ht="46.5" customHeight="1" x14ac:dyDescent="0.25">
      <c r="A1120" s="1"/>
    </row>
    <row r="1121" spans="1:1" ht="46.5" customHeight="1" x14ac:dyDescent="0.25">
      <c r="A1121" s="1"/>
    </row>
    <row r="1122" spans="1:1" ht="46.5" customHeight="1" x14ac:dyDescent="0.25">
      <c r="A1122" s="1"/>
    </row>
    <row r="1123" spans="1:1" ht="46.5" customHeight="1" x14ac:dyDescent="0.25">
      <c r="A1123" s="1"/>
    </row>
    <row r="1124" spans="1:1" ht="46.5" customHeight="1" x14ac:dyDescent="0.25">
      <c r="A1124" s="1"/>
    </row>
    <row r="1125" spans="1:1" ht="46.5" customHeight="1" x14ac:dyDescent="0.25">
      <c r="A1125" s="1"/>
    </row>
    <row r="1126" spans="1:1" ht="46.5" customHeight="1" x14ac:dyDescent="0.25">
      <c r="A1126" s="1"/>
    </row>
    <row r="1127" spans="1:1" ht="46.5" customHeight="1" x14ac:dyDescent="0.25">
      <c r="A1127" s="1"/>
    </row>
    <row r="1128" spans="1:1" ht="46.5" customHeight="1" x14ac:dyDescent="0.25">
      <c r="A1128" s="1"/>
    </row>
    <row r="1129" spans="1:1" ht="46.5" customHeight="1" x14ac:dyDescent="0.25">
      <c r="A1129" s="1"/>
    </row>
    <row r="1130" spans="1:1" ht="46.5" customHeight="1" x14ac:dyDescent="0.25">
      <c r="A1130" s="1"/>
    </row>
    <row r="1131" spans="1:1" ht="46.5" customHeight="1" x14ac:dyDescent="0.25">
      <c r="A1131" s="1"/>
    </row>
    <row r="1132" spans="1:1" ht="46.5" customHeight="1" x14ac:dyDescent="0.25">
      <c r="A1132" s="1"/>
    </row>
    <row r="1133" spans="1:1" ht="46.5" customHeight="1" x14ac:dyDescent="0.25">
      <c r="A1133" s="1"/>
    </row>
    <row r="1134" spans="1:1" ht="46.5" customHeight="1" x14ac:dyDescent="0.25">
      <c r="A1134" s="1"/>
    </row>
    <row r="1135" spans="1:1" ht="46.5" customHeight="1" x14ac:dyDescent="0.25">
      <c r="A1135" s="1"/>
    </row>
    <row r="1136" spans="1:1" ht="46.5" customHeight="1" x14ac:dyDescent="0.25">
      <c r="A1136" s="1"/>
    </row>
    <row r="1137" spans="1:1" ht="46.5" customHeight="1" x14ac:dyDescent="0.25">
      <c r="A1137" s="1"/>
    </row>
    <row r="1138" spans="1:1" ht="46.5" customHeight="1" x14ac:dyDescent="0.25">
      <c r="A1138" s="1"/>
    </row>
    <row r="1139" spans="1:1" ht="46.5" customHeight="1" x14ac:dyDescent="0.25">
      <c r="A1139" s="1"/>
    </row>
    <row r="1140" spans="1:1" ht="46.5" customHeight="1" x14ac:dyDescent="0.25">
      <c r="A1140" s="1"/>
    </row>
    <row r="1141" spans="1:1" ht="46.5" customHeight="1" x14ac:dyDescent="0.25">
      <c r="A1141" s="1"/>
    </row>
    <row r="1142" spans="1:1" ht="46.5" customHeight="1" x14ac:dyDescent="0.25">
      <c r="A1142" s="1"/>
    </row>
    <row r="1143" spans="1:1" ht="46.5" customHeight="1" x14ac:dyDescent="0.25">
      <c r="A1143" s="1"/>
    </row>
    <row r="1144" spans="1:1" ht="46.5" customHeight="1" x14ac:dyDescent="0.25">
      <c r="A1144" s="1"/>
    </row>
    <row r="1145" spans="1:1" ht="46.5" customHeight="1" x14ac:dyDescent="0.25">
      <c r="A1145" s="1"/>
    </row>
    <row r="1146" spans="1:1" ht="46.5" customHeight="1" x14ac:dyDescent="0.25">
      <c r="A1146" s="1"/>
    </row>
    <row r="1147" spans="1:1" ht="46.5" customHeight="1" x14ac:dyDescent="0.25">
      <c r="A1147" s="1"/>
    </row>
    <row r="1148" spans="1:1" ht="46.5" customHeight="1" x14ac:dyDescent="0.25">
      <c r="A1148" s="1"/>
    </row>
    <row r="1149" spans="1:1" ht="46.5" customHeight="1" x14ac:dyDescent="0.25">
      <c r="A1149" s="1"/>
    </row>
    <row r="1150" spans="1:1" ht="46.5" customHeight="1" x14ac:dyDescent="0.25">
      <c r="A1150" s="1"/>
    </row>
    <row r="1151" spans="1:1" ht="46.5" customHeight="1" x14ac:dyDescent="0.25">
      <c r="A1151" s="1"/>
    </row>
    <row r="1152" spans="1:1" ht="46.5" customHeight="1" x14ac:dyDescent="0.25">
      <c r="A1152" s="1"/>
    </row>
    <row r="1153" spans="1:1" ht="46.5" customHeight="1" x14ac:dyDescent="0.25">
      <c r="A1153" s="1"/>
    </row>
    <row r="1154" spans="1:1" ht="46.5" customHeight="1" x14ac:dyDescent="0.25">
      <c r="A1154" s="1"/>
    </row>
    <row r="1155" spans="1:1" ht="46.5" customHeight="1" x14ac:dyDescent="0.25">
      <c r="A1155" s="1"/>
    </row>
    <row r="1156" spans="1:1" ht="46.5" customHeight="1" x14ac:dyDescent="0.25">
      <c r="A1156" s="1"/>
    </row>
    <row r="1157" spans="1:1" ht="46.5" customHeight="1" x14ac:dyDescent="0.25">
      <c r="A1157" s="1"/>
    </row>
    <row r="1158" spans="1:1" ht="46.5" customHeight="1" x14ac:dyDescent="0.25">
      <c r="A1158" s="1"/>
    </row>
    <row r="1159" spans="1:1" ht="46.5" customHeight="1" x14ac:dyDescent="0.25">
      <c r="A1159" s="1"/>
    </row>
    <row r="1160" spans="1:1" ht="46.5" customHeight="1" x14ac:dyDescent="0.25">
      <c r="A1160" s="1"/>
    </row>
    <row r="1161" spans="1:1" ht="46.5" customHeight="1" x14ac:dyDescent="0.25">
      <c r="A1161" s="1"/>
    </row>
    <row r="1162" spans="1:1" ht="46.5" customHeight="1" x14ac:dyDescent="0.25">
      <c r="A1162" s="1"/>
    </row>
    <row r="1163" spans="1:1" ht="46.5" customHeight="1" x14ac:dyDescent="0.25">
      <c r="A1163" s="1"/>
    </row>
    <row r="1164" spans="1:1" ht="46.5" customHeight="1" x14ac:dyDescent="0.25">
      <c r="A1164" s="1"/>
    </row>
    <row r="1165" spans="1:1" ht="46.5" customHeight="1" x14ac:dyDescent="0.25">
      <c r="A1165" s="1"/>
    </row>
    <row r="1166" spans="1:1" ht="46.5" customHeight="1" x14ac:dyDescent="0.25">
      <c r="A1166" s="1"/>
    </row>
    <row r="1167" spans="1:1" ht="46.5" customHeight="1" x14ac:dyDescent="0.25">
      <c r="A1167" s="1"/>
    </row>
    <row r="1168" spans="1:1" ht="46.5" customHeight="1" x14ac:dyDescent="0.25">
      <c r="A1168" s="1"/>
    </row>
    <row r="1169" spans="1:1" ht="46.5" customHeight="1" x14ac:dyDescent="0.25">
      <c r="A1169" s="1"/>
    </row>
    <row r="1170" spans="1:1" ht="46.5" customHeight="1" x14ac:dyDescent="0.25">
      <c r="A1170" s="1"/>
    </row>
    <row r="1171" spans="1:1" ht="46.5" customHeight="1" x14ac:dyDescent="0.25">
      <c r="A1171" s="1"/>
    </row>
    <row r="1172" spans="1:1" ht="46.5" customHeight="1" x14ac:dyDescent="0.25">
      <c r="A1172" s="1"/>
    </row>
    <row r="1173" spans="1:1" ht="46.5" customHeight="1" x14ac:dyDescent="0.25">
      <c r="A1173" s="1"/>
    </row>
    <row r="1174" spans="1:1" ht="46.5" customHeight="1" x14ac:dyDescent="0.25">
      <c r="A1174" s="1"/>
    </row>
    <row r="1175" spans="1:1" ht="46.5" customHeight="1" x14ac:dyDescent="0.25">
      <c r="A1175" s="1"/>
    </row>
    <row r="1176" spans="1:1" ht="46.5" customHeight="1" x14ac:dyDescent="0.25">
      <c r="A1176" s="1"/>
    </row>
    <row r="1177" spans="1:1" ht="46.5" customHeight="1" x14ac:dyDescent="0.25">
      <c r="A1177" s="1"/>
    </row>
    <row r="1178" spans="1:1" ht="46.5" customHeight="1" x14ac:dyDescent="0.25">
      <c r="A1178" s="1"/>
    </row>
    <row r="1179" spans="1:1" ht="46.5" customHeight="1" x14ac:dyDescent="0.25">
      <c r="A1179" s="1"/>
    </row>
    <row r="1180" spans="1:1" ht="46.5" customHeight="1" x14ac:dyDescent="0.25">
      <c r="A1180" s="1"/>
    </row>
    <row r="1181" spans="1:1" ht="46.5" customHeight="1" x14ac:dyDescent="0.25">
      <c r="A1181" s="1"/>
    </row>
    <row r="1182" spans="1:1" ht="46.5" customHeight="1" x14ac:dyDescent="0.25">
      <c r="A1182" s="1"/>
    </row>
    <row r="1183" spans="1:1" ht="46.5" customHeight="1" x14ac:dyDescent="0.25">
      <c r="A1183" s="1"/>
    </row>
    <row r="1184" spans="1:1" ht="46.5" customHeight="1" x14ac:dyDescent="0.25">
      <c r="A1184" s="1"/>
    </row>
    <row r="1185" spans="1:1" ht="46.5" customHeight="1" x14ac:dyDescent="0.25">
      <c r="A1185" s="1"/>
    </row>
    <row r="1186" spans="1:1" ht="46.5" customHeight="1" x14ac:dyDescent="0.25">
      <c r="A1186" s="1"/>
    </row>
    <row r="1187" spans="1:1" ht="46.5" customHeight="1" x14ac:dyDescent="0.25">
      <c r="A1187" s="1"/>
    </row>
    <row r="1188" spans="1:1" ht="46.5" customHeight="1" x14ac:dyDescent="0.25">
      <c r="A1188" s="1"/>
    </row>
    <row r="1189" spans="1:1" ht="46.5" customHeight="1" x14ac:dyDescent="0.25">
      <c r="A1189" s="1"/>
    </row>
    <row r="1190" spans="1:1" ht="46.5" customHeight="1" x14ac:dyDescent="0.25">
      <c r="A1190" s="1"/>
    </row>
    <row r="1191" spans="1:1" ht="46.5" customHeight="1" x14ac:dyDescent="0.25">
      <c r="A1191" s="1"/>
    </row>
    <row r="1192" spans="1:1" ht="46.5" customHeight="1" x14ac:dyDescent="0.25">
      <c r="A1192" s="1"/>
    </row>
    <row r="1193" spans="1:1" ht="46.5" customHeight="1" x14ac:dyDescent="0.25">
      <c r="A1193" s="1"/>
    </row>
    <row r="1194" spans="1:1" ht="46.5" customHeight="1" x14ac:dyDescent="0.25">
      <c r="A1194" s="1"/>
    </row>
    <row r="1195" spans="1:1" ht="46.5" customHeight="1" x14ac:dyDescent="0.25">
      <c r="A1195" s="1"/>
    </row>
    <row r="1196" spans="1:1" ht="46.5" customHeight="1" x14ac:dyDescent="0.25">
      <c r="A1196" s="1"/>
    </row>
    <row r="1197" spans="1:1" ht="46.5" customHeight="1" x14ac:dyDescent="0.25">
      <c r="A1197" s="1"/>
    </row>
    <row r="1198" spans="1:1" ht="46.5" customHeight="1" x14ac:dyDescent="0.25">
      <c r="A1198" s="1"/>
    </row>
    <row r="1199" spans="1:1" ht="46.5" customHeight="1" x14ac:dyDescent="0.25">
      <c r="A1199" s="1"/>
    </row>
    <row r="1200" spans="1:1" ht="46.5" customHeight="1" x14ac:dyDescent="0.25">
      <c r="A1200" s="1"/>
    </row>
    <row r="1201" spans="1:1" ht="46.5" customHeight="1" x14ac:dyDescent="0.25">
      <c r="A1201" s="1"/>
    </row>
    <row r="1202" spans="1:1" ht="46.5" customHeight="1" x14ac:dyDescent="0.25">
      <c r="A1202" s="1"/>
    </row>
    <row r="1203" spans="1:1" ht="46.5" customHeight="1" x14ac:dyDescent="0.25">
      <c r="A1203" s="1"/>
    </row>
    <row r="1204" spans="1:1" ht="46.5" customHeight="1" x14ac:dyDescent="0.25">
      <c r="A1204" s="1"/>
    </row>
    <row r="1205" spans="1:1" ht="46.5" customHeight="1" x14ac:dyDescent="0.25">
      <c r="A1205" s="1"/>
    </row>
    <row r="1206" spans="1:1" ht="46.5" customHeight="1" x14ac:dyDescent="0.25">
      <c r="A1206" s="1"/>
    </row>
    <row r="1207" spans="1:1" ht="46.5" customHeight="1" x14ac:dyDescent="0.25">
      <c r="A1207" s="1"/>
    </row>
    <row r="1208" spans="1:1" ht="46.5" customHeight="1" x14ac:dyDescent="0.25">
      <c r="A1208" s="1"/>
    </row>
    <row r="1209" spans="1:1" ht="46.5" customHeight="1" x14ac:dyDescent="0.25">
      <c r="A1209" s="1"/>
    </row>
    <row r="1210" spans="1:1" ht="46.5" customHeight="1" x14ac:dyDescent="0.25">
      <c r="A1210" s="1"/>
    </row>
    <row r="1211" spans="1:1" ht="46.5" customHeight="1" x14ac:dyDescent="0.25">
      <c r="A1211" s="1"/>
    </row>
    <row r="1212" spans="1:1" ht="46.5" customHeight="1" x14ac:dyDescent="0.25">
      <c r="A1212" s="1"/>
    </row>
    <row r="1213" spans="1:1" ht="46.5" customHeight="1" x14ac:dyDescent="0.25">
      <c r="A1213" s="1"/>
    </row>
    <row r="1214" spans="1:1" ht="46.5" customHeight="1" x14ac:dyDescent="0.25">
      <c r="A1214" s="1"/>
    </row>
    <row r="1215" spans="1:1" ht="46.5" customHeight="1" x14ac:dyDescent="0.25">
      <c r="A1215" s="1"/>
    </row>
    <row r="1216" spans="1:1" ht="46.5" customHeight="1" x14ac:dyDescent="0.25">
      <c r="A1216" s="1"/>
    </row>
    <row r="1217" spans="1:1" ht="46.5" customHeight="1" x14ac:dyDescent="0.25">
      <c r="A1217" s="1"/>
    </row>
    <row r="1218" spans="1:1" ht="46.5" customHeight="1" x14ac:dyDescent="0.25">
      <c r="A1218" s="1"/>
    </row>
    <row r="1219" spans="1:1" ht="46.5" customHeight="1" x14ac:dyDescent="0.25">
      <c r="A1219" s="1"/>
    </row>
    <row r="1220" spans="1:1" ht="46.5" customHeight="1" x14ac:dyDescent="0.25">
      <c r="A1220" s="1"/>
    </row>
    <row r="1221" spans="1:1" ht="46.5" customHeight="1" x14ac:dyDescent="0.25">
      <c r="A1221" s="1"/>
    </row>
    <row r="1222" spans="1:1" ht="46.5" customHeight="1" x14ac:dyDescent="0.25">
      <c r="A1222" s="1"/>
    </row>
    <row r="1223" spans="1:1" ht="46.5" customHeight="1" x14ac:dyDescent="0.25">
      <c r="A1223" s="1"/>
    </row>
    <row r="1224" spans="1:1" ht="46.5" customHeight="1" x14ac:dyDescent="0.25">
      <c r="A1224" s="1"/>
    </row>
    <row r="1225" spans="1:1" ht="46.5" customHeight="1" x14ac:dyDescent="0.25">
      <c r="A1225" s="1"/>
    </row>
    <row r="1226" spans="1:1" ht="46.5" customHeight="1" x14ac:dyDescent="0.25">
      <c r="A1226" s="1"/>
    </row>
    <row r="1227" spans="1:1" ht="46.5" customHeight="1" x14ac:dyDescent="0.25">
      <c r="A1227" s="1"/>
    </row>
    <row r="1228" spans="1:1" ht="46.5" customHeight="1" x14ac:dyDescent="0.25">
      <c r="A1228" s="1"/>
    </row>
    <row r="1229" spans="1:1" ht="46.5" customHeight="1" x14ac:dyDescent="0.25">
      <c r="A1229" s="1"/>
    </row>
    <row r="1230" spans="1:1" ht="46.5" customHeight="1" x14ac:dyDescent="0.25">
      <c r="A1230" s="1"/>
    </row>
    <row r="1231" spans="1:1" ht="46.5" customHeight="1" x14ac:dyDescent="0.25">
      <c r="A1231" s="1"/>
    </row>
    <row r="1232" spans="1:1" ht="46.5" customHeight="1" x14ac:dyDescent="0.25">
      <c r="A1232" s="1"/>
    </row>
    <row r="1233" spans="1:1" ht="46.5" customHeight="1" x14ac:dyDescent="0.25">
      <c r="A1233" s="1"/>
    </row>
    <row r="1234" spans="1:1" ht="46.5" customHeight="1" x14ac:dyDescent="0.25">
      <c r="A1234" s="1"/>
    </row>
    <row r="1235" spans="1:1" ht="46.5" customHeight="1" x14ac:dyDescent="0.25">
      <c r="A1235" s="1"/>
    </row>
    <row r="1236" spans="1:1" ht="46.5" customHeight="1" x14ac:dyDescent="0.25">
      <c r="A1236" s="1"/>
    </row>
    <row r="1237" spans="1:1" ht="46.5" customHeight="1" x14ac:dyDescent="0.25">
      <c r="A1237" s="1"/>
    </row>
    <row r="1238" spans="1:1" ht="46.5" customHeight="1" x14ac:dyDescent="0.25">
      <c r="A1238" s="1"/>
    </row>
    <row r="1239" spans="1:1" ht="46.5" customHeight="1" x14ac:dyDescent="0.25">
      <c r="A1239" s="1"/>
    </row>
    <row r="1240" spans="1:1" ht="46.5" customHeight="1" x14ac:dyDescent="0.25">
      <c r="A1240" s="1"/>
    </row>
    <row r="1241" spans="1:1" ht="46.5" customHeight="1" x14ac:dyDescent="0.25">
      <c r="A1241" s="1"/>
    </row>
    <row r="1242" spans="1:1" ht="46.5" customHeight="1" x14ac:dyDescent="0.25">
      <c r="A1242" s="1"/>
    </row>
    <row r="1243" spans="1:1" ht="46.5" customHeight="1" x14ac:dyDescent="0.25">
      <c r="A1243" s="1"/>
    </row>
    <row r="1244" spans="1:1" ht="46.5" customHeight="1" x14ac:dyDescent="0.25">
      <c r="A1244" s="1"/>
    </row>
    <row r="1245" spans="1:1" ht="46.5" customHeight="1" x14ac:dyDescent="0.25">
      <c r="A1245" s="1"/>
    </row>
    <row r="1246" spans="1:1" ht="46.5" customHeight="1" x14ac:dyDescent="0.25">
      <c r="A1246" s="1"/>
    </row>
    <row r="1247" spans="1:1" ht="46.5" customHeight="1" x14ac:dyDescent="0.25">
      <c r="A1247" s="1"/>
    </row>
    <row r="1248" spans="1:1" ht="46.5" customHeight="1" x14ac:dyDescent="0.25">
      <c r="A1248" s="1"/>
    </row>
    <row r="1249" spans="1:1" ht="46.5" customHeight="1" x14ac:dyDescent="0.25">
      <c r="A1249" s="1"/>
    </row>
    <row r="1250" spans="1:1" ht="46.5" customHeight="1" x14ac:dyDescent="0.25">
      <c r="A1250" s="1"/>
    </row>
    <row r="1251" spans="1:1" ht="46.5" customHeight="1" x14ac:dyDescent="0.25">
      <c r="A1251" s="1"/>
    </row>
    <row r="1252" spans="1:1" ht="46.5" customHeight="1" x14ac:dyDescent="0.25">
      <c r="A1252" s="1"/>
    </row>
    <row r="1253" spans="1:1" ht="46.5" customHeight="1" x14ac:dyDescent="0.25">
      <c r="A1253" s="1"/>
    </row>
    <row r="1254" spans="1:1" ht="46.5" customHeight="1" x14ac:dyDescent="0.25">
      <c r="A1254" s="1"/>
    </row>
    <row r="1255" spans="1:1" ht="46.5" customHeight="1" x14ac:dyDescent="0.25">
      <c r="A1255" s="1"/>
    </row>
    <row r="1256" spans="1:1" ht="46.5" customHeight="1" x14ac:dyDescent="0.25">
      <c r="A1256" s="1"/>
    </row>
    <row r="1257" spans="1:1" ht="46.5" customHeight="1" x14ac:dyDescent="0.25">
      <c r="A1257" s="1"/>
    </row>
    <row r="1258" spans="1:1" ht="46.5" customHeight="1" x14ac:dyDescent="0.25">
      <c r="A1258" s="1"/>
    </row>
    <row r="1259" spans="1:1" ht="46.5" customHeight="1" x14ac:dyDescent="0.25">
      <c r="A1259" s="1"/>
    </row>
    <row r="1260" spans="1:1" ht="46.5" customHeight="1" x14ac:dyDescent="0.25">
      <c r="A1260" s="1"/>
    </row>
    <row r="1261" spans="1:1" ht="46.5" customHeight="1" x14ac:dyDescent="0.25">
      <c r="A1261" s="1"/>
    </row>
    <row r="1262" spans="1:1" ht="46.5" customHeight="1" x14ac:dyDescent="0.25">
      <c r="A1262" s="1"/>
    </row>
    <row r="1263" spans="1:1" ht="46.5" customHeight="1" x14ac:dyDescent="0.25">
      <c r="A1263" s="1"/>
    </row>
    <row r="1264" spans="1:1" ht="46.5" customHeight="1" x14ac:dyDescent="0.25">
      <c r="A1264" s="1"/>
    </row>
    <row r="1265" spans="1:1" ht="46.5" customHeight="1" x14ac:dyDescent="0.25">
      <c r="A1265" s="1"/>
    </row>
    <row r="1266" spans="1:1" ht="46.5" customHeight="1" x14ac:dyDescent="0.25">
      <c r="A1266" s="1"/>
    </row>
    <row r="1267" spans="1:1" ht="46.5" customHeight="1" x14ac:dyDescent="0.25">
      <c r="A1267" s="1"/>
    </row>
    <row r="1268" spans="1:1" ht="46.5" customHeight="1" x14ac:dyDescent="0.25">
      <c r="A1268" s="1"/>
    </row>
    <row r="1269" spans="1:1" ht="46.5" customHeight="1" x14ac:dyDescent="0.25">
      <c r="A1269" s="1"/>
    </row>
    <row r="1270" spans="1:1" ht="46.5" customHeight="1" x14ac:dyDescent="0.25">
      <c r="A1270" s="1"/>
    </row>
    <row r="1271" spans="1:1" ht="46.5" customHeight="1" x14ac:dyDescent="0.25">
      <c r="A1271" s="1"/>
    </row>
    <row r="1272" spans="1:1" ht="46.5" customHeight="1" x14ac:dyDescent="0.25">
      <c r="A1272" s="1"/>
    </row>
    <row r="1273" spans="1:1" ht="46.5" customHeight="1" x14ac:dyDescent="0.25">
      <c r="A1273" s="1"/>
    </row>
    <row r="1274" spans="1:1" ht="46.5" customHeight="1" x14ac:dyDescent="0.25">
      <c r="A1274" s="1"/>
    </row>
    <row r="1275" spans="1:1" ht="46.5" customHeight="1" x14ac:dyDescent="0.25">
      <c r="A1275" s="1"/>
    </row>
    <row r="1276" spans="1:1" ht="46.5" customHeight="1" x14ac:dyDescent="0.25">
      <c r="A1276" s="1"/>
    </row>
    <row r="1277" spans="1:1" ht="46.5" customHeight="1" x14ac:dyDescent="0.25">
      <c r="A1277" s="1"/>
    </row>
    <row r="1278" spans="1:1" ht="46.5" customHeight="1" x14ac:dyDescent="0.25">
      <c r="A1278" s="1"/>
    </row>
    <row r="1279" spans="1:1" ht="46.5" customHeight="1" x14ac:dyDescent="0.25">
      <c r="A1279" s="1"/>
    </row>
    <row r="1280" spans="1:1" ht="46.5" customHeight="1" x14ac:dyDescent="0.25">
      <c r="A1280" s="1"/>
    </row>
    <row r="1281" spans="1:1" ht="46.5" customHeight="1" x14ac:dyDescent="0.25">
      <c r="A1281" s="1"/>
    </row>
    <row r="1282" spans="1:1" ht="46.5" customHeight="1" x14ac:dyDescent="0.25">
      <c r="A1282" s="1"/>
    </row>
    <row r="1283" spans="1:1" ht="46.5" customHeight="1" x14ac:dyDescent="0.25">
      <c r="A1283" s="1"/>
    </row>
    <row r="1284" spans="1:1" ht="46.5" customHeight="1" x14ac:dyDescent="0.25">
      <c r="A1284" s="1"/>
    </row>
    <row r="1285" spans="1:1" ht="46.5" customHeight="1" x14ac:dyDescent="0.25">
      <c r="A1285" s="1"/>
    </row>
    <row r="1286" spans="1:1" ht="46.5" customHeight="1" x14ac:dyDescent="0.25">
      <c r="A1286" s="1"/>
    </row>
    <row r="1287" spans="1:1" ht="46.5" customHeight="1" x14ac:dyDescent="0.25">
      <c r="A1287" s="1"/>
    </row>
    <row r="1288" spans="1:1" ht="46.5" customHeight="1" x14ac:dyDescent="0.25">
      <c r="A1288" s="1"/>
    </row>
    <row r="1289" spans="1:1" ht="46.5" customHeight="1" x14ac:dyDescent="0.25">
      <c r="A1289" s="1"/>
    </row>
    <row r="1290" spans="1:1" ht="46.5" customHeight="1" x14ac:dyDescent="0.25">
      <c r="A1290" s="1"/>
    </row>
    <row r="1291" spans="1:1" ht="46.5" customHeight="1" x14ac:dyDescent="0.25">
      <c r="A1291" s="1"/>
    </row>
    <row r="1292" spans="1:1" ht="46.5" customHeight="1" x14ac:dyDescent="0.25">
      <c r="A1292" s="1"/>
    </row>
    <row r="1293" spans="1:1" ht="46.5" customHeight="1" x14ac:dyDescent="0.25">
      <c r="A1293" s="1"/>
    </row>
    <row r="1294" spans="1:1" ht="46.5" customHeight="1" x14ac:dyDescent="0.25">
      <c r="A1294" s="1"/>
    </row>
    <row r="1295" spans="1:1" ht="46.5" customHeight="1" x14ac:dyDescent="0.25">
      <c r="A1295" s="1"/>
    </row>
    <row r="1296" spans="1:1" ht="46.5" customHeight="1" x14ac:dyDescent="0.25">
      <c r="A1296" s="1"/>
    </row>
    <row r="1297" spans="1:1" ht="46.5" customHeight="1" x14ac:dyDescent="0.25">
      <c r="A1297" s="1"/>
    </row>
    <row r="1298" spans="1:1" ht="46.5" customHeight="1" x14ac:dyDescent="0.25">
      <c r="A1298" s="1"/>
    </row>
    <row r="1299" spans="1:1" ht="46.5" customHeight="1" x14ac:dyDescent="0.25">
      <c r="A1299" s="1"/>
    </row>
    <row r="1300" spans="1:1" ht="46.5" customHeight="1" x14ac:dyDescent="0.25">
      <c r="A1300" s="1"/>
    </row>
    <row r="1301" spans="1:1" ht="46.5" customHeight="1" x14ac:dyDescent="0.25">
      <c r="A1301" s="1"/>
    </row>
    <row r="1302" spans="1:1" ht="46.5" customHeight="1" x14ac:dyDescent="0.25">
      <c r="A1302" s="1"/>
    </row>
    <row r="1303" spans="1:1" ht="46.5" customHeight="1" x14ac:dyDescent="0.25">
      <c r="A1303" s="1"/>
    </row>
    <row r="1304" spans="1:1" ht="46.5" customHeight="1" x14ac:dyDescent="0.25">
      <c r="A1304" s="1"/>
    </row>
    <row r="1305" spans="1:1" ht="46.5" customHeight="1" x14ac:dyDescent="0.25">
      <c r="A1305" s="1"/>
    </row>
    <row r="1306" spans="1:1" ht="46.5" customHeight="1" x14ac:dyDescent="0.25">
      <c r="A1306" s="1"/>
    </row>
    <row r="1307" spans="1:1" ht="46.5" customHeight="1" x14ac:dyDescent="0.25">
      <c r="A1307" s="1"/>
    </row>
    <row r="1308" spans="1:1" ht="46.5" customHeight="1" x14ac:dyDescent="0.25">
      <c r="A1308" s="1"/>
    </row>
    <row r="1309" spans="1:1" ht="46.5" customHeight="1" x14ac:dyDescent="0.25">
      <c r="A1309" s="1"/>
    </row>
    <row r="1310" spans="1:1" ht="46.5" customHeight="1" x14ac:dyDescent="0.25">
      <c r="A1310" s="1"/>
    </row>
    <row r="1311" spans="1:1" ht="46.5" customHeight="1" x14ac:dyDescent="0.25">
      <c r="A1311" s="1"/>
    </row>
    <row r="1312" spans="1:1" ht="46.5" customHeight="1" x14ac:dyDescent="0.25">
      <c r="A1312" s="1"/>
    </row>
    <row r="1313" spans="1:1" ht="46.5" customHeight="1" x14ac:dyDescent="0.25">
      <c r="A1313" s="1"/>
    </row>
    <row r="1314" spans="1:1" ht="46.5" customHeight="1" x14ac:dyDescent="0.25">
      <c r="A1314" s="1"/>
    </row>
    <row r="1315" spans="1:1" ht="46.5" customHeight="1" x14ac:dyDescent="0.25">
      <c r="A1315" s="1"/>
    </row>
    <row r="1316" spans="1:1" ht="46.5" customHeight="1" x14ac:dyDescent="0.25">
      <c r="A1316" s="1"/>
    </row>
    <row r="1317" spans="1:1" ht="46.5" customHeight="1" x14ac:dyDescent="0.25">
      <c r="A1317" s="1"/>
    </row>
    <row r="1318" spans="1:1" ht="46.5" customHeight="1" x14ac:dyDescent="0.25">
      <c r="A1318" s="1"/>
    </row>
    <row r="1319" spans="1:1" ht="46.5" customHeight="1" x14ac:dyDescent="0.25">
      <c r="A1319" s="1"/>
    </row>
    <row r="1320" spans="1:1" ht="46.5" customHeight="1" x14ac:dyDescent="0.25">
      <c r="A1320" s="1"/>
    </row>
    <row r="1321" spans="1:1" ht="46.5" customHeight="1" x14ac:dyDescent="0.25">
      <c r="A1321" s="1"/>
    </row>
    <row r="1322" spans="1:1" ht="46.5" customHeight="1" x14ac:dyDescent="0.25">
      <c r="A1322" s="1"/>
    </row>
    <row r="1323" spans="1:1" ht="46.5" customHeight="1" x14ac:dyDescent="0.25">
      <c r="A1323" s="1"/>
    </row>
    <row r="1324" spans="1:1" ht="46.5" customHeight="1" x14ac:dyDescent="0.25">
      <c r="A1324" s="1"/>
    </row>
    <row r="1325" spans="1:1" ht="46.5" customHeight="1" x14ac:dyDescent="0.25">
      <c r="A1325" s="1"/>
    </row>
    <row r="1326" spans="1:1" ht="46.5" customHeight="1" x14ac:dyDescent="0.25">
      <c r="A1326" s="1"/>
    </row>
    <row r="1327" spans="1:1" ht="46.5" customHeight="1" x14ac:dyDescent="0.25">
      <c r="A1327" s="1"/>
    </row>
    <row r="1328" spans="1:1" ht="46.5" customHeight="1" x14ac:dyDescent="0.25">
      <c r="A1328" s="1"/>
    </row>
    <row r="1329" spans="1:1" ht="46.5" customHeight="1" x14ac:dyDescent="0.25">
      <c r="A1329" s="1"/>
    </row>
    <row r="1330" spans="1:1" ht="46.5" customHeight="1" x14ac:dyDescent="0.25">
      <c r="A1330" s="1"/>
    </row>
    <row r="1331" spans="1:1" ht="46.5" customHeight="1" x14ac:dyDescent="0.25">
      <c r="A1331" s="1"/>
    </row>
    <row r="1332" spans="1:1" ht="46.5" customHeight="1" x14ac:dyDescent="0.25">
      <c r="A1332" s="1"/>
    </row>
    <row r="1333" spans="1:1" ht="46.5" customHeight="1" x14ac:dyDescent="0.25">
      <c r="A1333" s="1"/>
    </row>
    <row r="1334" spans="1:1" ht="46.5" customHeight="1" x14ac:dyDescent="0.25">
      <c r="A1334" s="1"/>
    </row>
    <row r="1335" spans="1:1" ht="46.5" customHeight="1" x14ac:dyDescent="0.25">
      <c r="A1335" s="1"/>
    </row>
    <row r="1336" spans="1:1" ht="46.5" customHeight="1" x14ac:dyDescent="0.25">
      <c r="A1336" s="1"/>
    </row>
    <row r="1337" spans="1:1" ht="46.5" customHeight="1" x14ac:dyDescent="0.25">
      <c r="A1337" s="1"/>
    </row>
    <row r="1338" spans="1:1" ht="46.5" customHeight="1" x14ac:dyDescent="0.25">
      <c r="A1338" s="1"/>
    </row>
    <row r="1339" spans="1:1" ht="46.5" customHeight="1" x14ac:dyDescent="0.25">
      <c r="A1339" s="1"/>
    </row>
    <row r="1340" spans="1:1" ht="46.5" customHeight="1" x14ac:dyDescent="0.25">
      <c r="A1340" s="1"/>
    </row>
    <row r="1341" spans="1:1" ht="46.5" customHeight="1" x14ac:dyDescent="0.25">
      <c r="A1341" s="1"/>
    </row>
    <row r="1342" spans="1:1" ht="46.5" customHeight="1" x14ac:dyDescent="0.25">
      <c r="A1342" s="1"/>
    </row>
    <row r="1343" spans="1:1" ht="46.5" customHeight="1" x14ac:dyDescent="0.25">
      <c r="A1343" s="1"/>
    </row>
    <row r="1344" spans="1:1" ht="46.5" customHeight="1" x14ac:dyDescent="0.25">
      <c r="A1344" s="1"/>
    </row>
    <row r="1345" spans="1:1" ht="46.5" customHeight="1" x14ac:dyDescent="0.25">
      <c r="A1345" s="1"/>
    </row>
    <row r="1346" spans="1:1" ht="46.5" customHeight="1" x14ac:dyDescent="0.25">
      <c r="A1346" s="1"/>
    </row>
    <row r="1347" spans="1:1" ht="46.5" customHeight="1" x14ac:dyDescent="0.25">
      <c r="A1347" s="1"/>
    </row>
    <row r="1348" spans="1:1" ht="46.5" customHeight="1" x14ac:dyDescent="0.25">
      <c r="A1348" s="1"/>
    </row>
    <row r="1349" spans="1:1" ht="46.5" customHeight="1" x14ac:dyDescent="0.25">
      <c r="A1349" s="1"/>
    </row>
    <row r="1350" spans="1:1" ht="46.5" customHeight="1" x14ac:dyDescent="0.25">
      <c r="A1350" s="1"/>
    </row>
    <row r="1351" spans="1:1" ht="46.5" customHeight="1" x14ac:dyDescent="0.25">
      <c r="A1351" s="1"/>
    </row>
    <row r="1352" spans="1:1" ht="46.5" customHeight="1" x14ac:dyDescent="0.25">
      <c r="A1352" s="1"/>
    </row>
    <row r="1353" spans="1:1" ht="46.5" customHeight="1" x14ac:dyDescent="0.25">
      <c r="A1353" s="1"/>
    </row>
    <row r="1354" spans="1:1" ht="46.5" customHeight="1" x14ac:dyDescent="0.25">
      <c r="A1354" s="1"/>
    </row>
    <row r="1355" spans="1:1" ht="46.5" customHeight="1" x14ac:dyDescent="0.25">
      <c r="A1355" s="1"/>
    </row>
    <row r="1356" spans="1:1" ht="46.5" customHeight="1" x14ac:dyDescent="0.25">
      <c r="A1356" s="1"/>
    </row>
    <row r="1357" spans="1:1" ht="46.5" customHeight="1" x14ac:dyDescent="0.25">
      <c r="A1357" s="1"/>
    </row>
    <row r="1358" spans="1:1" ht="46.5" customHeight="1" x14ac:dyDescent="0.25">
      <c r="A1358" s="1"/>
    </row>
    <row r="1359" spans="1:1" ht="46.5" customHeight="1" x14ac:dyDescent="0.25">
      <c r="A1359" s="1"/>
    </row>
    <row r="1360" spans="1:1" ht="46.5" customHeight="1" x14ac:dyDescent="0.25">
      <c r="A1360" s="1"/>
    </row>
    <row r="1361" spans="1:1" ht="46.5" customHeight="1" x14ac:dyDescent="0.25">
      <c r="A1361" s="1"/>
    </row>
    <row r="1362" spans="1:1" ht="46.5" customHeight="1" x14ac:dyDescent="0.25">
      <c r="A1362" s="1"/>
    </row>
    <row r="1363" spans="1:1" ht="46.5" customHeight="1" x14ac:dyDescent="0.25">
      <c r="A1363" s="1"/>
    </row>
    <row r="1364" spans="1:1" ht="46.5" customHeight="1" x14ac:dyDescent="0.25">
      <c r="A1364" s="1"/>
    </row>
    <row r="1365" spans="1:1" ht="46.5" customHeight="1" x14ac:dyDescent="0.25">
      <c r="A1365" s="1"/>
    </row>
    <row r="1366" spans="1:1" ht="46.5" customHeight="1" x14ac:dyDescent="0.25">
      <c r="A1366" s="1"/>
    </row>
    <row r="1367" spans="1:1" ht="46.5" customHeight="1" x14ac:dyDescent="0.25">
      <c r="A1367" s="1"/>
    </row>
    <row r="1368" spans="1:1" ht="46.5" customHeight="1" x14ac:dyDescent="0.25">
      <c r="A1368" s="1"/>
    </row>
    <row r="1369" spans="1:1" ht="46.5" customHeight="1" x14ac:dyDescent="0.25">
      <c r="A1369" s="1"/>
    </row>
    <row r="1370" spans="1:1" ht="46.5" customHeight="1" x14ac:dyDescent="0.25">
      <c r="A1370" s="1"/>
    </row>
    <row r="1371" spans="1:1" ht="46.5" customHeight="1" x14ac:dyDescent="0.25">
      <c r="A1371" s="1"/>
    </row>
    <row r="1372" spans="1:1" ht="46.5" customHeight="1" x14ac:dyDescent="0.25">
      <c r="A1372" s="1"/>
    </row>
    <row r="1373" spans="1:1" ht="46.5" customHeight="1" x14ac:dyDescent="0.25">
      <c r="A1373" s="1"/>
    </row>
    <row r="1374" spans="1:1" ht="46.5" customHeight="1" x14ac:dyDescent="0.25">
      <c r="A1374" s="1"/>
    </row>
    <row r="1375" spans="1:1" ht="46.5" customHeight="1" x14ac:dyDescent="0.25">
      <c r="A1375" s="1"/>
    </row>
    <row r="1376" spans="1:1" ht="46.5" customHeight="1" x14ac:dyDescent="0.25">
      <c r="A1376" s="1"/>
    </row>
    <row r="1377" spans="1:1" ht="46.5" customHeight="1" x14ac:dyDescent="0.25">
      <c r="A1377" s="1"/>
    </row>
    <row r="1378" spans="1:1" ht="46.5" customHeight="1" x14ac:dyDescent="0.25">
      <c r="A1378" s="1"/>
    </row>
    <row r="1379" spans="1:1" ht="46.5" customHeight="1" x14ac:dyDescent="0.25">
      <c r="A1379" s="1"/>
    </row>
    <row r="1380" spans="1:1" ht="46.5" customHeight="1" x14ac:dyDescent="0.25">
      <c r="A1380" s="1"/>
    </row>
    <row r="1381" spans="1:1" ht="46.5" customHeight="1" x14ac:dyDescent="0.25">
      <c r="A1381" s="1"/>
    </row>
    <row r="1382" spans="1:1" ht="46.5" customHeight="1" x14ac:dyDescent="0.25">
      <c r="A1382" s="1"/>
    </row>
    <row r="1383" spans="1:1" ht="46.5" customHeight="1" x14ac:dyDescent="0.25">
      <c r="A1383" s="1"/>
    </row>
    <row r="1384" spans="1:1" ht="46.5" customHeight="1" x14ac:dyDescent="0.25">
      <c r="A1384" s="1"/>
    </row>
    <row r="1385" spans="1:1" ht="46.5" customHeight="1" x14ac:dyDescent="0.25">
      <c r="A1385" s="1"/>
    </row>
    <row r="1386" spans="1:1" ht="46.5" customHeight="1" x14ac:dyDescent="0.25">
      <c r="A1386" s="1"/>
    </row>
    <row r="1387" spans="1:1" ht="46.5" customHeight="1" x14ac:dyDescent="0.25">
      <c r="A1387" s="1"/>
    </row>
    <row r="1388" spans="1:1" ht="46.5" customHeight="1" x14ac:dyDescent="0.25">
      <c r="A1388" s="1"/>
    </row>
    <row r="1389" spans="1:1" ht="46.5" customHeight="1" x14ac:dyDescent="0.25">
      <c r="A1389" s="1"/>
    </row>
    <row r="1390" spans="1:1" ht="46.5" customHeight="1" x14ac:dyDescent="0.25">
      <c r="A1390" s="1"/>
    </row>
    <row r="1391" spans="1:1" ht="46.5" customHeight="1" x14ac:dyDescent="0.25">
      <c r="A1391" s="1"/>
    </row>
    <row r="1392" spans="1:1" ht="46.5" customHeight="1" x14ac:dyDescent="0.25">
      <c r="A1392" s="1"/>
    </row>
    <row r="1393" spans="1:1" ht="46.5" customHeight="1" x14ac:dyDescent="0.25">
      <c r="A1393" s="1"/>
    </row>
    <row r="1394" spans="1:1" ht="46.5" customHeight="1" x14ac:dyDescent="0.25">
      <c r="A1394" s="1"/>
    </row>
    <row r="1395" spans="1:1" ht="46.5" customHeight="1" x14ac:dyDescent="0.25">
      <c r="A1395" s="1"/>
    </row>
    <row r="1396" spans="1:1" ht="46.5" customHeight="1" x14ac:dyDescent="0.25">
      <c r="A1396" s="1"/>
    </row>
    <row r="1397" spans="1:1" ht="46.5" customHeight="1" x14ac:dyDescent="0.25">
      <c r="A1397" s="1"/>
    </row>
    <row r="1398" spans="1:1" ht="46.5" customHeight="1" x14ac:dyDescent="0.25">
      <c r="A1398" s="1"/>
    </row>
    <row r="1399" spans="1:1" ht="46.5" customHeight="1" x14ac:dyDescent="0.25">
      <c r="A1399" s="1"/>
    </row>
    <row r="1400" spans="1:1" ht="46.5" customHeight="1" x14ac:dyDescent="0.25">
      <c r="A1400" s="1"/>
    </row>
    <row r="1401" spans="1:1" ht="46.5" customHeight="1" x14ac:dyDescent="0.25">
      <c r="A1401" s="1"/>
    </row>
    <row r="1402" spans="1:1" ht="46.5" customHeight="1" x14ac:dyDescent="0.25">
      <c r="A1402" s="1"/>
    </row>
    <row r="1403" spans="1:1" ht="46.5" customHeight="1" x14ac:dyDescent="0.25">
      <c r="A1403" s="1"/>
    </row>
    <row r="1404" spans="1:1" ht="46.5" customHeight="1" x14ac:dyDescent="0.25">
      <c r="A1404" s="1"/>
    </row>
    <row r="1405" spans="1:1" ht="46.5" customHeight="1" x14ac:dyDescent="0.25">
      <c r="A1405" s="1"/>
    </row>
    <row r="1406" spans="1:1" ht="46.5" customHeight="1" x14ac:dyDescent="0.25">
      <c r="A1406" s="1"/>
    </row>
    <row r="1407" spans="1:1" ht="46.5" customHeight="1" x14ac:dyDescent="0.25">
      <c r="A1407" s="1"/>
    </row>
    <row r="1408" spans="1:1" ht="46.5" customHeight="1" x14ac:dyDescent="0.25">
      <c r="A1408" s="1"/>
    </row>
    <row r="1409" spans="1:1" ht="46.5" customHeight="1" x14ac:dyDescent="0.25">
      <c r="A1409" s="1"/>
    </row>
    <row r="1410" spans="1:1" ht="46.5" customHeight="1" x14ac:dyDescent="0.25">
      <c r="A1410" s="1"/>
    </row>
    <row r="1411" spans="1:1" ht="46.5" customHeight="1" x14ac:dyDescent="0.25">
      <c r="A1411" s="1"/>
    </row>
    <row r="1412" spans="1:1" ht="46.5" customHeight="1" x14ac:dyDescent="0.25">
      <c r="A1412" s="1"/>
    </row>
    <row r="1413" spans="1:1" ht="46.5" customHeight="1" x14ac:dyDescent="0.25">
      <c r="A1413" s="1"/>
    </row>
    <row r="1414" spans="1:1" ht="46.5" customHeight="1" x14ac:dyDescent="0.25">
      <c r="A1414" s="1"/>
    </row>
    <row r="1415" spans="1:1" ht="46.5" customHeight="1" x14ac:dyDescent="0.25">
      <c r="A1415" s="1"/>
    </row>
    <row r="1416" spans="1:1" ht="46.5" customHeight="1" x14ac:dyDescent="0.25">
      <c r="A1416" s="1"/>
    </row>
    <row r="1417" spans="1:1" ht="46.5" customHeight="1" x14ac:dyDescent="0.25">
      <c r="A1417" s="1"/>
    </row>
    <row r="1418" spans="1:1" ht="46.5" customHeight="1" x14ac:dyDescent="0.25">
      <c r="A1418" s="1"/>
    </row>
    <row r="1419" spans="1:1" ht="46.5" customHeight="1" x14ac:dyDescent="0.25">
      <c r="A1419" s="1"/>
    </row>
    <row r="1420" spans="1:1" ht="46.5" customHeight="1" x14ac:dyDescent="0.25">
      <c r="A1420" s="1"/>
    </row>
    <row r="1421" spans="1:1" ht="46.5" customHeight="1" x14ac:dyDescent="0.25">
      <c r="A1421" s="1"/>
    </row>
    <row r="1422" spans="1:1" ht="46.5" customHeight="1" x14ac:dyDescent="0.25">
      <c r="A1422" s="1"/>
    </row>
    <row r="1423" spans="1:1" ht="46.5" customHeight="1" x14ac:dyDescent="0.25">
      <c r="A1423" s="1"/>
    </row>
    <row r="1424" spans="1:1" ht="46.5" customHeight="1" x14ac:dyDescent="0.25">
      <c r="A1424" s="1"/>
    </row>
    <row r="1425" spans="1:1" ht="46.5" customHeight="1" x14ac:dyDescent="0.25">
      <c r="A1425" s="1"/>
    </row>
    <row r="1426" spans="1:1" ht="46.5" customHeight="1" x14ac:dyDescent="0.25">
      <c r="A1426" s="1"/>
    </row>
    <row r="1427" spans="1:1" ht="46.5" customHeight="1" x14ac:dyDescent="0.25">
      <c r="A1427" s="1"/>
    </row>
    <row r="1428" spans="1:1" ht="46.5" customHeight="1" x14ac:dyDescent="0.25">
      <c r="A1428" s="1"/>
    </row>
    <row r="1429" spans="1:1" ht="46.5" customHeight="1" x14ac:dyDescent="0.25">
      <c r="A1429" s="1"/>
    </row>
    <row r="1430" spans="1:1" ht="46.5" customHeight="1" x14ac:dyDescent="0.25">
      <c r="A1430" s="1"/>
    </row>
    <row r="1431" spans="1:1" ht="46.5" customHeight="1" x14ac:dyDescent="0.25">
      <c r="A1431" s="1"/>
    </row>
    <row r="1432" spans="1:1" ht="46.5" customHeight="1" x14ac:dyDescent="0.25">
      <c r="A1432" s="1"/>
    </row>
    <row r="1433" spans="1:1" ht="46.5" customHeight="1" x14ac:dyDescent="0.25">
      <c r="A1433" s="1"/>
    </row>
    <row r="1434" spans="1:1" ht="46.5" customHeight="1" x14ac:dyDescent="0.25">
      <c r="A1434" s="1"/>
    </row>
    <row r="1435" spans="1:1" ht="46.5" customHeight="1" x14ac:dyDescent="0.25">
      <c r="A1435" s="1"/>
    </row>
    <row r="1436" spans="1:1" ht="46.5" customHeight="1" x14ac:dyDescent="0.25">
      <c r="A1436" s="1"/>
    </row>
    <row r="1437" spans="1:1" ht="46.5" customHeight="1" x14ac:dyDescent="0.25">
      <c r="A1437" s="1"/>
    </row>
    <row r="1438" spans="1:1" ht="46.5" customHeight="1" x14ac:dyDescent="0.25">
      <c r="A1438" s="1"/>
    </row>
    <row r="1439" spans="1:1" ht="46.5" customHeight="1" x14ac:dyDescent="0.25">
      <c r="A1439" s="1"/>
    </row>
    <row r="1440" spans="1:1" ht="46.5" customHeight="1" x14ac:dyDescent="0.25">
      <c r="A1440" s="1"/>
    </row>
    <row r="1441" spans="1:1" ht="46.5" customHeight="1" x14ac:dyDescent="0.25">
      <c r="A1441" s="1"/>
    </row>
    <row r="1442" spans="1:1" ht="46.5" customHeight="1" x14ac:dyDescent="0.25">
      <c r="A1442" s="1"/>
    </row>
    <row r="1443" spans="1:1" ht="46.5" customHeight="1" x14ac:dyDescent="0.25">
      <c r="A1443" s="1"/>
    </row>
    <row r="1444" spans="1:1" ht="46.5" customHeight="1" x14ac:dyDescent="0.25">
      <c r="A1444" s="1"/>
    </row>
    <row r="1445" spans="1:1" ht="46.5" customHeight="1" x14ac:dyDescent="0.25">
      <c r="A1445" s="1"/>
    </row>
    <row r="1446" spans="1:1" ht="46.5" customHeight="1" x14ac:dyDescent="0.25">
      <c r="A1446" s="1"/>
    </row>
    <row r="1447" spans="1:1" ht="46.5" customHeight="1" x14ac:dyDescent="0.25">
      <c r="A1447" s="1"/>
    </row>
    <row r="1448" spans="1:1" ht="46.5" customHeight="1" x14ac:dyDescent="0.25">
      <c r="A1448" s="1"/>
    </row>
    <row r="1449" spans="1:1" ht="46.5" customHeight="1" x14ac:dyDescent="0.25">
      <c r="A1449" s="1"/>
    </row>
    <row r="1450" spans="1:1" ht="46.5" customHeight="1" x14ac:dyDescent="0.25">
      <c r="A1450" s="1"/>
    </row>
    <row r="1451" spans="1:1" ht="46.5" customHeight="1" x14ac:dyDescent="0.25">
      <c r="A1451" s="1"/>
    </row>
    <row r="1452" spans="1:1" ht="46.5" customHeight="1" x14ac:dyDescent="0.25">
      <c r="A1452" s="1"/>
    </row>
    <row r="1453" spans="1:1" ht="46.5" customHeight="1" x14ac:dyDescent="0.25">
      <c r="A1453" s="1"/>
    </row>
    <row r="1454" spans="1:1" ht="46.5" customHeight="1" x14ac:dyDescent="0.25">
      <c r="A1454" s="1"/>
    </row>
    <row r="1455" spans="1:1" ht="46.5" customHeight="1" x14ac:dyDescent="0.25">
      <c r="A1455" s="1"/>
    </row>
    <row r="1456" spans="1:1" ht="46.5" customHeight="1" x14ac:dyDescent="0.25">
      <c r="A1456" s="1"/>
    </row>
    <row r="1457" spans="1:1" ht="46.5" customHeight="1" x14ac:dyDescent="0.25">
      <c r="A1457" s="1"/>
    </row>
    <row r="1458" spans="1:1" ht="46.5" customHeight="1" x14ac:dyDescent="0.25">
      <c r="A1458" s="1"/>
    </row>
    <row r="1459" spans="1:1" ht="46.5" customHeight="1" x14ac:dyDescent="0.25">
      <c r="A1459" s="1"/>
    </row>
    <row r="1460" spans="1:1" ht="46.5" customHeight="1" x14ac:dyDescent="0.25">
      <c r="A1460" s="1"/>
    </row>
    <row r="1461" spans="1:1" ht="46.5" customHeight="1" x14ac:dyDescent="0.25">
      <c r="A1461" s="1"/>
    </row>
    <row r="1462" spans="1:1" ht="46.5" customHeight="1" x14ac:dyDescent="0.25">
      <c r="A1462" s="1"/>
    </row>
    <row r="1463" spans="1:1" ht="46.5" customHeight="1" x14ac:dyDescent="0.25">
      <c r="A1463" s="1"/>
    </row>
    <row r="1464" spans="1:1" ht="46.5" customHeight="1" x14ac:dyDescent="0.25">
      <c r="A1464" s="1"/>
    </row>
    <row r="1465" spans="1:1" ht="46.5" customHeight="1" x14ac:dyDescent="0.25">
      <c r="A1465" s="1"/>
    </row>
    <row r="1466" spans="1:1" ht="46.5" customHeight="1" x14ac:dyDescent="0.25">
      <c r="A1466" s="1"/>
    </row>
    <row r="1467" spans="1:1" ht="46.5" customHeight="1" x14ac:dyDescent="0.25">
      <c r="A1467" s="1"/>
    </row>
    <row r="1468" spans="1:1" ht="46.5" customHeight="1" x14ac:dyDescent="0.25">
      <c r="A1468" s="1"/>
    </row>
    <row r="1469" spans="1:1" ht="46.5" customHeight="1" x14ac:dyDescent="0.25">
      <c r="A1469" s="1"/>
    </row>
    <row r="1470" spans="1:1" ht="46.5" customHeight="1" x14ac:dyDescent="0.25">
      <c r="A1470" s="1"/>
    </row>
    <row r="1471" spans="1:1" ht="46.5" customHeight="1" x14ac:dyDescent="0.25">
      <c r="A1471" s="1"/>
    </row>
    <row r="1472" spans="1:1" ht="46.5" customHeight="1" x14ac:dyDescent="0.25">
      <c r="A1472" s="1"/>
    </row>
    <row r="1473" spans="1:1" ht="46.5" customHeight="1" x14ac:dyDescent="0.25">
      <c r="A1473" s="1"/>
    </row>
    <row r="1474" spans="1:1" ht="46.5" customHeight="1" x14ac:dyDescent="0.25">
      <c r="A1474" s="1"/>
    </row>
    <row r="1475" spans="1:1" ht="46.5" customHeight="1" x14ac:dyDescent="0.25">
      <c r="A1475" s="1"/>
    </row>
    <row r="1476" spans="1:1" ht="46.5" customHeight="1" x14ac:dyDescent="0.25">
      <c r="A1476" s="1"/>
    </row>
    <row r="1477" spans="1:1" ht="46.5" customHeight="1" x14ac:dyDescent="0.25">
      <c r="A1477" s="1"/>
    </row>
    <row r="1478" spans="1:1" ht="46.5" customHeight="1" x14ac:dyDescent="0.25">
      <c r="A1478" s="1"/>
    </row>
    <row r="1479" spans="1:1" ht="46.5" customHeight="1" x14ac:dyDescent="0.25">
      <c r="A1479" s="1"/>
    </row>
    <row r="1480" spans="1:1" ht="46.5" customHeight="1" x14ac:dyDescent="0.25">
      <c r="A1480" s="1"/>
    </row>
    <row r="1481" spans="1:1" ht="46.5" customHeight="1" x14ac:dyDescent="0.25">
      <c r="A1481" s="1"/>
    </row>
    <row r="1482" spans="1:1" ht="46.5" customHeight="1" x14ac:dyDescent="0.25">
      <c r="A1482" s="1"/>
    </row>
    <row r="1483" spans="1:1" ht="46.5" customHeight="1" x14ac:dyDescent="0.25">
      <c r="A1483" s="1"/>
    </row>
    <row r="1484" spans="1:1" ht="46.5" customHeight="1" x14ac:dyDescent="0.25">
      <c r="A1484" s="1"/>
    </row>
    <row r="1485" spans="1:1" ht="46.5" customHeight="1" x14ac:dyDescent="0.25">
      <c r="A1485" s="1"/>
    </row>
    <row r="1486" spans="1:1" ht="46.5" customHeight="1" x14ac:dyDescent="0.25">
      <c r="A1486" s="1"/>
    </row>
    <row r="1487" spans="1:1" ht="46.5" customHeight="1" x14ac:dyDescent="0.25">
      <c r="A1487" s="1"/>
    </row>
    <row r="1488" spans="1:1" ht="46.5" customHeight="1" x14ac:dyDescent="0.25">
      <c r="A1488" s="1"/>
    </row>
    <row r="1489" spans="1:1" ht="46.5" customHeight="1" x14ac:dyDescent="0.25">
      <c r="A1489" s="1"/>
    </row>
    <row r="1490" spans="1:1" ht="46.5" customHeight="1" x14ac:dyDescent="0.25">
      <c r="A1490" s="1"/>
    </row>
    <row r="1491" spans="1:1" ht="46.5" customHeight="1" x14ac:dyDescent="0.25">
      <c r="A1491" s="1"/>
    </row>
    <row r="1492" spans="1:1" ht="46.5" customHeight="1" x14ac:dyDescent="0.25">
      <c r="A1492" s="1"/>
    </row>
    <row r="1493" spans="1:1" ht="46.5" customHeight="1" x14ac:dyDescent="0.25">
      <c r="A1493" s="1"/>
    </row>
    <row r="1494" spans="1:1" ht="46.5" customHeight="1" x14ac:dyDescent="0.25">
      <c r="A1494" s="1"/>
    </row>
    <row r="1495" spans="1:1" ht="46.5" customHeight="1" x14ac:dyDescent="0.25">
      <c r="A1495" s="1"/>
    </row>
    <row r="1496" spans="1:1" ht="46.5" customHeight="1" x14ac:dyDescent="0.25">
      <c r="A1496" s="1"/>
    </row>
    <row r="1497" spans="1:1" ht="46.5" customHeight="1" x14ac:dyDescent="0.25">
      <c r="A1497" s="1"/>
    </row>
    <row r="1498" spans="1:1" ht="46.5" customHeight="1" x14ac:dyDescent="0.25">
      <c r="A1498" s="1"/>
    </row>
    <row r="1499" spans="1:1" ht="46.5" customHeight="1" x14ac:dyDescent="0.25">
      <c r="A1499" s="1"/>
    </row>
    <row r="1500" spans="1:1" ht="46.5" customHeight="1" x14ac:dyDescent="0.25">
      <c r="A1500" s="1"/>
    </row>
    <row r="1501" spans="1:1" ht="46.5" customHeight="1" x14ac:dyDescent="0.25">
      <c r="A1501" s="1"/>
    </row>
    <row r="1502" spans="1:1" ht="46.5" customHeight="1" x14ac:dyDescent="0.25">
      <c r="A1502" s="1"/>
    </row>
    <row r="1503" spans="1:1" ht="46.5" customHeight="1" x14ac:dyDescent="0.25">
      <c r="A1503" s="1"/>
    </row>
    <row r="1504" spans="1:1" ht="46.5" customHeight="1" x14ac:dyDescent="0.25">
      <c r="A1504" s="1"/>
    </row>
    <row r="1505" spans="1:1" ht="46.5" customHeight="1" x14ac:dyDescent="0.25">
      <c r="A1505" s="1"/>
    </row>
    <row r="1506" spans="1:1" ht="46.5" customHeight="1" x14ac:dyDescent="0.25">
      <c r="A1506" s="1"/>
    </row>
    <row r="1507" spans="1:1" ht="46.5" customHeight="1" x14ac:dyDescent="0.25">
      <c r="A1507" s="1"/>
    </row>
    <row r="1508" spans="1:1" ht="46.5" customHeight="1" x14ac:dyDescent="0.25">
      <c r="A1508" s="1"/>
    </row>
    <row r="1509" spans="1:1" ht="46.5" customHeight="1" x14ac:dyDescent="0.25">
      <c r="A1509" s="1"/>
    </row>
    <row r="1510" spans="1:1" ht="46.5" customHeight="1" x14ac:dyDescent="0.25">
      <c r="A1510" s="1"/>
    </row>
    <row r="1511" spans="1:1" ht="46.5" customHeight="1" x14ac:dyDescent="0.25">
      <c r="A1511" s="1"/>
    </row>
    <row r="1512" spans="1:1" ht="46.5" customHeight="1" x14ac:dyDescent="0.25">
      <c r="A1512" s="1"/>
    </row>
    <row r="1513" spans="1:1" ht="46.5" customHeight="1" x14ac:dyDescent="0.25">
      <c r="A1513" s="1"/>
    </row>
    <row r="1514" spans="1:1" ht="46.5" customHeight="1" x14ac:dyDescent="0.25">
      <c r="A1514" s="1"/>
    </row>
    <row r="1515" spans="1:1" ht="46.5" customHeight="1" x14ac:dyDescent="0.25">
      <c r="A1515" s="1"/>
    </row>
    <row r="1516" spans="1:1" ht="46.5" customHeight="1" x14ac:dyDescent="0.25">
      <c r="A1516" s="1"/>
    </row>
    <row r="1517" spans="1:1" ht="46.5" customHeight="1" x14ac:dyDescent="0.25">
      <c r="A1517" s="1"/>
    </row>
    <row r="1518" spans="1:1" ht="46.5" customHeight="1" x14ac:dyDescent="0.25">
      <c r="A1518" s="1"/>
    </row>
    <row r="1519" spans="1:1" ht="46.5" customHeight="1" x14ac:dyDescent="0.25">
      <c r="A1519" s="1"/>
    </row>
    <row r="1520" spans="1:1" ht="46.5" customHeight="1" x14ac:dyDescent="0.25">
      <c r="A1520" s="1"/>
    </row>
    <row r="1521" spans="1:1" ht="46.5" customHeight="1" x14ac:dyDescent="0.25">
      <c r="A1521" s="1"/>
    </row>
    <row r="1522" spans="1:1" ht="46.5" customHeight="1" x14ac:dyDescent="0.25">
      <c r="A1522" s="1"/>
    </row>
    <row r="1523" spans="1:1" ht="46.5" customHeight="1" x14ac:dyDescent="0.25">
      <c r="A1523" s="1"/>
    </row>
    <row r="1524" spans="1:1" ht="46.5" customHeight="1" x14ac:dyDescent="0.25">
      <c r="A1524" s="1"/>
    </row>
    <row r="1525" spans="1:1" ht="46.5" customHeight="1" x14ac:dyDescent="0.25">
      <c r="A1525" s="1"/>
    </row>
    <row r="1526" spans="1:1" ht="46.5" customHeight="1" x14ac:dyDescent="0.25">
      <c r="A1526" s="1"/>
    </row>
    <row r="1527" spans="1:1" ht="46.5" customHeight="1" x14ac:dyDescent="0.25">
      <c r="A1527" s="1"/>
    </row>
    <row r="1528" spans="1:1" ht="46.5" customHeight="1" x14ac:dyDescent="0.25">
      <c r="A1528" s="1"/>
    </row>
    <row r="1529" spans="1:1" ht="46.5" customHeight="1" x14ac:dyDescent="0.25">
      <c r="A1529" s="1"/>
    </row>
    <row r="1530" spans="1:1" ht="46.5" customHeight="1" x14ac:dyDescent="0.25">
      <c r="A1530" s="1"/>
    </row>
    <row r="1531" spans="1:1" ht="46.5" customHeight="1" x14ac:dyDescent="0.25">
      <c r="A1531" s="1"/>
    </row>
    <row r="1532" spans="1:1" ht="46.5" customHeight="1" x14ac:dyDescent="0.25">
      <c r="A1532" s="1"/>
    </row>
    <row r="1533" spans="1:1" ht="46.5" customHeight="1" x14ac:dyDescent="0.25">
      <c r="A1533" s="1"/>
    </row>
    <row r="1534" spans="1:1" ht="46.5" customHeight="1" x14ac:dyDescent="0.25">
      <c r="A1534" s="1"/>
    </row>
    <row r="1535" spans="1:1" ht="46.5" customHeight="1" x14ac:dyDescent="0.25">
      <c r="A1535" s="1"/>
    </row>
    <row r="1536" spans="1:1" ht="46.5" customHeight="1" x14ac:dyDescent="0.25">
      <c r="A1536" s="1"/>
    </row>
    <row r="1537" spans="1:1" ht="46.5" customHeight="1" x14ac:dyDescent="0.25">
      <c r="A1537" s="1"/>
    </row>
    <row r="1538" spans="1:1" ht="46.5" customHeight="1" x14ac:dyDescent="0.25">
      <c r="A1538" s="1"/>
    </row>
    <row r="1539" spans="1:1" ht="46.5" customHeight="1" x14ac:dyDescent="0.25">
      <c r="A1539" s="1"/>
    </row>
    <row r="1540" spans="1:1" ht="46.5" customHeight="1" x14ac:dyDescent="0.25">
      <c r="A1540" s="1"/>
    </row>
    <row r="1541" spans="1:1" ht="46.5" customHeight="1" x14ac:dyDescent="0.25">
      <c r="A1541" s="1"/>
    </row>
    <row r="1542" spans="1:1" ht="46.5" customHeight="1" x14ac:dyDescent="0.25">
      <c r="A1542" s="1"/>
    </row>
    <row r="1543" spans="1:1" ht="46.5" customHeight="1" x14ac:dyDescent="0.25">
      <c r="A1543" s="1"/>
    </row>
    <row r="1544" spans="1:1" ht="46.5" customHeight="1" x14ac:dyDescent="0.25">
      <c r="A1544" s="1"/>
    </row>
    <row r="1545" spans="1:1" ht="46.5" customHeight="1" x14ac:dyDescent="0.25">
      <c r="A1545" s="1"/>
    </row>
    <row r="1546" spans="1:1" ht="46.5" customHeight="1" x14ac:dyDescent="0.25">
      <c r="A1546" s="1"/>
    </row>
    <row r="1547" spans="1:1" ht="46.5" customHeight="1" x14ac:dyDescent="0.25">
      <c r="A1547" s="1"/>
    </row>
    <row r="1548" spans="1:1" ht="46.5" customHeight="1" x14ac:dyDescent="0.25">
      <c r="A1548" s="1"/>
    </row>
    <row r="1549" spans="1:1" ht="46.5" customHeight="1" x14ac:dyDescent="0.25">
      <c r="A1549" s="1"/>
    </row>
    <row r="1550" spans="1:1" ht="46.5" customHeight="1" x14ac:dyDescent="0.25">
      <c r="A1550" s="1"/>
    </row>
    <row r="1551" spans="1:1" ht="46.5" customHeight="1" x14ac:dyDescent="0.25">
      <c r="A1551" s="1"/>
    </row>
    <row r="1552" spans="1:1" ht="46.5" customHeight="1" x14ac:dyDescent="0.25">
      <c r="A1552" s="1"/>
    </row>
    <row r="1553" spans="1:1" ht="46.5" customHeight="1" x14ac:dyDescent="0.25">
      <c r="A1553" s="1"/>
    </row>
    <row r="1554" spans="1:1" ht="46.5" customHeight="1" x14ac:dyDescent="0.25">
      <c r="A1554" s="1"/>
    </row>
    <row r="1555" spans="1:1" ht="46.5" customHeight="1" x14ac:dyDescent="0.25">
      <c r="A1555" s="1"/>
    </row>
    <row r="1556" spans="1:1" ht="46.5" customHeight="1" x14ac:dyDescent="0.25">
      <c r="A1556" s="1"/>
    </row>
    <row r="1557" spans="1:1" ht="46.5" customHeight="1" x14ac:dyDescent="0.25">
      <c r="A1557" s="1"/>
    </row>
    <row r="1558" spans="1:1" ht="46.5" customHeight="1" x14ac:dyDescent="0.25">
      <c r="A1558" s="1"/>
    </row>
    <row r="1559" spans="1:1" ht="46.5" customHeight="1" x14ac:dyDescent="0.25">
      <c r="A1559" s="1"/>
    </row>
    <row r="1560" spans="1:1" ht="46.5" customHeight="1" x14ac:dyDescent="0.25">
      <c r="A1560" s="1"/>
    </row>
    <row r="1561" spans="1:1" ht="46.5" customHeight="1" x14ac:dyDescent="0.25">
      <c r="A1561" s="1"/>
    </row>
    <row r="1562" spans="1:1" ht="46.5" customHeight="1" x14ac:dyDescent="0.25">
      <c r="A1562" s="1"/>
    </row>
    <row r="1563" spans="1:1" ht="46.5" customHeight="1" x14ac:dyDescent="0.25">
      <c r="A1563" s="1"/>
    </row>
    <row r="1564" spans="1:1" ht="46.5" customHeight="1" x14ac:dyDescent="0.25">
      <c r="A1564" s="1"/>
    </row>
    <row r="1565" spans="1:1" ht="46.5" customHeight="1" x14ac:dyDescent="0.25">
      <c r="A1565" s="1"/>
    </row>
    <row r="1566" spans="1:1" ht="46.5" customHeight="1" x14ac:dyDescent="0.25">
      <c r="A1566" s="1"/>
    </row>
    <row r="1567" spans="1:1" ht="46.5" customHeight="1" x14ac:dyDescent="0.25">
      <c r="A1567" s="1"/>
    </row>
    <row r="1568" spans="1:1" ht="46.5" customHeight="1" x14ac:dyDescent="0.25">
      <c r="A1568" s="1"/>
    </row>
    <row r="1569" spans="1:1" ht="46.5" customHeight="1" x14ac:dyDescent="0.25">
      <c r="A1569" s="1"/>
    </row>
    <row r="1570" spans="1:1" ht="46.5" customHeight="1" x14ac:dyDescent="0.25">
      <c r="A1570" s="1"/>
    </row>
    <row r="1571" spans="1:1" ht="46.5" customHeight="1" x14ac:dyDescent="0.25">
      <c r="A1571" s="1"/>
    </row>
    <row r="1572" spans="1:1" ht="46.5" customHeight="1" x14ac:dyDescent="0.25">
      <c r="A1572" s="1"/>
    </row>
    <row r="1573" spans="1:1" ht="46.5" customHeight="1" x14ac:dyDescent="0.25">
      <c r="A1573" s="1"/>
    </row>
    <row r="1574" spans="1:1" ht="46.5" customHeight="1" x14ac:dyDescent="0.25">
      <c r="A1574" s="1"/>
    </row>
    <row r="1575" spans="1:1" ht="46.5" customHeight="1" x14ac:dyDescent="0.25">
      <c r="A1575" s="1"/>
    </row>
    <row r="1576" spans="1:1" ht="46.5" customHeight="1" x14ac:dyDescent="0.25">
      <c r="A1576" s="1"/>
    </row>
    <row r="1577" spans="1:1" ht="46.5" customHeight="1" x14ac:dyDescent="0.25">
      <c r="A1577" s="1"/>
    </row>
    <row r="1578" spans="1:1" ht="46.5" customHeight="1" x14ac:dyDescent="0.25">
      <c r="A1578" s="1"/>
    </row>
    <row r="1579" spans="1:1" ht="46.5" customHeight="1" x14ac:dyDescent="0.25">
      <c r="A1579" s="1"/>
    </row>
    <row r="1580" spans="1:1" ht="46.5" customHeight="1" x14ac:dyDescent="0.25">
      <c r="A1580" s="1"/>
    </row>
    <row r="1581" spans="1:1" ht="46.5" customHeight="1" x14ac:dyDescent="0.25">
      <c r="A1581" s="1"/>
    </row>
    <row r="1582" spans="1:1" ht="46.5" customHeight="1" x14ac:dyDescent="0.25">
      <c r="A1582" s="1"/>
    </row>
    <row r="1583" spans="1:1" ht="46.5" customHeight="1" x14ac:dyDescent="0.25">
      <c r="A1583" s="1"/>
    </row>
    <row r="1584" spans="1:1" ht="46.5" customHeight="1" x14ac:dyDescent="0.25">
      <c r="A1584" s="1"/>
    </row>
    <row r="1585" spans="1:1" ht="46.5" customHeight="1" x14ac:dyDescent="0.25">
      <c r="A1585" s="1"/>
    </row>
    <row r="1586" spans="1:1" ht="46.5" customHeight="1" x14ac:dyDescent="0.25">
      <c r="A1586" s="1"/>
    </row>
    <row r="1587" spans="1:1" ht="46.5" customHeight="1" x14ac:dyDescent="0.25">
      <c r="A1587" s="1"/>
    </row>
    <row r="1588" spans="1:1" ht="46.5" customHeight="1" x14ac:dyDescent="0.25">
      <c r="A1588" s="1"/>
    </row>
    <row r="1589" spans="1:1" ht="46.5" customHeight="1" x14ac:dyDescent="0.25">
      <c r="A1589" s="1"/>
    </row>
    <row r="1590" spans="1:1" ht="46.5" customHeight="1" x14ac:dyDescent="0.25">
      <c r="A1590" s="1"/>
    </row>
    <row r="1591" spans="1:1" ht="46.5" customHeight="1" x14ac:dyDescent="0.25">
      <c r="A1591" s="1"/>
    </row>
    <row r="1592" spans="1:1" ht="46.5" customHeight="1" x14ac:dyDescent="0.25">
      <c r="A1592" s="1"/>
    </row>
    <row r="1593" spans="1:1" ht="46.5" customHeight="1" x14ac:dyDescent="0.25">
      <c r="A1593" s="1"/>
    </row>
    <row r="1594" spans="1:1" ht="46.5" customHeight="1" x14ac:dyDescent="0.25">
      <c r="A1594" s="1"/>
    </row>
    <row r="1595" spans="1:1" ht="46.5" customHeight="1" x14ac:dyDescent="0.25">
      <c r="A1595" s="1"/>
    </row>
    <row r="1596" spans="1:1" ht="46.5" customHeight="1" x14ac:dyDescent="0.25">
      <c r="A1596" s="1"/>
    </row>
    <row r="1597" spans="1:1" ht="46.5" customHeight="1" x14ac:dyDescent="0.25">
      <c r="A1597" s="1"/>
    </row>
    <row r="1598" spans="1:1" ht="46.5" customHeight="1" x14ac:dyDescent="0.25">
      <c r="A1598" s="1"/>
    </row>
    <row r="1599" spans="1:1" ht="46.5" customHeight="1" x14ac:dyDescent="0.25">
      <c r="A1599" s="1"/>
    </row>
    <row r="1600" spans="1:1" ht="46.5" customHeight="1" x14ac:dyDescent="0.25">
      <c r="A1600" s="1"/>
    </row>
    <row r="1601" spans="1:1" ht="46.5" customHeight="1" x14ac:dyDescent="0.25">
      <c r="A1601" s="1"/>
    </row>
    <row r="1602" spans="1:1" ht="46.5" customHeight="1" x14ac:dyDescent="0.25">
      <c r="A1602" s="1"/>
    </row>
    <row r="1603" spans="1:1" ht="46.5" customHeight="1" x14ac:dyDescent="0.25">
      <c r="A1603" s="1"/>
    </row>
    <row r="1604" spans="1:1" ht="46.5" customHeight="1" x14ac:dyDescent="0.25">
      <c r="A1604" s="1"/>
    </row>
    <row r="1605" spans="1:1" ht="46.5" customHeight="1" x14ac:dyDescent="0.25">
      <c r="A1605" s="1"/>
    </row>
    <row r="1606" spans="1:1" ht="46.5" customHeight="1" x14ac:dyDescent="0.25">
      <c r="A1606" s="1"/>
    </row>
    <row r="1607" spans="1:1" ht="46.5" customHeight="1" x14ac:dyDescent="0.25">
      <c r="A1607" s="1"/>
    </row>
    <row r="1608" spans="1:1" ht="46.5" customHeight="1" x14ac:dyDescent="0.25">
      <c r="A1608" s="1"/>
    </row>
    <row r="1609" spans="1:1" ht="46.5" customHeight="1" x14ac:dyDescent="0.25">
      <c r="A1609" s="1"/>
    </row>
    <row r="1610" spans="1:1" ht="46.5" customHeight="1" x14ac:dyDescent="0.25">
      <c r="A1610" s="1"/>
    </row>
    <row r="1611" spans="1:1" ht="46.5" customHeight="1" x14ac:dyDescent="0.25">
      <c r="A1611" s="1"/>
    </row>
    <row r="1612" spans="1:1" ht="46.5" customHeight="1" x14ac:dyDescent="0.25">
      <c r="A1612" s="1"/>
    </row>
    <row r="1613" spans="1:1" ht="46.5" customHeight="1" x14ac:dyDescent="0.25">
      <c r="A1613" s="1"/>
    </row>
    <row r="1614" spans="1:1" ht="46.5" customHeight="1" x14ac:dyDescent="0.25">
      <c r="A1614" s="1"/>
    </row>
    <row r="1615" spans="1:1" ht="46.5" customHeight="1" x14ac:dyDescent="0.25">
      <c r="A1615" s="1"/>
    </row>
    <row r="1616" spans="1:1" ht="46.5" customHeight="1" x14ac:dyDescent="0.25">
      <c r="A1616" s="1"/>
    </row>
    <row r="1617" spans="1:1" ht="46.5" customHeight="1" x14ac:dyDescent="0.25">
      <c r="A1617" s="1"/>
    </row>
    <row r="1618" spans="1:1" ht="46.5" customHeight="1" x14ac:dyDescent="0.25">
      <c r="A1618" s="1"/>
    </row>
    <row r="1619" spans="1:1" ht="46.5" customHeight="1" x14ac:dyDescent="0.25">
      <c r="A1619" s="1"/>
    </row>
    <row r="1620" spans="1:1" ht="46.5" customHeight="1" x14ac:dyDescent="0.25">
      <c r="A1620" s="1"/>
    </row>
    <row r="1621" spans="1:1" ht="46.5" customHeight="1" x14ac:dyDescent="0.25">
      <c r="A1621" s="1"/>
    </row>
    <row r="1622" spans="1:1" ht="46.5" customHeight="1" x14ac:dyDescent="0.25">
      <c r="A1622" s="1"/>
    </row>
    <row r="1623" spans="1:1" ht="46.5" customHeight="1" x14ac:dyDescent="0.25">
      <c r="A1623" s="1"/>
    </row>
    <row r="1624" spans="1:1" ht="46.5" customHeight="1" x14ac:dyDescent="0.25">
      <c r="A1624" s="1"/>
    </row>
    <row r="1625" spans="1:1" ht="46.5" customHeight="1" x14ac:dyDescent="0.25">
      <c r="A1625" s="1"/>
    </row>
    <row r="1626" spans="1:1" ht="46.5" customHeight="1" x14ac:dyDescent="0.25">
      <c r="A1626" s="1"/>
    </row>
    <row r="1627" spans="1:1" ht="46.5" customHeight="1" x14ac:dyDescent="0.25">
      <c r="A1627" s="1"/>
    </row>
    <row r="1628" spans="1:1" ht="46.5" customHeight="1" x14ac:dyDescent="0.25">
      <c r="A1628" s="1"/>
    </row>
    <row r="1629" spans="1:1" ht="46.5" customHeight="1" x14ac:dyDescent="0.25">
      <c r="A1629" s="1"/>
    </row>
    <row r="1630" spans="1:1" ht="46.5" customHeight="1" x14ac:dyDescent="0.25">
      <c r="A1630" s="1"/>
    </row>
    <row r="1631" spans="1:1" ht="46.5" customHeight="1" x14ac:dyDescent="0.25">
      <c r="A1631" s="1"/>
    </row>
    <row r="1632" spans="1:1" ht="46.5" customHeight="1" x14ac:dyDescent="0.25">
      <c r="A1632" s="1"/>
    </row>
    <row r="1633" spans="1:1" ht="46.5" customHeight="1" x14ac:dyDescent="0.25">
      <c r="A1633" s="1"/>
    </row>
    <row r="1634" spans="1:1" ht="46.5" customHeight="1" x14ac:dyDescent="0.25">
      <c r="A1634" s="1"/>
    </row>
    <row r="1635" spans="1:1" ht="46.5" customHeight="1" x14ac:dyDescent="0.25">
      <c r="A1635" s="1"/>
    </row>
    <row r="1636" spans="1:1" ht="46.5" customHeight="1" x14ac:dyDescent="0.25">
      <c r="A1636" s="1"/>
    </row>
    <row r="1637" spans="1:1" ht="46.5" customHeight="1" x14ac:dyDescent="0.25">
      <c r="A1637" s="1"/>
    </row>
    <row r="1638" spans="1:1" ht="46.5" customHeight="1" x14ac:dyDescent="0.25">
      <c r="A1638" s="1"/>
    </row>
    <row r="1639" spans="1:1" ht="46.5" customHeight="1" x14ac:dyDescent="0.25">
      <c r="A1639" s="1"/>
    </row>
    <row r="1640" spans="1:1" ht="46.5" customHeight="1" x14ac:dyDescent="0.25">
      <c r="A1640" s="1"/>
    </row>
    <row r="1641" spans="1:1" ht="46.5" customHeight="1" x14ac:dyDescent="0.25">
      <c r="A1641" s="1"/>
    </row>
    <row r="1642" spans="1:1" ht="46.5" customHeight="1" x14ac:dyDescent="0.25">
      <c r="A1642" s="1"/>
    </row>
    <row r="1643" spans="1:1" ht="46.5" customHeight="1" x14ac:dyDescent="0.25">
      <c r="A1643" s="1"/>
    </row>
    <row r="1644" spans="1:1" ht="46.5" customHeight="1" x14ac:dyDescent="0.25">
      <c r="A1644" s="1"/>
    </row>
    <row r="1645" spans="1:1" ht="46.5" customHeight="1" x14ac:dyDescent="0.25">
      <c r="A1645" s="1"/>
    </row>
    <row r="1646" spans="1:1" ht="46.5" customHeight="1" x14ac:dyDescent="0.25">
      <c r="A1646" s="1"/>
    </row>
    <row r="1647" spans="1:1" ht="46.5" customHeight="1" x14ac:dyDescent="0.25">
      <c r="A1647" s="1"/>
    </row>
    <row r="1648" spans="1:1" ht="46.5" customHeight="1" x14ac:dyDescent="0.25">
      <c r="A1648" s="1"/>
    </row>
    <row r="1649" spans="1:1" ht="46.5" customHeight="1" x14ac:dyDescent="0.25">
      <c r="A1649" s="1"/>
    </row>
    <row r="1650" spans="1:1" ht="46.5" customHeight="1" x14ac:dyDescent="0.25">
      <c r="A1650" s="1"/>
    </row>
    <row r="1651" spans="1:1" ht="46.5" customHeight="1" x14ac:dyDescent="0.25">
      <c r="A1651" s="1"/>
    </row>
    <row r="1652" spans="1:1" ht="46.5" customHeight="1" x14ac:dyDescent="0.25">
      <c r="A1652" s="1"/>
    </row>
    <row r="1653" spans="1:1" ht="46.5" customHeight="1" x14ac:dyDescent="0.25">
      <c r="A1653" s="1"/>
    </row>
    <row r="1654" spans="1:1" ht="46.5" customHeight="1" x14ac:dyDescent="0.25">
      <c r="A1654" s="1"/>
    </row>
    <row r="1655" spans="1:1" ht="46.5" customHeight="1" x14ac:dyDescent="0.25">
      <c r="A1655" s="1"/>
    </row>
    <row r="1656" spans="1:1" ht="46.5" customHeight="1" x14ac:dyDescent="0.25">
      <c r="A1656" s="1"/>
    </row>
    <row r="1657" spans="1:1" ht="46.5" customHeight="1" x14ac:dyDescent="0.25">
      <c r="A1657" s="1"/>
    </row>
    <row r="1658" spans="1:1" ht="46.5" customHeight="1" x14ac:dyDescent="0.25">
      <c r="A1658" s="1"/>
    </row>
    <row r="1659" spans="1:1" ht="46.5" customHeight="1" x14ac:dyDescent="0.25">
      <c r="A1659" s="1"/>
    </row>
    <row r="1660" spans="1:1" ht="46.5" customHeight="1" x14ac:dyDescent="0.25">
      <c r="A1660" s="1"/>
    </row>
    <row r="1661" spans="1:1" ht="46.5" customHeight="1" x14ac:dyDescent="0.25">
      <c r="A1661" s="1"/>
    </row>
    <row r="1662" spans="1:1" ht="46.5" customHeight="1" x14ac:dyDescent="0.25">
      <c r="A1662" s="1"/>
    </row>
    <row r="1663" spans="1:1" ht="46.5" customHeight="1" x14ac:dyDescent="0.25">
      <c r="A1663" s="1"/>
    </row>
    <row r="1664" spans="1:1" ht="46.5" customHeight="1" x14ac:dyDescent="0.25">
      <c r="A1664" s="1"/>
    </row>
    <row r="1665" spans="1:1" ht="46.5" customHeight="1" x14ac:dyDescent="0.25">
      <c r="A1665" s="1"/>
    </row>
    <row r="1666" spans="1:1" ht="46.5" customHeight="1" x14ac:dyDescent="0.25">
      <c r="A1666" s="1"/>
    </row>
    <row r="1667" spans="1:1" ht="46.5" customHeight="1" x14ac:dyDescent="0.25">
      <c r="A1667" s="1"/>
    </row>
    <row r="1668" spans="1:1" ht="46.5" customHeight="1" x14ac:dyDescent="0.25">
      <c r="A1668" s="1"/>
    </row>
    <row r="1669" spans="1:1" ht="46.5" customHeight="1" x14ac:dyDescent="0.25">
      <c r="A1669" s="1"/>
    </row>
    <row r="1670" spans="1:1" ht="46.5" customHeight="1" x14ac:dyDescent="0.25">
      <c r="A1670" s="1"/>
    </row>
    <row r="1671" spans="1:1" ht="46.5" customHeight="1" x14ac:dyDescent="0.25">
      <c r="A1671" s="1"/>
    </row>
    <row r="1672" spans="1:1" ht="46.5" customHeight="1" x14ac:dyDescent="0.25">
      <c r="A1672" s="1"/>
    </row>
    <row r="1673" spans="1:1" ht="46.5" customHeight="1" x14ac:dyDescent="0.25">
      <c r="A1673" s="1"/>
    </row>
    <row r="1674" spans="1:1" ht="46.5" customHeight="1" x14ac:dyDescent="0.25">
      <c r="A1674" s="1"/>
    </row>
    <row r="1675" spans="1:1" ht="46.5" customHeight="1" x14ac:dyDescent="0.25">
      <c r="A1675" s="1"/>
    </row>
    <row r="1676" spans="1:1" ht="46.5" customHeight="1" x14ac:dyDescent="0.25">
      <c r="A1676" s="1"/>
    </row>
    <row r="1677" spans="1:1" ht="46.5" customHeight="1" x14ac:dyDescent="0.25">
      <c r="A1677" s="1"/>
    </row>
    <row r="1678" spans="1:1" ht="46.5" customHeight="1" x14ac:dyDescent="0.25">
      <c r="A1678" s="1"/>
    </row>
    <row r="1679" spans="1:1" ht="46.5" customHeight="1" x14ac:dyDescent="0.25">
      <c r="A1679" s="1"/>
    </row>
    <row r="1680" spans="1:1" ht="46.5" customHeight="1" x14ac:dyDescent="0.25">
      <c r="A1680" s="1"/>
    </row>
    <row r="1681" spans="1:1" ht="46.5" customHeight="1" x14ac:dyDescent="0.25">
      <c r="A1681" s="1"/>
    </row>
    <row r="1682" spans="1:1" ht="46.5" customHeight="1" x14ac:dyDescent="0.25">
      <c r="A1682" s="1"/>
    </row>
    <row r="1683" spans="1:1" ht="46.5" customHeight="1" x14ac:dyDescent="0.25">
      <c r="A1683" s="1"/>
    </row>
    <row r="1684" spans="1:1" ht="46.5" customHeight="1" x14ac:dyDescent="0.25">
      <c r="A1684" s="1"/>
    </row>
    <row r="1685" spans="1:1" ht="46.5" customHeight="1" x14ac:dyDescent="0.25">
      <c r="A1685" s="1"/>
    </row>
    <row r="1686" spans="1:1" ht="46.5" customHeight="1" x14ac:dyDescent="0.25">
      <c r="A1686" s="1"/>
    </row>
    <row r="1687" spans="1:1" ht="46.5" customHeight="1" x14ac:dyDescent="0.25">
      <c r="A1687" s="1"/>
    </row>
    <row r="1688" spans="1:1" ht="46.5" customHeight="1" x14ac:dyDescent="0.25">
      <c r="A1688" s="1"/>
    </row>
    <row r="1689" spans="1:1" ht="46.5" customHeight="1" x14ac:dyDescent="0.25">
      <c r="A1689" s="1"/>
    </row>
    <row r="1690" spans="1:1" ht="46.5" customHeight="1" x14ac:dyDescent="0.25">
      <c r="A1690" s="1"/>
    </row>
    <row r="1691" spans="1:1" ht="46.5" customHeight="1" x14ac:dyDescent="0.25">
      <c r="A1691" s="1"/>
    </row>
    <row r="1692" spans="1:1" ht="46.5" customHeight="1" x14ac:dyDescent="0.25">
      <c r="A1692" s="1"/>
    </row>
    <row r="1693" spans="1:1" ht="46.5" customHeight="1" x14ac:dyDescent="0.25">
      <c r="A1693" s="1"/>
    </row>
    <row r="1694" spans="1:1" ht="46.5" customHeight="1" x14ac:dyDescent="0.25">
      <c r="A1694" s="1"/>
    </row>
    <row r="1695" spans="1:1" ht="46.5" customHeight="1" x14ac:dyDescent="0.25">
      <c r="A1695" s="1"/>
    </row>
    <row r="1696" spans="1:1" ht="46.5" customHeight="1" x14ac:dyDescent="0.25">
      <c r="A1696" s="1"/>
    </row>
    <row r="1697" spans="1:1" ht="46.5" customHeight="1" x14ac:dyDescent="0.25">
      <c r="A1697" s="1"/>
    </row>
    <row r="1698" spans="1:1" ht="46.5" customHeight="1" x14ac:dyDescent="0.25">
      <c r="A1698" s="1"/>
    </row>
    <row r="1699" spans="1:1" ht="46.5" customHeight="1" x14ac:dyDescent="0.25">
      <c r="A1699" s="1"/>
    </row>
    <row r="1700" spans="1:1" ht="46.5" customHeight="1" x14ac:dyDescent="0.25">
      <c r="A1700" s="1"/>
    </row>
    <row r="1701" spans="1:1" ht="46.5" customHeight="1" x14ac:dyDescent="0.25">
      <c r="A1701" s="1"/>
    </row>
    <row r="1702" spans="1:1" ht="46.5" customHeight="1" x14ac:dyDescent="0.25">
      <c r="A1702" s="1"/>
    </row>
    <row r="1703" spans="1:1" ht="46.5" customHeight="1" x14ac:dyDescent="0.25">
      <c r="A1703" s="1"/>
    </row>
    <row r="1704" spans="1:1" ht="46.5" customHeight="1" x14ac:dyDescent="0.25">
      <c r="A1704" s="1"/>
    </row>
    <row r="1705" spans="1:1" ht="46.5" customHeight="1" x14ac:dyDescent="0.25">
      <c r="A1705" s="1"/>
    </row>
    <row r="1706" spans="1:1" ht="46.5" customHeight="1" x14ac:dyDescent="0.25">
      <c r="A1706" s="1"/>
    </row>
    <row r="1707" spans="1:1" ht="46.5" customHeight="1" x14ac:dyDescent="0.25">
      <c r="A1707" s="1"/>
    </row>
    <row r="1708" spans="1:1" ht="46.5" customHeight="1" x14ac:dyDescent="0.25">
      <c r="A1708" s="1"/>
    </row>
    <row r="1709" spans="1:1" ht="46.5" customHeight="1" x14ac:dyDescent="0.25">
      <c r="A1709" s="1"/>
    </row>
    <row r="1710" spans="1:1" ht="46.5" customHeight="1" x14ac:dyDescent="0.25">
      <c r="A1710" s="1"/>
    </row>
    <row r="1711" spans="1:1" ht="46.5" customHeight="1" x14ac:dyDescent="0.25">
      <c r="A1711" s="1"/>
    </row>
    <row r="1712" spans="1:1" ht="46.5" customHeight="1" x14ac:dyDescent="0.25">
      <c r="A1712" s="1"/>
    </row>
    <row r="1713" spans="1:1" ht="46.5" customHeight="1" x14ac:dyDescent="0.25">
      <c r="A1713" s="1"/>
    </row>
    <row r="1714" spans="1:1" ht="46.5" customHeight="1" x14ac:dyDescent="0.25">
      <c r="A1714" s="1"/>
    </row>
    <row r="1715" spans="1:1" ht="46.5" customHeight="1" x14ac:dyDescent="0.25">
      <c r="A1715" s="1"/>
    </row>
    <row r="1716" spans="1:1" ht="46.5" customHeight="1" x14ac:dyDescent="0.25">
      <c r="A1716" s="1"/>
    </row>
    <row r="1717" spans="1:1" ht="46.5" customHeight="1" x14ac:dyDescent="0.25">
      <c r="A1717" s="1"/>
    </row>
    <row r="1718" spans="1:1" ht="46.5" customHeight="1" x14ac:dyDescent="0.25">
      <c r="A1718" s="1"/>
    </row>
    <row r="1719" spans="1:1" ht="46.5" customHeight="1" x14ac:dyDescent="0.25">
      <c r="A1719" s="1"/>
    </row>
    <row r="1720" spans="1:1" ht="46.5" customHeight="1" x14ac:dyDescent="0.25">
      <c r="A1720" s="1"/>
    </row>
    <row r="1721" spans="1:1" ht="46.5" customHeight="1" x14ac:dyDescent="0.25">
      <c r="A1721" s="1"/>
    </row>
    <row r="1722" spans="1:1" ht="46.5" customHeight="1" x14ac:dyDescent="0.25">
      <c r="A1722" s="1"/>
    </row>
    <row r="1723" spans="1:1" ht="46.5" customHeight="1" x14ac:dyDescent="0.25">
      <c r="A1723" s="1"/>
    </row>
    <row r="1724" spans="1:1" ht="46.5" customHeight="1" x14ac:dyDescent="0.25">
      <c r="A1724" s="1"/>
    </row>
    <row r="1725" spans="1:1" ht="46.5" customHeight="1" x14ac:dyDescent="0.25">
      <c r="A1725" s="1"/>
    </row>
    <row r="1726" spans="1:1" ht="46.5" customHeight="1" x14ac:dyDescent="0.25">
      <c r="A1726" s="1"/>
    </row>
    <row r="1727" spans="1:1" ht="46.5" customHeight="1" x14ac:dyDescent="0.25">
      <c r="A1727" s="1"/>
    </row>
    <row r="1728" spans="1:1" ht="46.5" customHeight="1" x14ac:dyDescent="0.25">
      <c r="A1728" s="1"/>
    </row>
    <row r="1729" spans="1:1" ht="46.5" customHeight="1" x14ac:dyDescent="0.25">
      <c r="A1729" s="1"/>
    </row>
    <row r="1730" spans="1:1" ht="46.5" customHeight="1" x14ac:dyDescent="0.25">
      <c r="A1730" s="1"/>
    </row>
    <row r="1731" spans="1:1" ht="46.5" customHeight="1" x14ac:dyDescent="0.25">
      <c r="A1731" s="1"/>
    </row>
    <row r="1732" spans="1:1" ht="46.5" customHeight="1" x14ac:dyDescent="0.25">
      <c r="A1732" s="1"/>
    </row>
    <row r="1733" spans="1:1" ht="46.5" customHeight="1" x14ac:dyDescent="0.25">
      <c r="A1733" s="1"/>
    </row>
    <row r="1734" spans="1:1" ht="46.5" customHeight="1" x14ac:dyDescent="0.25">
      <c r="A1734" s="1"/>
    </row>
    <row r="1735" spans="1:1" ht="46.5" customHeight="1" x14ac:dyDescent="0.25">
      <c r="A1735" s="1"/>
    </row>
    <row r="1736" spans="1:1" ht="46.5" customHeight="1" x14ac:dyDescent="0.25">
      <c r="A1736" s="1"/>
    </row>
    <row r="1737" spans="1:1" ht="46.5" customHeight="1" x14ac:dyDescent="0.25">
      <c r="A1737" s="1"/>
    </row>
    <row r="1738" spans="1:1" ht="46.5" customHeight="1" x14ac:dyDescent="0.25">
      <c r="A1738" s="1"/>
    </row>
    <row r="1739" spans="1:1" ht="46.5" customHeight="1" x14ac:dyDescent="0.25">
      <c r="A1739" s="1"/>
    </row>
    <row r="1740" spans="1:1" ht="46.5" customHeight="1" x14ac:dyDescent="0.25">
      <c r="A1740" s="1"/>
    </row>
    <row r="1741" spans="1:1" ht="46.5" customHeight="1" x14ac:dyDescent="0.25">
      <c r="A1741" s="1"/>
    </row>
    <row r="1742" spans="1:1" ht="46.5" customHeight="1" x14ac:dyDescent="0.25">
      <c r="A1742" s="1"/>
    </row>
    <row r="1743" spans="1:1" ht="46.5" customHeight="1" x14ac:dyDescent="0.25">
      <c r="A1743" s="1"/>
    </row>
    <row r="1744" spans="1:1" ht="46.5" customHeight="1" x14ac:dyDescent="0.25">
      <c r="A1744" s="1"/>
    </row>
    <row r="1745" spans="1:1" ht="46.5" customHeight="1" x14ac:dyDescent="0.25">
      <c r="A1745" s="1"/>
    </row>
    <row r="1746" spans="1:1" ht="46.5" customHeight="1" x14ac:dyDescent="0.25">
      <c r="A1746" s="1"/>
    </row>
    <row r="1747" spans="1:1" ht="46.5" customHeight="1" x14ac:dyDescent="0.25">
      <c r="A1747" s="1"/>
    </row>
    <row r="1748" spans="1:1" ht="46.5" customHeight="1" x14ac:dyDescent="0.25">
      <c r="A1748" s="1"/>
    </row>
    <row r="1749" spans="1:1" ht="46.5" customHeight="1" x14ac:dyDescent="0.25">
      <c r="A1749" s="1"/>
    </row>
    <row r="1750" spans="1:1" ht="46.5" customHeight="1" x14ac:dyDescent="0.25">
      <c r="A1750" s="1"/>
    </row>
    <row r="1751" spans="1:1" ht="46.5" customHeight="1" x14ac:dyDescent="0.25">
      <c r="A1751" s="1"/>
    </row>
    <row r="1752" spans="1:1" ht="46.5" customHeight="1" x14ac:dyDescent="0.25">
      <c r="A1752" s="1"/>
    </row>
    <row r="1753" spans="1:1" ht="46.5" customHeight="1" x14ac:dyDescent="0.25">
      <c r="A1753" s="1"/>
    </row>
    <row r="1754" spans="1:1" ht="46.5" customHeight="1" x14ac:dyDescent="0.25">
      <c r="A1754" s="1"/>
    </row>
    <row r="1755" spans="1:1" ht="46.5" customHeight="1" x14ac:dyDescent="0.25">
      <c r="A1755" s="1"/>
    </row>
    <row r="1756" spans="1:1" ht="46.5" customHeight="1" x14ac:dyDescent="0.25">
      <c r="A1756" s="1"/>
    </row>
    <row r="1757" spans="1:1" ht="46.5" customHeight="1" x14ac:dyDescent="0.25">
      <c r="A1757" s="1"/>
    </row>
    <row r="1758" spans="1:1" ht="46.5" customHeight="1" x14ac:dyDescent="0.25">
      <c r="A1758" s="1"/>
    </row>
    <row r="1759" spans="1:1" ht="46.5" customHeight="1" x14ac:dyDescent="0.25">
      <c r="A1759" s="1"/>
    </row>
    <row r="1760" spans="1:1" ht="46.5" customHeight="1" x14ac:dyDescent="0.25">
      <c r="A1760" s="1"/>
    </row>
    <row r="1761" spans="1:1" ht="46.5" customHeight="1" x14ac:dyDescent="0.25">
      <c r="A1761" s="1"/>
    </row>
    <row r="1762" spans="1:1" ht="46.5" customHeight="1" x14ac:dyDescent="0.25">
      <c r="A1762" s="1"/>
    </row>
    <row r="1763" spans="1:1" ht="46.5" customHeight="1" x14ac:dyDescent="0.25">
      <c r="A1763" s="1"/>
    </row>
    <row r="1764" spans="1:1" ht="46.5" customHeight="1" x14ac:dyDescent="0.25">
      <c r="A1764" s="1"/>
    </row>
    <row r="1765" spans="1:1" ht="46.5" customHeight="1" x14ac:dyDescent="0.25">
      <c r="A1765" s="1"/>
    </row>
    <row r="1766" spans="1:1" ht="46.5" customHeight="1" x14ac:dyDescent="0.25">
      <c r="A1766" s="1"/>
    </row>
    <row r="1767" spans="1:1" ht="46.5" customHeight="1" x14ac:dyDescent="0.25">
      <c r="A1767" s="1"/>
    </row>
    <row r="1768" spans="1:1" ht="46.5" customHeight="1" x14ac:dyDescent="0.25">
      <c r="A1768" s="1"/>
    </row>
    <row r="1769" spans="1:1" ht="46.5" customHeight="1" x14ac:dyDescent="0.25">
      <c r="A1769" s="1"/>
    </row>
    <row r="1770" spans="1:1" ht="46.5" customHeight="1" x14ac:dyDescent="0.25">
      <c r="A1770" s="1"/>
    </row>
    <row r="1771" spans="1:1" ht="46.5" customHeight="1" x14ac:dyDescent="0.25">
      <c r="A1771" s="1"/>
    </row>
    <row r="1772" spans="1:1" ht="46.5" customHeight="1" x14ac:dyDescent="0.25">
      <c r="A1772" s="1"/>
    </row>
    <row r="1773" spans="1:1" ht="46.5" customHeight="1" x14ac:dyDescent="0.25">
      <c r="A1773" s="1"/>
    </row>
    <row r="1774" spans="1:1" ht="46.5" customHeight="1" x14ac:dyDescent="0.25">
      <c r="A1774" s="1"/>
    </row>
    <row r="1775" spans="1:1" ht="46.5" customHeight="1" x14ac:dyDescent="0.25">
      <c r="A1775" s="1"/>
    </row>
    <row r="1776" spans="1:1" ht="46.5" customHeight="1" x14ac:dyDescent="0.25">
      <c r="A1776" s="1"/>
    </row>
    <row r="1777" spans="1:1" ht="46.5" customHeight="1" x14ac:dyDescent="0.25">
      <c r="A1777" s="1"/>
    </row>
    <row r="1778" spans="1:1" ht="46.5" customHeight="1" x14ac:dyDescent="0.25">
      <c r="A1778" s="1"/>
    </row>
    <row r="1779" spans="1:1" ht="46.5" customHeight="1" x14ac:dyDescent="0.25">
      <c r="A1779" s="1"/>
    </row>
    <row r="1780" spans="1:1" ht="46.5" customHeight="1" x14ac:dyDescent="0.25">
      <c r="A1780" s="1"/>
    </row>
    <row r="1781" spans="1:1" ht="46.5" customHeight="1" x14ac:dyDescent="0.25">
      <c r="A1781" s="1"/>
    </row>
    <row r="1782" spans="1:1" ht="46.5" customHeight="1" x14ac:dyDescent="0.25">
      <c r="A1782" s="1"/>
    </row>
    <row r="1783" spans="1:1" ht="46.5" customHeight="1" x14ac:dyDescent="0.25">
      <c r="A1783" s="1"/>
    </row>
    <row r="1784" spans="1:1" ht="46.5" customHeight="1" x14ac:dyDescent="0.25">
      <c r="A1784" s="1"/>
    </row>
    <row r="1785" spans="1:1" ht="46.5" customHeight="1" x14ac:dyDescent="0.25">
      <c r="A1785" s="1"/>
    </row>
    <row r="1786" spans="1:1" ht="46.5" customHeight="1" x14ac:dyDescent="0.25">
      <c r="A1786" s="1"/>
    </row>
    <row r="1787" spans="1:1" ht="46.5" customHeight="1" x14ac:dyDescent="0.25">
      <c r="A1787" s="1"/>
    </row>
    <row r="1788" spans="1:1" ht="46.5" customHeight="1" x14ac:dyDescent="0.25">
      <c r="A1788" s="1"/>
    </row>
    <row r="1789" spans="1:1" ht="46.5" customHeight="1" x14ac:dyDescent="0.25">
      <c r="A1789" s="1"/>
    </row>
    <row r="1790" spans="1:1" ht="46.5" customHeight="1" x14ac:dyDescent="0.25">
      <c r="A1790" s="1"/>
    </row>
    <row r="1791" spans="1:1" ht="46.5" customHeight="1" x14ac:dyDescent="0.25">
      <c r="A1791" s="1"/>
    </row>
    <row r="1792" spans="1:1" ht="46.5" customHeight="1" x14ac:dyDescent="0.25">
      <c r="A1792" s="1"/>
    </row>
    <row r="1793" spans="1:1" ht="46.5" customHeight="1" x14ac:dyDescent="0.25">
      <c r="A1793" s="1"/>
    </row>
    <row r="1794" spans="1:1" ht="46.5" customHeight="1" x14ac:dyDescent="0.25">
      <c r="A1794" s="1"/>
    </row>
    <row r="1795" spans="1:1" ht="46.5" customHeight="1" x14ac:dyDescent="0.25">
      <c r="A1795" s="1"/>
    </row>
    <row r="1796" spans="1:1" ht="46.5" customHeight="1" x14ac:dyDescent="0.25">
      <c r="A1796" s="1"/>
    </row>
    <row r="1797" spans="1:1" ht="46.5" customHeight="1" x14ac:dyDescent="0.25">
      <c r="A1797" s="1"/>
    </row>
    <row r="1798" spans="1:1" ht="46.5" customHeight="1" x14ac:dyDescent="0.25">
      <c r="A1798" s="1"/>
    </row>
    <row r="1799" spans="1:1" ht="46.5" customHeight="1" x14ac:dyDescent="0.25">
      <c r="A1799" s="1"/>
    </row>
    <row r="1800" spans="1:1" ht="46.5" customHeight="1" x14ac:dyDescent="0.25">
      <c r="A1800" s="1"/>
    </row>
    <row r="1801" spans="1:1" ht="46.5" customHeight="1" x14ac:dyDescent="0.25">
      <c r="A1801" s="1"/>
    </row>
    <row r="1802" spans="1:1" ht="46.5" customHeight="1" x14ac:dyDescent="0.25">
      <c r="A1802" s="1"/>
    </row>
    <row r="1803" spans="1:1" ht="46.5" customHeight="1" x14ac:dyDescent="0.25">
      <c r="A1803" s="1"/>
    </row>
    <row r="1804" spans="1:1" ht="46.5" customHeight="1" x14ac:dyDescent="0.25">
      <c r="A1804" s="1"/>
    </row>
    <row r="1805" spans="1:1" ht="46.5" customHeight="1" x14ac:dyDescent="0.25">
      <c r="A1805" s="1"/>
    </row>
    <row r="1806" spans="1:1" ht="46.5" customHeight="1" x14ac:dyDescent="0.25">
      <c r="A1806" s="1"/>
    </row>
    <row r="1807" spans="1:1" ht="46.5" customHeight="1" x14ac:dyDescent="0.25">
      <c r="A1807" s="1"/>
    </row>
    <row r="1808" spans="1:1" ht="46.5" customHeight="1" x14ac:dyDescent="0.25">
      <c r="A1808" s="1"/>
    </row>
    <row r="1809" spans="1:1" ht="46.5" customHeight="1" x14ac:dyDescent="0.25">
      <c r="A1809" s="1"/>
    </row>
    <row r="1810" spans="1:1" ht="46.5" customHeight="1" x14ac:dyDescent="0.25">
      <c r="A1810" s="1"/>
    </row>
    <row r="1811" spans="1:1" ht="46.5" customHeight="1" x14ac:dyDescent="0.25">
      <c r="A1811" s="1"/>
    </row>
    <row r="1812" spans="1:1" ht="46.5" customHeight="1" x14ac:dyDescent="0.25">
      <c r="A1812" s="1"/>
    </row>
    <row r="1813" spans="1:1" ht="46.5" customHeight="1" x14ac:dyDescent="0.25">
      <c r="A1813" s="1"/>
    </row>
    <row r="1814" spans="1:1" ht="46.5" customHeight="1" x14ac:dyDescent="0.25">
      <c r="A1814" s="1"/>
    </row>
    <row r="1815" spans="1:1" ht="46.5" customHeight="1" x14ac:dyDescent="0.25">
      <c r="A1815" s="1"/>
    </row>
    <row r="1816" spans="1:1" ht="46.5" customHeight="1" x14ac:dyDescent="0.25">
      <c r="A1816" s="1"/>
    </row>
    <row r="1817" spans="1:1" ht="46.5" customHeight="1" x14ac:dyDescent="0.25">
      <c r="A1817" s="1"/>
    </row>
    <row r="1818" spans="1:1" ht="46.5" customHeight="1" x14ac:dyDescent="0.25">
      <c r="A1818" s="1"/>
    </row>
    <row r="1819" spans="1:1" ht="46.5" customHeight="1" x14ac:dyDescent="0.25">
      <c r="A1819" s="1"/>
    </row>
    <row r="1820" spans="1:1" ht="46.5" customHeight="1" x14ac:dyDescent="0.25">
      <c r="A1820" s="1"/>
    </row>
    <row r="1821" spans="1:1" ht="46.5" customHeight="1" x14ac:dyDescent="0.25">
      <c r="A1821" s="1"/>
    </row>
    <row r="1822" spans="1:1" ht="46.5" customHeight="1" x14ac:dyDescent="0.25">
      <c r="A1822" s="1"/>
    </row>
    <row r="1823" spans="1:1" ht="46.5" customHeight="1" x14ac:dyDescent="0.25">
      <c r="A1823" s="1"/>
    </row>
    <row r="1824" spans="1:1" ht="46.5" customHeight="1" x14ac:dyDescent="0.25">
      <c r="A1824" s="1"/>
    </row>
    <row r="1825" spans="1:1" ht="46.5" customHeight="1" x14ac:dyDescent="0.25">
      <c r="A1825" s="1"/>
    </row>
    <row r="1826" spans="1:1" ht="46.5" customHeight="1" x14ac:dyDescent="0.25">
      <c r="A1826" s="1"/>
    </row>
    <row r="1827" spans="1:1" ht="46.5" customHeight="1" x14ac:dyDescent="0.25">
      <c r="A1827" s="1"/>
    </row>
    <row r="1828" spans="1:1" ht="46.5" customHeight="1" x14ac:dyDescent="0.25">
      <c r="A1828" s="1"/>
    </row>
    <row r="1829" spans="1:1" ht="46.5" customHeight="1" x14ac:dyDescent="0.25">
      <c r="A1829" s="1"/>
    </row>
    <row r="1830" spans="1:1" ht="46.5" customHeight="1" x14ac:dyDescent="0.25">
      <c r="A1830" s="1"/>
    </row>
    <row r="1831" spans="1:1" ht="46.5" customHeight="1" x14ac:dyDescent="0.25">
      <c r="A1831" s="1"/>
    </row>
    <row r="1832" spans="1:1" ht="46.5" customHeight="1" x14ac:dyDescent="0.25">
      <c r="A1832" s="1"/>
    </row>
    <row r="1833" spans="1:1" ht="46.5" customHeight="1" x14ac:dyDescent="0.25">
      <c r="A1833" s="1"/>
    </row>
    <row r="1834" spans="1:1" ht="46.5" customHeight="1" x14ac:dyDescent="0.25">
      <c r="A1834" s="1"/>
    </row>
    <row r="1835" spans="1:1" ht="46.5" customHeight="1" x14ac:dyDescent="0.25">
      <c r="A1835" s="1"/>
    </row>
    <row r="1836" spans="1:1" ht="46.5" customHeight="1" x14ac:dyDescent="0.25">
      <c r="A1836" s="1"/>
    </row>
    <row r="1837" spans="1:1" ht="46.5" customHeight="1" x14ac:dyDescent="0.25">
      <c r="A1837" s="1"/>
    </row>
    <row r="1838" spans="1:1" ht="46.5" customHeight="1" x14ac:dyDescent="0.25">
      <c r="A1838" s="1"/>
    </row>
    <row r="1839" spans="1:1" ht="46.5" customHeight="1" x14ac:dyDescent="0.25">
      <c r="A1839" s="1"/>
    </row>
    <row r="1840" spans="1:1" ht="46.5" customHeight="1" x14ac:dyDescent="0.25">
      <c r="A1840" s="1"/>
    </row>
    <row r="1841" spans="1:1" ht="46.5" customHeight="1" x14ac:dyDescent="0.25">
      <c r="A1841" s="1"/>
    </row>
    <row r="1842" spans="1:1" ht="46.5" customHeight="1" x14ac:dyDescent="0.25">
      <c r="A1842" s="1"/>
    </row>
    <row r="1843" spans="1:1" ht="46.5" customHeight="1" x14ac:dyDescent="0.25">
      <c r="A1843" s="1"/>
    </row>
    <row r="1844" spans="1:1" ht="46.5" customHeight="1" x14ac:dyDescent="0.25">
      <c r="A1844" s="1"/>
    </row>
    <row r="1845" spans="1:1" ht="46.5" customHeight="1" x14ac:dyDescent="0.25">
      <c r="A1845" s="1"/>
    </row>
    <row r="1846" spans="1:1" ht="46.5" customHeight="1" x14ac:dyDescent="0.25">
      <c r="A1846" s="1"/>
    </row>
    <row r="1847" spans="1:1" ht="46.5" customHeight="1" x14ac:dyDescent="0.25">
      <c r="A1847" s="1"/>
    </row>
    <row r="1848" spans="1:1" ht="46.5" customHeight="1" x14ac:dyDescent="0.25">
      <c r="A1848" s="1"/>
    </row>
    <row r="1849" spans="1:1" ht="46.5" customHeight="1" x14ac:dyDescent="0.25">
      <c r="A1849" s="1"/>
    </row>
    <row r="1850" spans="1:1" ht="46.5" customHeight="1" x14ac:dyDescent="0.25">
      <c r="A1850" s="1"/>
    </row>
    <row r="1851" spans="1:1" ht="46.5" customHeight="1" x14ac:dyDescent="0.25">
      <c r="A1851" s="1"/>
    </row>
    <row r="1852" spans="1:1" ht="46.5" customHeight="1" x14ac:dyDescent="0.25">
      <c r="A1852" s="1"/>
    </row>
    <row r="1853" spans="1:1" ht="46.5" customHeight="1" x14ac:dyDescent="0.25">
      <c r="A1853" s="1"/>
    </row>
    <row r="1854" spans="1:1" ht="46.5" customHeight="1" x14ac:dyDescent="0.25">
      <c r="A1854" s="1"/>
    </row>
    <row r="1855" spans="1:1" ht="46.5" customHeight="1" x14ac:dyDescent="0.25">
      <c r="A1855" s="1"/>
    </row>
    <row r="1856" spans="1:1" ht="46.5" customHeight="1" x14ac:dyDescent="0.25">
      <c r="A1856" s="1"/>
    </row>
    <row r="1857" spans="1:1" ht="46.5" customHeight="1" x14ac:dyDescent="0.25">
      <c r="A1857" s="1"/>
    </row>
    <row r="1858" spans="1:1" ht="46.5" customHeight="1" x14ac:dyDescent="0.25">
      <c r="A1858" s="1"/>
    </row>
    <row r="1859" spans="1:1" ht="46.5" customHeight="1" x14ac:dyDescent="0.25">
      <c r="A1859" s="1"/>
    </row>
    <row r="1860" spans="1:1" ht="46.5" customHeight="1" x14ac:dyDescent="0.25">
      <c r="A1860" s="1"/>
    </row>
    <row r="1861" spans="1:1" ht="46.5" customHeight="1" x14ac:dyDescent="0.25">
      <c r="A1861" s="1"/>
    </row>
    <row r="1862" spans="1:1" ht="46.5" customHeight="1" x14ac:dyDescent="0.25">
      <c r="A1862" s="1"/>
    </row>
    <row r="1863" spans="1:1" ht="46.5" customHeight="1" x14ac:dyDescent="0.25">
      <c r="A1863" s="1"/>
    </row>
    <row r="1864" spans="1:1" ht="46.5" customHeight="1" x14ac:dyDescent="0.25">
      <c r="A1864" s="1"/>
    </row>
    <row r="1865" spans="1:1" ht="46.5" customHeight="1" x14ac:dyDescent="0.25">
      <c r="A1865" s="1"/>
    </row>
    <row r="1866" spans="1:1" ht="46.5" customHeight="1" x14ac:dyDescent="0.25">
      <c r="A1866" s="1"/>
    </row>
    <row r="1867" spans="1:1" ht="46.5" customHeight="1" x14ac:dyDescent="0.25">
      <c r="A1867" s="1"/>
    </row>
    <row r="1868" spans="1:1" ht="46.5" customHeight="1" x14ac:dyDescent="0.25">
      <c r="A1868" s="1"/>
    </row>
    <row r="1869" spans="1:1" ht="46.5" customHeight="1" x14ac:dyDescent="0.25">
      <c r="A1869" s="1"/>
    </row>
    <row r="1870" spans="1:1" ht="46.5" customHeight="1" x14ac:dyDescent="0.25">
      <c r="A1870" s="1"/>
    </row>
    <row r="1871" spans="1:1" ht="46.5" customHeight="1" x14ac:dyDescent="0.25">
      <c r="A1871" s="1"/>
    </row>
    <row r="1872" spans="1:1" ht="46.5" customHeight="1" x14ac:dyDescent="0.25">
      <c r="A1872" s="1"/>
    </row>
    <row r="1873" spans="1:1" ht="46.5" customHeight="1" x14ac:dyDescent="0.25">
      <c r="A1873" s="1"/>
    </row>
    <row r="1874" spans="1:1" ht="46.5" customHeight="1" x14ac:dyDescent="0.25">
      <c r="A1874" s="1"/>
    </row>
    <row r="1875" spans="1:1" ht="46.5" customHeight="1" x14ac:dyDescent="0.25">
      <c r="A1875" s="1"/>
    </row>
    <row r="1876" spans="1:1" ht="46.5" customHeight="1" x14ac:dyDescent="0.25">
      <c r="A1876" s="1"/>
    </row>
    <row r="1877" spans="1:1" ht="46.5" customHeight="1" x14ac:dyDescent="0.25">
      <c r="A1877" s="1"/>
    </row>
    <row r="1878" spans="1:1" ht="46.5" customHeight="1" x14ac:dyDescent="0.25">
      <c r="A1878" s="1"/>
    </row>
    <row r="1879" spans="1:1" ht="46.5" customHeight="1" x14ac:dyDescent="0.25">
      <c r="A1879" s="1"/>
    </row>
    <row r="1880" spans="1:1" ht="46.5" customHeight="1" x14ac:dyDescent="0.25">
      <c r="A1880" s="1"/>
    </row>
    <row r="1881" spans="1:1" ht="46.5" customHeight="1" x14ac:dyDescent="0.25">
      <c r="A1881" s="1"/>
    </row>
    <row r="1882" spans="1:1" ht="46.5" customHeight="1" x14ac:dyDescent="0.25">
      <c r="A1882" s="1"/>
    </row>
    <row r="1883" spans="1:1" ht="46.5" customHeight="1" x14ac:dyDescent="0.25">
      <c r="A1883" s="1"/>
    </row>
    <row r="1884" spans="1:1" ht="46.5" customHeight="1" x14ac:dyDescent="0.25">
      <c r="A1884" s="1"/>
    </row>
    <row r="1885" spans="1:1" ht="46.5" customHeight="1" x14ac:dyDescent="0.25">
      <c r="A1885" s="1"/>
    </row>
    <row r="1886" spans="1:1" ht="46.5" customHeight="1" x14ac:dyDescent="0.25">
      <c r="A1886" s="1"/>
    </row>
    <row r="1887" spans="1:1" ht="46.5" customHeight="1" x14ac:dyDescent="0.25">
      <c r="A1887" s="1"/>
    </row>
    <row r="1888" spans="1:1" ht="46.5" customHeight="1" x14ac:dyDescent="0.25">
      <c r="A1888" s="1"/>
    </row>
    <row r="1889" spans="1:1" ht="46.5" customHeight="1" x14ac:dyDescent="0.25">
      <c r="A1889" s="1"/>
    </row>
    <row r="1890" spans="1:1" ht="46.5" customHeight="1" x14ac:dyDescent="0.25">
      <c r="A1890" s="1"/>
    </row>
    <row r="1891" spans="1:1" ht="46.5" customHeight="1" x14ac:dyDescent="0.25">
      <c r="A1891" s="1"/>
    </row>
    <row r="1892" spans="1:1" ht="46.5" customHeight="1" x14ac:dyDescent="0.25">
      <c r="A1892" s="1"/>
    </row>
    <row r="1893" spans="1:1" ht="46.5" customHeight="1" x14ac:dyDescent="0.25">
      <c r="A1893" s="1"/>
    </row>
    <row r="1894" spans="1:1" ht="46.5" customHeight="1" x14ac:dyDescent="0.25">
      <c r="A1894" s="1"/>
    </row>
    <row r="1895" spans="1:1" ht="46.5" customHeight="1" x14ac:dyDescent="0.25">
      <c r="A1895" s="1"/>
    </row>
    <row r="1896" spans="1:1" ht="46.5" customHeight="1" x14ac:dyDescent="0.25">
      <c r="A1896" s="1"/>
    </row>
    <row r="1897" spans="1:1" ht="46.5" customHeight="1" x14ac:dyDescent="0.25">
      <c r="A1897" s="1"/>
    </row>
    <row r="1898" spans="1:1" ht="46.5" customHeight="1" x14ac:dyDescent="0.25">
      <c r="A1898" s="1"/>
    </row>
    <row r="1899" spans="1:1" ht="46.5" customHeight="1" x14ac:dyDescent="0.25">
      <c r="A1899" s="1"/>
    </row>
    <row r="1900" spans="1:1" ht="46.5" customHeight="1" x14ac:dyDescent="0.25">
      <c r="A1900" s="1"/>
    </row>
    <row r="1901" spans="1:1" ht="46.5" customHeight="1" x14ac:dyDescent="0.25">
      <c r="A1901" s="1"/>
    </row>
    <row r="1902" spans="1:1" ht="46.5" customHeight="1" x14ac:dyDescent="0.25">
      <c r="A1902" s="1"/>
    </row>
    <row r="1903" spans="1:1" ht="46.5" customHeight="1" x14ac:dyDescent="0.25">
      <c r="A1903" s="1"/>
    </row>
    <row r="1904" spans="1:1" ht="46.5" customHeight="1" x14ac:dyDescent="0.25">
      <c r="A1904" s="1"/>
    </row>
    <row r="1905" spans="1:1" ht="46.5" customHeight="1" x14ac:dyDescent="0.25">
      <c r="A1905" s="1"/>
    </row>
    <row r="1906" spans="1:1" ht="46.5" customHeight="1" x14ac:dyDescent="0.25">
      <c r="A1906" s="1"/>
    </row>
    <row r="1907" spans="1:1" ht="46.5" customHeight="1" x14ac:dyDescent="0.25">
      <c r="A1907" s="1"/>
    </row>
    <row r="1908" spans="1:1" ht="46.5" customHeight="1" x14ac:dyDescent="0.25">
      <c r="A1908" s="1"/>
    </row>
    <row r="1909" spans="1:1" ht="46.5" customHeight="1" x14ac:dyDescent="0.25">
      <c r="A1909" s="1"/>
    </row>
    <row r="1910" spans="1:1" ht="46.5" customHeight="1" x14ac:dyDescent="0.25">
      <c r="A1910" s="1"/>
    </row>
    <row r="1911" spans="1:1" ht="46.5" customHeight="1" x14ac:dyDescent="0.25">
      <c r="A1911" s="1"/>
    </row>
    <row r="1912" spans="1:1" ht="46.5" customHeight="1" x14ac:dyDescent="0.25">
      <c r="A1912" s="1"/>
    </row>
    <row r="1913" spans="1:1" ht="46.5" customHeight="1" x14ac:dyDescent="0.25">
      <c r="A1913" s="1"/>
    </row>
    <row r="1914" spans="1:1" ht="46.5" customHeight="1" x14ac:dyDescent="0.25">
      <c r="A1914" s="1"/>
    </row>
    <row r="1915" spans="1:1" ht="46.5" customHeight="1" x14ac:dyDescent="0.25">
      <c r="A1915" s="1"/>
    </row>
    <row r="1916" spans="1:1" ht="46.5" customHeight="1" x14ac:dyDescent="0.25">
      <c r="A1916" s="1"/>
    </row>
    <row r="1917" spans="1:1" ht="46.5" customHeight="1" x14ac:dyDescent="0.25">
      <c r="A1917" s="1"/>
    </row>
    <row r="1918" spans="1:1" ht="46.5" customHeight="1" x14ac:dyDescent="0.25">
      <c r="A1918" s="1"/>
    </row>
    <row r="1919" spans="1:1" ht="46.5" customHeight="1" x14ac:dyDescent="0.25">
      <c r="A1919" s="1"/>
    </row>
    <row r="1920" spans="1:1" ht="46.5" customHeight="1" x14ac:dyDescent="0.25">
      <c r="A1920" s="1"/>
    </row>
    <row r="1921" spans="1:1" ht="46.5" customHeight="1" x14ac:dyDescent="0.25">
      <c r="A1921" s="1"/>
    </row>
    <row r="1922" spans="1:1" ht="46.5" customHeight="1" x14ac:dyDescent="0.25">
      <c r="A1922" s="1"/>
    </row>
    <row r="1923" spans="1:1" ht="46.5" customHeight="1" x14ac:dyDescent="0.25">
      <c r="A1923" s="1"/>
    </row>
    <row r="1924" spans="1:1" ht="46.5" customHeight="1" x14ac:dyDescent="0.25">
      <c r="A1924" s="1"/>
    </row>
    <row r="1925" spans="1:1" ht="46.5" customHeight="1" x14ac:dyDescent="0.25">
      <c r="A1925" s="1"/>
    </row>
    <row r="1926" spans="1:1" ht="46.5" customHeight="1" x14ac:dyDescent="0.25">
      <c r="A1926" s="1"/>
    </row>
    <row r="1927" spans="1:1" ht="46.5" customHeight="1" x14ac:dyDescent="0.25">
      <c r="A1927" s="1"/>
    </row>
    <row r="1928" spans="1:1" ht="46.5" customHeight="1" x14ac:dyDescent="0.25">
      <c r="A1928" s="1"/>
    </row>
    <row r="1929" spans="1:1" ht="46.5" customHeight="1" x14ac:dyDescent="0.25">
      <c r="A1929" s="1"/>
    </row>
    <row r="1930" spans="1:1" ht="46.5" customHeight="1" x14ac:dyDescent="0.25">
      <c r="A1930" s="1"/>
    </row>
    <row r="1931" spans="1:1" ht="46.5" customHeight="1" x14ac:dyDescent="0.25">
      <c r="A1931" s="1"/>
    </row>
    <row r="1932" spans="1:1" ht="46.5" customHeight="1" x14ac:dyDescent="0.25">
      <c r="A1932" s="1"/>
    </row>
    <row r="1933" spans="1:1" ht="46.5" customHeight="1" x14ac:dyDescent="0.25">
      <c r="A1933" s="1"/>
    </row>
    <row r="1934" spans="1:1" ht="46.5" customHeight="1" x14ac:dyDescent="0.25">
      <c r="A1934" s="1"/>
    </row>
    <row r="1935" spans="1:1" ht="46.5" customHeight="1" x14ac:dyDescent="0.25">
      <c r="A1935" s="1"/>
    </row>
    <row r="1936" spans="1:1" ht="46.5" customHeight="1" x14ac:dyDescent="0.25">
      <c r="A1936" s="1"/>
    </row>
    <row r="1937" spans="1:1" ht="46.5" customHeight="1" x14ac:dyDescent="0.25">
      <c r="A1937" s="1"/>
    </row>
    <row r="1938" spans="1:1" ht="46.5" customHeight="1" x14ac:dyDescent="0.25">
      <c r="A1938" s="1"/>
    </row>
    <row r="1939" spans="1:1" ht="46.5" customHeight="1" x14ac:dyDescent="0.25">
      <c r="A1939" s="1"/>
    </row>
    <row r="1940" spans="1:1" ht="46.5" customHeight="1" x14ac:dyDescent="0.25">
      <c r="A1940" s="1"/>
    </row>
    <row r="1941" spans="1:1" ht="46.5" customHeight="1" x14ac:dyDescent="0.25">
      <c r="A1941" s="1"/>
    </row>
    <row r="1942" spans="1:1" ht="46.5" customHeight="1" x14ac:dyDescent="0.25">
      <c r="A1942" s="1"/>
    </row>
    <row r="1943" spans="1:1" ht="46.5" customHeight="1" x14ac:dyDescent="0.25">
      <c r="A1943" s="1"/>
    </row>
    <row r="1944" spans="1:1" ht="46.5" customHeight="1" x14ac:dyDescent="0.25">
      <c r="A1944" s="1"/>
    </row>
    <row r="1945" spans="1:1" ht="46.5" customHeight="1" x14ac:dyDescent="0.25">
      <c r="A1945" s="1"/>
    </row>
    <row r="1946" spans="1:1" ht="46.5" customHeight="1" x14ac:dyDescent="0.25">
      <c r="A1946" s="1"/>
    </row>
    <row r="1947" spans="1:1" ht="46.5" customHeight="1" x14ac:dyDescent="0.25">
      <c r="A1947" s="1"/>
    </row>
    <row r="1948" spans="1:1" ht="46.5" customHeight="1" x14ac:dyDescent="0.25">
      <c r="A1948" s="1"/>
    </row>
    <row r="1949" spans="1:1" ht="46.5" customHeight="1" x14ac:dyDescent="0.25">
      <c r="A1949" s="1"/>
    </row>
    <row r="1950" spans="1:1" ht="46.5" customHeight="1" x14ac:dyDescent="0.25">
      <c r="A1950" s="1"/>
    </row>
    <row r="1951" spans="1:1" ht="46.5" customHeight="1" x14ac:dyDescent="0.25">
      <c r="A1951" s="1"/>
    </row>
    <row r="1952" spans="1:1" ht="46.5" customHeight="1" x14ac:dyDescent="0.25">
      <c r="A1952" s="1"/>
    </row>
    <row r="1953" spans="1:1" ht="46.5" customHeight="1" x14ac:dyDescent="0.25">
      <c r="A1953" s="1"/>
    </row>
    <row r="1954" spans="1:1" ht="46.5" customHeight="1" x14ac:dyDescent="0.25">
      <c r="A1954" s="1"/>
    </row>
    <row r="1955" spans="1:1" ht="46.5" customHeight="1" x14ac:dyDescent="0.25">
      <c r="A1955" s="1"/>
    </row>
    <row r="1956" spans="1:1" ht="46.5" customHeight="1" x14ac:dyDescent="0.25">
      <c r="A1956" s="1"/>
    </row>
    <row r="1957" spans="1:1" ht="46.5" customHeight="1" x14ac:dyDescent="0.25">
      <c r="A1957" s="1"/>
    </row>
    <row r="1958" spans="1:1" ht="46.5" customHeight="1" x14ac:dyDescent="0.25">
      <c r="A1958" s="1"/>
    </row>
    <row r="1959" spans="1:1" ht="46.5" customHeight="1" x14ac:dyDescent="0.25">
      <c r="A1959" s="1"/>
    </row>
    <row r="1960" spans="1:1" ht="46.5" customHeight="1" x14ac:dyDescent="0.25">
      <c r="A1960" s="1"/>
    </row>
    <row r="1961" spans="1:1" ht="46.5" customHeight="1" x14ac:dyDescent="0.25">
      <c r="A1961" s="1"/>
    </row>
    <row r="1962" spans="1:1" ht="46.5" customHeight="1" x14ac:dyDescent="0.25">
      <c r="A1962" s="1"/>
    </row>
    <row r="1963" spans="1:1" ht="46.5" customHeight="1" x14ac:dyDescent="0.25">
      <c r="A1963" s="1"/>
    </row>
    <row r="1964" spans="1:1" ht="46.5" customHeight="1" x14ac:dyDescent="0.25">
      <c r="A1964" s="1"/>
    </row>
    <row r="1965" spans="1:1" ht="46.5" customHeight="1" x14ac:dyDescent="0.25">
      <c r="A1965" s="1"/>
    </row>
    <row r="1966" spans="1:1" ht="46.5" customHeight="1" x14ac:dyDescent="0.25">
      <c r="A1966" s="1"/>
    </row>
    <row r="1967" spans="1:1" ht="46.5" customHeight="1" x14ac:dyDescent="0.25">
      <c r="A1967" s="1"/>
    </row>
    <row r="1968" spans="1:1" ht="46.5" customHeight="1" x14ac:dyDescent="0.25">
      <c r="A1968" s="1"/>
    </row>
    <row r="1969" spans="1:1" ht="46.5" customHeight="1" x14ac:dyDescent="0.25">
      <c r="A1969" s="1"/>
    </row>
    <row r="1970" spans="1:1" ht="46.5" customHeight="1" x14ac:dyDescent="0.25">
      <c r="A1970" s="1"/>
    </row>
    <row r="1971" spans="1:1" ht="46.5" customHeight="1" x14ac:dyDescent="0.25">
      <c r="A1971" s="1"/>
    </row>
    <row r="1972" spans="1:1" ht="46.5" customHeight="1" x14ac:dyDescent="0.25">
      <c r="A1972" s="1"/>
    </row>
    <row r="1973" spans="1:1" ht="46.5" customHeight="1" x14ac:dyDescent="0.25">
      <c r="A1973" s="1"/>
    </row>
    <row r="1974" spans="1:1" ht="46.5" customHeight="1" x14ac:dyDescent="0.25">
      <c r="A1974" s="1"/>
    </row>
    <row r="1975" spans="1:1" ht="46.5" customHeight="1" x14ac:dyDescent="0.25">
      <c r="A1975" s="1"/>
    </row>
    <row r="1976" spans="1:1" ht="46.5" customHeight="1" x14ac:dyDescent="0.25">
      <c r="A1976" s="1"/>
    </row>
    <row r="1977" spans="1:1" ht="46.5" customHeight="1" x14ac:dyDescent="0.25">
      <c r="A1977" s="1"/>
    </row>
    <row r="1978" spans="1:1" ht="46.5" customHeight="1" x14ac:dyDescent="0.25">
      <c r="A1978" s="1"/>
    </row>
    <row r="1979" spans="1:1" ht="46.5" customHeight="1" x14ac:dyDescent="0.25">
      <c r="A1979" s="1"/>
    </row>
    <row r="1980" spans="1:1" ht="46.5" customHeight="1" x14ac:dyDescent="0.25">
      <c r="A1980" s="1"/>
    </row>
    <row r="1981" spans="1:1" ht="46.5" customHeight="1" x14ac:dyDescent="0.25">
      <c r="A1981" s="1"/>
    </row>
    <row r="1982" spans="1:1" ht="46.5" customHeight="1" x14ac:dyDescent="0.25">
      <c r="A1982" s="1"/>
    </row>
    <row r="1983" spans="1:1" ht="46.5" customHeight="1" x14ac:dyDescent="0.25">
      <c r="A1983" s="1"/>
    </row>
    <row r="1984" spans="1:1" ht="46.5" customHeight="1" x14ac:dyDescent="0.25">
      <c r="A1984" s="1"/>
    </row>
    <row r="1985" spans="1:1" ht="46.5" customHeight="1" x14ac:dyDescent="0.25">
      <c r="A1985" s="1"/>
    </row>
    <row r="1986" spans="1:1" ht="46.5" customHeight="1" x14ac:dyDescent="0.25">
      <c r="A1986" s="1"/>
    </row>
    <row r="1987" spans="1:1" ht="46.5" customHeight="1" x14ac:dyDescent="0.25">
      <c r="A1987" s="1"/>
    </row>
    <row r="1988" spans="1:1" ht="46.5" customHeight="1" x14ac:dyDescent="0.25">
      <c r="A1988" s="1"/>
    </row>
    <row r="1989" spans="1:1" ht="46.5" customHeight="1" x14ac:dyDescent="0.25">
      <c r="A1989" s="1"/>
    </row>
    <row r="1990" spans="1:1" ht="46.5" customHeight="1" x14ac:dyDescent="0.25">
      <c r="A1990" s="1"/>
    </row>
    <row r="1991" spans="1:1" ht="46.5" customHeight="1" x14ac:dyDescent="0.25">
      <c r="A1991" s="1"/>
    </row>
    <row r="1992" spans="1:1" ht="46.5" customHeight="1" x14ac:dyDescent="0.25">
      <c r="A1992" s="1"/>
    </row>
    <row r="1993" spans="1:1" ht="46.5" customHeight="1" x14ac:dyDescent="0.25">
      <c r="A1993" s="1"/>
    </row>
    <row r="1994" spans="1:1" ht="46.5" customHeight="1" x14ac:dyDescent="0.25">
      <c r="A1994" s="1"/>
    </row>
    <row r="1995" spans="1:1" ht="46.5" customHeight="1" x14ac:dyDescent="0.25">
      <c r="A1995" s="1"/>
    </row>
    <row r="1996" spans="1:1" ht="46.5" customHeight="1" x14ac:dyDescent="0.25">
      <c r="A1996" s="1"/>
    </row>
    <row r="1997" spans="1:1" ht="46.5" customHeight="1" x14ac:dyDescent="0.25">
      <c r="A1997" s="1"/>
    </row>
    <row r="1998" spans="1:1" ht="46.5" customHeight="1" x14ac:dyDescent="0.25">
      <c r="A1998" s="1"/>
    </row>
    <row r="1999" spans="1:1" ht="46.5" customHeight="1" x14ac:dyDescent="0.25">
      <c r="A1999" s="1"/>
    </row>
    <row r="2000" spans="1:1" ht="46.5" customHeight="1" x14ac:dyDescent="0.25">
      <c r="A2000" s="1"/>
    </row>
    <row r="2001" spans="1:1" ht="46.5" customHeight="1" x14ac:dyDescent="0.25">
      <c r="A2001" s="1"/>
    </row>
    <row r="2002" spans="1:1" ht="46.5" customHeight="1" x14ac:dyDescent="0.25">
      <c r="A2002" s="1"/>
    </row>
    <row r="2003" spans="1:1" ht="46.5" customHeight="1" x14ac:dyDescent="0.25">
      <c r="A2003" s="1"/>
    </row>
    <row r="2004" spans="1:1" ht="46.5" customHeight="1" x14ac:dyDescent="0.25">
      <c r="A2004" s="1"/>
    </row>
    <row r="2005" spans="1:1" ht="46.5" customHeight="1" x14ac:dyDescent="0.25">
      <c r="A2005" s="1"/>
    </row>
    <row r="2006" spans="1:1" ht="46.5" customHeight="1" x14ac:dyDescent="0.25">
      <c r="A2006" s="1"/>
    </row>
    <row r="2007" spans="1:1" ht="46.5" customHeight="1" x14ac:dyDescent="0.25">
      <c r="A2007" s="1"/>
    </row>
    <row r="2008" spans="1:1" ht="46.5" customHeight="1" x14ac:dyDescent="0.25">
      <c r="A2008" s="1"/>
    </row>
    <row r="2009" spans="1:1" ht="46.5" customHeight="1" x14ac:dyDescent="0.25">
      <c r="A2009" s="1"/>
    </row>
    <row r="2010" spans="1:1" ht="46.5" customHeight="1" x14ac:dyDescent="0.25">
      <c r="A2010" s="1"/>
    </row>
    <row r="2011" spans="1:1" ht="46.5" customHeight="1" x14ac:dyDescent="0.25">
      <c r="A2011" s="1"/>
    </row>
    <row r="2012" spans="1:1" ht="46.5" customHeight="1" x14ac:dyDescent="0.25">
      <c r="A2012" s="1"/>
    </row>
    <row r="2013" spans="1:1" ht="46.5" customHeight="1" x14ac:dyDescent="0.25">
      <c r="A2013" s="1"/>
    </row>
    <row r="2014" spans="1:1" ht="46.5" customHeight="1" x14ac:dyDescent="0.25">
      <c r="A2014" s="1"/>
    </row>
    <row r="2015" spans="1:1" ht="46.5" customHeight="1" x14ac:dyDescent="0.25">
      <c r="A2015" s="1"/>
    </row>
    <row r="2016" spans="1:1" ht="46.5" customHeight="1" x14ac:dyDescent="0.25">
      <c r="A2016" s="1"/>
    </row>
    <row r="2017" spans="1:1" ht="46.5" customHeight="1" x14ac:dyDescent="0.25">
      <c r="A2017" s="1"/>
    </row>
    <row r="2018" spans="1:1" ht="46.5" customHeight="1" x14ac:dyDescent="0.25">
      <c r="A2018" s="1"/>
    </row>
    <row r="2019" spans="1:1" ht="46.5" customHeight="1" x14ac:dyDescent="0.25">
      <c r="A2019" s="1"/>
    </row>
    <row r="2020" spans="1:1" ht="46.5" customHeight="1" x14ac:dyDescent="0.25">
      <c r="A2020" s="1"/>
    </row>
    <row r="2021" spans="1:1" ht="46.5" customHeight="1" x14ac:dyDescent="0.25">
      <c r="A2021" s="1"/>
    </row>
    <row r="2022" spans="1:1" ht="46.5" customHeight="1" x14ac:dyDescent="0.25">
      <c r="A2022" s="1"/>
    </row>
    <row r="2023" spans="1:1" ht="46.5" customHeight="1" x14ac:dyDescent="0.25">
      <c r="A2023" s="1"/>
    </row>
    <row r="2024" spans="1:1" ht="46.5" customHeight="1" x14ac:dyDescent="0.25">
      <c r="A2024" s="1"/>
    </row>
    <row r="2025" spans="1:1" ht="46.5" customHeight="1" x14ac:dyDescent="0.25">
      <c r="A2025" s="1"/>
    </row>
    <row r="2026" spans="1:1" ht="46.5" customHeight="1" x14ac:dyDescent="0.25">
      <c r="A2026" s="1"/>
    </row>
    <row r="2027" spans="1:1" ht="46.5" customHeight="1" x14ac:dyDescent="0.25">
      <c r="A2027" s="1"/>
    </row>
    <row r="2028" spans="1:1" ht="46.5" customHeight="1" x14ac:dyDescent="0.25">
      <c r="A2028" s="1"/>
    </row>
    <row r="2029" spans="1:1" ht="46.5" customHeight="1" x14ac:dyDescent="0.25">
      <c r="A2029" s="1"/>
    </row>
    <row r="2030" spans="1:1" ht="46.5" customHeight="1" x14ac:dyDescent="0.25">
      <c r="A2030" s="1"/>
    </row>
    <row r="2031" spans="1:1" ht="46.5" customHeight="1" x14ac:dyDescent="0.25">
      <c r="A2031" s="1"/>
    </row>
    <row r="2032" spans="1:1" ht="46.5" customHeight="1" x14ac:dyDescent="0.25">
      <c r="A2032" s="1"/>
    </row>
    <row r="2033" spans="1:1" ht="46.5" customHeight="1" x14ac:dyDescent="0.25">
      <c r="A2033" s="1"/>
    </row>
    <row r="2034" spans="1:1" ht="46.5" customHeight="1" x14ac:dyDescent="0.25">
      <c r="A2034" s="1"/>
    </row>
    <row r="2035" spans="1:1" ht="46.5" customHeight="1" x14ac:dyDescent="0.25">
      <c r="A2035" s="1"/>
    </row>
    <row r="2036" spans="1:1" ht="46.5" customHeight="1" x14ac:dyDescent="0.25">
      <c r="A2036" s="1"/>
    </row>
    <row r="2037" spans="1:1" ht="46.5" customHeight="1" x14ac:dyDescent="0.25">
      <c r="A2037" s="1"/>
    </row>
    <row r="2038" spans="1:1" ht="46.5" customHeight="1" x14ac:dyDescent="0.25">
      <c r="A2038" s="1"/>
    </row>
    <row r="2039" spans="1:1" ht="46.5" customHeight="1" x14ac:dyDescent="0.25">
      <c r="A2039" s="1"/>
    </row>
    <row r="2040" spans="1:1" ht="46.5" customHeight="1" x14ac:dyDescent="0.25">
      <c r="A2040" s="1"/>
    </row>
    <row r="2041" spans="1:1" ht="46.5" customHeight="1" x14ac:dyDescent="0.25">
      <c r="A2041" s="1"/>
    </row>
    <row r="2042" spans="1:1" ht="46.5" customHeight="1" x14ac:dyDescent="0.25">
      <c r="A2042" s="1"/>
    </row>
    <row r="2043" spans="1:1" ht="46.5" customHeight="1" x14ac:dyDescent="0.25">
      <c r="A2043" s="1"/>
    </row>
    <row r="2044" spans="1:1" ht="46.5" customHeight="1" x14ac:dyDescent="0.25">
      <c r="A2044" s="1"/>
    </row>
    <row r="2045" spans="1:1" ht="46.5" customHeight="1" x14ac:dyDescent="0.25">
      <c r="A2045" s="1"/>
    </row>
    <row r="2046" spans="1:1" ht="46.5" customHeight="1" x14ac:dyDescent="0.25">
      <c r="A2046" s="1"/>
    </row>
    <row r="2047" spans="1:1" ht="46.5" customHeight="1" x14ac:dyDescent="0.25">
      <c r="A2047" s="1"/>
    </row>
    <row r="2048" spans="1:1" ht="46.5" customHeight="1" x14ac:dyDescent="0.25">
      <c r="A2048" s="1"/>
    </row>
    <row r="2049" spans="1:1" ht="46.5" customHeight="1" x14ac:dyDescent="0.25">
      <c r="A2049" s="1"/>
    </row>
    <row r="2050" spans="1:1" ht="46.5" customHeight="1" x14ac:dyDescent="0.25">
      <c r="A2050" s="1"/>
    </row>
    <row r="2051" spans="1:1" ht="46.5" customHeight="1" x14ac:dyDescent="0.25">
      <c r="A2051" s="1"/>
    </row>
    <row r="2052" spans="1:1" ht="46.5" customHeight="1" x14ac:dyDescent="0.25">
      <c r="A2052" s="1"/>
    </row>
    <row r="2053" spans="1:1" ht="46.5" customHeight="1" x14ac:dyDescent="0.25">
      <c r="A2053" s="1"/>
    </row>
    <row r="2054" spans="1:1" ht="46.5" customHeight="1" x14ac:dyDescent="0.25">
      <c r="A2054" s="1"/>
    </row>
    <row r="2055" spans="1:1" ht="46.5" customHeight="1" x14ac:dyDescent="0.25">
      <c r="A2055" s="1"/>
    </row>
    <row r="2056" spans="1:1" ht="46.5" customHeight="1" x14ac:dyDescent="0.25">
      <c r="A2056" s="1"/>
    </row>
    <row r="2057" spans="1:1" ht="46.5" customHeight="1" x14ac:dyDescent="0.25">
      <c r="A2057" s="1"/>
    </row>
    <row r="2058" spans="1:1" ht="46.5" customHeight="1" x14ac:dyDescent="0.25">
      <c r="A2058" s="1"/>
    </row>
    <row r="2059" spans="1:1" ht="46.5" customHeight="1" x14ac:dyDescent="0.25">
      <c r="A2059" s="1"/>
    </row>
    <row r="2060" spans="1:1" ht="46.5" customHeight="1" x14ac:dyDescent="0.25">
      <c r="A2060" s="1"/>
    </row>
    <row r="2061" spans="1:1" ht="46.5" customHeight="1" x14ac:dyDescent="0.25">
      <c r="A2061" s="1"/>
    </row>
    <row r="2062" spans="1:1" ht="46.5" customHeight="1" x14ac:dyDescent="0.25">
      <c r="A2062" s="1"/>
    </row>
    <row r="2063" spans="1:1" ht="46.5" customHeight="1" x14ac:dyDescent="0.25">
      <c r="A2063" s="1"/>
    </row>
    <row r="2064" spans="1:1" ht="46.5" customHeight="1" x14ac:dyDescent="0.25">
      <c r="A2064" s="1"/>
    </row>
    <row r="2065" spans="1:1" ht="46.5" customHeight="1" x14ac:dyDescent="0.25">
      <c r="A2065" s="1"/>
    </row>
    <row r="2066" spans="1:1" ht="46.5" customHeight="1" x14ac:dyDescent="0.25">
      <c r="A2066" s="1"/>
    </row>
    <row r="2067" spans="1:1" ht="46.5" customHeight="1" x14ac:dyDescent="0.25">
      <c r="A2067" s="1"/>
    </row>
    <row r="2068" spans="1:1" ht="46.5" customHeight="1" x14ac:dyDescent="0.25">
      <c r="A2068" s="1"/>
    </row>
    <row r="2069" spans="1:1" ht="46.5" customHeight="1" x14ac:dyDescent="0.25">
      <c r="A2069" s="1"/>
    </row>
    <row r="2070" spans="1:1" ht="46.5" customHeight="1" x14ac:dyDescent="0.25">
      <c r="A2070" s="1"/>
    </row>
    <row r="2071" spans="1:1" ht="46.5" customHeight="1" x14ac:dyDescent="0.25">
      <c r="A2071" s="1"/>
    </row>
    <row r="2072" spans="1:1" ht="46.5" customHeight="1" x14ac:dyDescent="0.25">
      <c r="A2072" s="1"/>
    </row>
    <row r="2073" spans="1:1" ht="46.5" customHeight="1" x14ac:dyDescent="0.25">
      <c r="A2073" s="1"/>
    </row>
    <row r="2074" spans="1:1" ht="46.5" customHeight="1" x14ac:dyDescent="0.25">
      <c r="A2074" s="1"/>
    </row>
    <row r="2075" spans="1:1" ht="46.5" customHeight="1" x14ac:dyDescent="0.25">
      <c r="A2075" s="1"/>
    </row>
    <row r="2076" spans="1:1" ht="46.5" customHeight="1" x14ac:dyDescent="0.25">
      <c r="A2076" s="1"/>
    </row>
    <row r="2077" spans="1:1" ht="46.5" customHeight="1" x14ac:dyDescent="0.25">
      <c r="A2077" s="1"/>
    </row>
    <row r="2078" spans="1:1" ht="46.5" customHeight="1" x14ac:dyDescent="0.25">
      <c r="A2078" s="1"/>
    </row>
    <row r="2079" spans="1:1" ht="46.5" customHeight="1" x14ac:dyDescent="0.25">
      <c r="A2079" s="1"/>
    </row>
    <row r="2080" spans="1:1" ht="46.5" customHeight="1" x14ac:dyDescent="0.25">
      <c r="A2080" s="1"/>
    </row>
    <row r="2081" spans="1:1" ht="46.5" customHeight="1" x14ac:dyDescent="0.25">
      <c r="A2081" s="1"/>
    </row>
    <row r="2082" spans="1:1" ht="46.5" customHeight="1" x14ac:dyDescent="0.25">
      <c r="A2082" s="1"/>
    </row>
    <row r="2083" spans="1:1" ht="46.5" customHeight="1" x14ac:dyDescent="0.25">
      <c r="A2083" s="1"/>
    </row>
    <row r="2084" spans="1:1" ht="46.5" customHeight="1" x14ac:dyDescent="0.25">
      <c r="A2084" s="1"/>
    </row>
    <row r="2085" spans="1:1" ht="46.5" customHeight="1" x14ac:dyDescent="0.25">
      <c r="A2085" s="1"/>
    </row>
    <row r="2086" spans="1:1" ht="46.5" customHeight="1" x14ac:dyDescent="0.25">
      <c r="A2086" s="1"/>
    </row>
    <row r="2087" spans="1:1" ht="46.5" customHeight="1" x14ac:dyDescent="0.25">
      <c r="A2087" s="1"/>
    </row>
    <row r="2088" spans="1:1" ht="46.5" customHeight="1" x14ac:dyDescent="0.25">
      <c r="A2088" s="1"/>
    </row>
    <row r="2089" spans="1:1" ht="46.5" customHeight="1" x14ac:dyDescent="0.25">
      <c r="A2089" s="1"/>
    </row>
    <row r="2090" spans="1:1" ht="46.5" customHeight="1" x14ac:dyDescent="0.25">
      <c r="A2090" s="1"/>
    </row>
    <row r="2091" spans="1:1" ht="46.5" customHeight="1" x14ac:dyDescent="0.25">
      <c r="A2091" s="1"/>
    </row>
    <row r="2092" spans="1:1" ht="46.5" customHeight="1" x14ac:dyDescent="0.25">
      <c r="A2092" s="1"/>
    </row>
    <row r="2093" spans="1:1" ht="46.5" customHeight="1" x14ac:dyDescent="0.25">
      <c r="A2093" s="1"/>
    </row>
    <row r="2094" spans="1:1" ht="46.5" customHeight="1" x14ac:dyDescent="0.25">
      <c r="A2094" s="1"/>
    </row>
    <row r="2095" spans="1:1" ht="46.5" customHeight="1" x14ac:dyDescent="0.25">
      <c r="A2095" s="1"/>
    </row>
    <row r="2096" spans="1:1" ht="46.5" customHeight="1" x14ac:dyDescent="0.25">
      <c r="A2096" s="1"/>
    </row>
    <row r="2097" spans="1:1" ht="46.5" customHeight="1" x14ac:dyDescent="0.25">
      <c r="A2097" s="1"/>
    </row>
    <row r="2098" spans="1:1" ht="46.5" customHeight="1" x14ac:dyDescent="0.25">
      <c r="A2098" s="1"/>
    </row>
    <row r="2099" spans="1:1" ht="46.5" customHeight="1" x14ac:dyDescent="0.25">
      <c r="A2099" s="1"/>
    </row>
    <row r="2100" spans="1:1" ht="46.5" customHeight="1" x14ac:dyDescent="0.25">
      <c r="A2100" s="1"/>
    </row>
    <row r="2101" spans="1:1" ht="46.5" customHeight="1" x14ac:dyDescent="0.25">
      <c r="A2101" s="1"/>
    </row>
    <row r="2102" spans="1:1" ht="46.5" customHeight="1" x14ac:dyDescent="0.25">
      <c r="A2102" s="1"/>
    </row>
    <row r="2103" spans="1:1" ht="46.5" customHeight="1" x14ac:dyDescent="0.25">
      <c r="A2103" s="1"/>
    </row>
    <row r="2104" spans="1:1" ht="46.5" customHeight="1" x14ac:dyDescent="0.25">
      <c r="A2104" s="1"/>
    </row>
    <row r="2105" spans="1:1" ht="46.5" customHeight="1" x14ac:dyDescent="0.25">
      <c r="A2105" s="1"/>
    </row>
    <row r="2106" spans="1:1" ht="46.5" customHeight="1" x14ac:dyDescent="0.25">
      <c r="A2106" s="1"/>
    </row>
    <row r="2107" spans="1:1" ht="46.5" customHeight="1" x14ac:dyDescent="0.25">
      <c r="A2107" s="1"/>
    </row>
    <row r="2108" spans="1:1" ht="46.5" customHeight="1" x14ac:dyDescent="0.25">
      <c r="A2108" s="1"/>
    </row>
    <row r="2109" spans="1:1" ht="46.5" customHeight="1" x14ac:dyDescent="0.25">
      <c r="A2109" s="1"/>
    </row>
    <row r="2110" spans="1:1" ht="46.5" customHeight="1" x14ac:dyDescent="0.25">
      <c r="A2110" s="1"/>
    </row>
    <row r="2111" spans="1:1" ht="46.5" customHeight="1" x14ac:dyDescent="0.25">
      <c r="A2111" s="1"/>
    </row>
    <row r="2112" spans="1:1" ht="46.5" customHeight="1" x14ac:dyDescent="0.25">
      <c r="A2112" s="1"/>
    </row>
    <row r="2113" spans="1:1" ht="46.5" customHeight="1" x14ac:dyDescent="0.25">
      <c r="A2113" s="1"/>
    </row>
    <row r="2114" spans="1:1" ht="46.5" customHeight="1" x14ac:dyDescent="0.25">
      <c r="A2114" s="1"/>
    </row>
    <row r="2115" spans="1:1" ht="46.5" customHeight="1" x14ac:dyDescent="0.25">
      <c r="A2115" s="1"/>
    </row>
    <row r="2116" spans="1:1" ht="46.5" customHeight="1" x14ac:dyDescent="0.25">
      <c r="A2116" s="1"/>
    </row>
    <row r="2117" spans="1:1" ht="46.5" customHeight="1" x14ac:dyDescent="0.25">
      <c r="A2117" s="1"/>
    </row>
    <row r="2118" spans="1:1" ht="46.5" customHeight="1" x14ac:dyDescent="0.25">
      <c r="A2118" s="1"/>
    </row>
    <row r="2119" spans="1:1" ht="46.5" customHeight="1" x14ac:dyDescent="0.25">
      <c r="A2119" s="1"/>
    </row>
    <row r="2120" spans="1:1" ht="46.5" customHeight="1" x14ac:dyDescent="0.25">
      <c r="A2120" s="1"/>
    </row>
    <row r="2121" spans="1:1" ht="46.5" customHeight="1" x14ac:dyDescent="0.25">
      <c r="A2121" s="1"/>
    </row>
    <row r="2122" spans="1:1" ht="46.5" customHeight="1" x14ac:dyDescent="0.25">
      <c r="A2122" s="1"/>
    </row>
    <row r="2123" spans="1:1" ht="46.5" customHeight="1" x14ac:dyDescent="0.25">
      <c r="A2123" s="1"/>
    </row>
    <row r="2124" spans="1:1" ht="46.5" customHeight="1" x14ac:dyDescent="0.25">
      <c r="A2124" s="1"/>
    </row>
    <row r="2125" spans="1:1" ht="46.5" customHeight="1" x14ac:dyDescent="0.25">
      <c r="A2125" s="1"/>
    </row>
    <row r="2126" spans="1:1" ht="46.5" customHeight="1" x14ac:dyDescent="0.25">
      <c r="A2126" s="1"/>
    </row>
    <row r="2127" spans="1:1" ht="46.5" customHeight="1" x14ac:dyDescent="0.25">
      <c r="A2127" s="1"/>
    </row>
    <row r="2128" spans="1:1" ht="46.5" customHeight="1" x14ac:dyDescent="0.25">
      <c r="A2128" s="1"/>
    </row>
    <row r="2129" spans="1:1" ht="46.5" customHeight="1" x14ac:dyDescent="0.25">
      <c r="A2129" s="1"/>
    </row>
    <row r="2130" spans="1:1" ht="46.5" customHeight="1" x14ac:dyDescent="0.25">
      <c r="A2130" s="1"/>
    </row>
    <row r="2131" spans="1:1" ht="46.5" customHeight="1" x14ac:dyDescent="0.25">
      <c r="A2131" s="1"/>
    </row>
    <row r="2132" spans="1:1" ht="46.5" customHeight="1" x14ac:dyDescent="0.25">
      <c r="A2132" s="1"/>
    </row>
    <row r="2133" spans="1:1" ht="46.5" customHeight="1" x14ac:dyDescent="0.25">
      <c r="A2133" s="1"/>
    </row>
    <row r="2134" spans="1:1" ht="46.5" customHeight="1" x14ac:dyDescent="0.25">
      <c r="A2134" s="1"/>
    </row>
    <row r="2135" spans="1:1" ht="46.5" customHeight="1" x14ac:dyDescent="0.25">
      <c r="A2135" s="1"/>
    </row>
    <row r="2136" spans="1:1" ht="46.5" customHeight="1" x14ac:dyDescent="0.25">
      <c r="A2136" s="1"/>
    </row>
    <row r="2137" spans="1:1" ht="46.5" customHeight="1" x14ac:dyDescent="0.25">
      <c r="A2137" s="1"/>
    </row>
    <row r="2138" spans="1:1" ht="46.5" customHeight="1" x14ac:dyDescent="0.25">
      <c r="A2138" s="1"/>
    </row>
    <row r="2139" spans="1:1" ht="46.5" customHeight="1" x14ac:dyDescent="0.25">
      <c r="A2139" s="1"/>
    </row>
    <row r="2140" spans="1:1" ht="46.5" customHeight="1" x14ac:dyDescent="0.25">
      <c r="A2140" s="1"/>
    </row>
    <row r="2141" spans="1:1" ht="46.5" customHeight="1" x14ac:dyDescent="0.25">
      <c r="A2141" s="1"/>
    </row>
    <row r="2142" spans="1:1" ht="46.5" customHeight="1" x14ac:dyDescent="0.25">
      <c r="A2142" s="1"/>
    </row>
    <row r="2143" spans="1:1" ht="46.5" customHeight="1" x14ac:dyDescent="0.25">
      <c r="A2143" s="1"/>
    </row>
    <row r="2144" spans="1:1" ht="46.5" customHeight="1" x14ac:dyDescent="0.25">
      <c r="A2144" s="1"/>
    </row>
    <row r="2145" spans="1:1" ht="46.5" customHeight="1" x14ac:dyDescent="0.25">
      <c r="A2145" s="1"/>
    </row>
    <row r="2146" spans="1:1" ht="46.5" customHeight="1" x14ac:dyDescent="0.25">
      <c r="A2146" s="1"/>
    </row>
    <row r="2147" spans="1:1" ht="46.5" customHeight="1" x14ac:dyDescent="0.25">
      <c r="A2147" s="1"/>
    </row>
    <row r="2148" spans="1:1" ht="46.5" customHeight="1" x14ac:dyDescent="0.25">
      <c r="A2148" s="1"/>
    </row>
    <row r="2149" spans="1:1" ht="46.5" customHeight="1" x14ac:dyDescent="0.25">
      <c r="A2149" s="1"/>
    </row>
    <row r="2150" spans="1:1" ht="46.5" customHeight="1" x14ac:dyDescent="0.25">
      <c r="A2150" s="1"/>
    </row>
    <row r="2151" spans="1:1" ht="46.5" customHeight="1" x14ac:dyDescent="0.25">
      <c r="A2151" s="1"/>
    </row>
    <row r="2152" spans="1:1" ht="46.5" customHeight="1" x14ac:dyDescent="0.25">
      <c r="A2152" s="1"/>
    </row>
    <row r="2153" spans="1:1" ht="46.5" customHeight="1" x14ac:dyDescent="0.25">
      <c r="A2153" s="1"/>
    </row>
    <row r="2154" spans="1:1" ht="46.5" customHeight="1" x14ac:dyDescent="0.25">
      <c r="A2154" s="1"/>
    </row>
    <row r="2155" spans="1:1" ht="46.5" customHeight="1" x14ac:dyDescent="0.25">
      <c r="A2155" s="1"/>
    </row>
    <row r="2156" spans="1:1" ht="46.5" customHeight="1" x14ac:dyDescent="0.25">
      <c r="A2156" s="1"/>
    </row>
    <row r="2157" spans="1:1" ht="46.5" customHeight="1" x14ac:dyDescent="0.25">
      <c r="A2157" s="1"/>
    </row>
    <row r="2158" spans="1:1" ht="46.5" customHeight="1" x14ac:dyDescent="0.25">
      <c r="A2158" s="1"/>
    </row>
    <row r="2159" spans="1:1" ht="46.5" customHeight="1" x14ac:dyDescent="0.25">
      <c r="A2159" s="1"/>
    </row>
    <row r="2160" spans="1:1" ht="46.5" customHeight="1" x14ac:dyDescent="0.25">
      <c r="A2160" s="1"/>
    </row>
    <row r="2161" spans="1:1" ht="46.5" customHeight="1" x14ac:dyDescent="0.25">
      <c r="A2161" s="1"/>
    </row>
    <row r="2162" spans="1:1" ht="46.5" customHeight="1" x14ac:dyDescent="0.25">
      <c r="A2162" s="1"/>
    </row>
    <row r="2163" spans="1:1" ht="46.5" customHeight="1" x14ac:dyDescent="0.25">
      <c r="A2163" s="1"/>
    </row>
    <row r="2164" spans="1:1" ht="46.5" customHeight="1" x14ac:dyDescent="0.25">
      <c r="A2164" s="1"/>
    </row>
    <row r="2165" spans="1:1" ht="46.5" customHeight="1" x14ac:dyDescent="0.25">
      <c r="A2165" s="1"/>
    </row>
    <row r="2166" spans="1:1" ht="46.5" customHeight="1" x14ac:dyDescent="0.25">
      <c r="A2166" s="1"/>
    </row>
    <row r="2167" spans="1:1" ht="46.5" customHeight="1" x14ac:dyDescent="0.25">
      <c r="A2167" s="1"/>
    </row>
    <row r="2168" spans="1:1" ht="46.5" customHeight="1" x14ac:dyDescent="0.25">
      <c r="A2168" s="1"/>
    </row>
    <row r="2169" spans="1:1" ht="46.5" customHeight="1" x14ac:dyDescent="0.25">
      <c r="A2169" s="1"/>
    </row>
    <row r="2170" spans="1:1" ht="46.5" customHeight="1" x14ac:dyDescent="0.25">
      <c r="A2170" s="1"/>
    </row>
    <row r="2171" spans="1:1" ht="46.5" customHeight="1" x14ac:dyDescent="0.25">
      <c r="A2171" s="1"/>
    </row>
    <row r="2172" spans="1:1" ht="46.5" customHeight="1" x14ac:dyDescent="0.25">
      <c r="A2172" s="1"/>
    </row>
    <row r="2173" spans="1:1" ht="46.5" customHeight="1" x14ac:dyDescent="0.25">
      <c r="A2173" s="1"/>
    </row>
    <row r="2174" spans="1:1" ht="46.5" customHeight="1" x14ac:dyDescent="0.25">
      <c r="A2174" s="1"/>
    </row>
    <row r="2175" spans="1:1" ht="46.5" customHeight="1" x14ac:dyDescent="0.25">
      <c r="A2175" s="1"/>
    </row>
    <row r="2176" spans="1:1" ht="46.5" customHeight="1" x14ac:dyDescent="0.25">
      <c r="A2176" s="1"/>
    </row>
    <row r="2177" spans="1:1" ht="46.5" customHeight="1" x14ac:dyDescent="0.25">
      <c r="A2177" s="1"/>
    </row>
    <row r="2178" spans="1:1" ht="46.5" customHeight="1" x14ac:dyDescent="0.25">
      <c r="A2178" s="1"/>
    </row>
    <row r="2179" spans="1:1" ht="46.5" customHeight="1" x14ac:dyDescent="0.25">
      <c r="A2179" s="1"/>
    </row>
    <row r="2180" spans="1:1" ht="46.5" customHeight="1" x14ac:dyDescent="0.25">
      <c r="A2180" s="1"/>
    </row>
    <row r="2181" spans="1:1" ht="46.5" customHeight="1" x14ac:dyDescent="0.25">
      <c r="A2181" s="1"/>
    </row>
    <row r="2182" spans="1:1" ht="46.5" customHeight="1" x14ac:dyDescent="0.25">
      <c r="A2182" s="1"/>
    </row>
    <row r="2183" spans="1:1" ht="46.5" customHeight="1" x14ac:dyDescent="0.25">
      <c r="A2183" s="1"/>
    </row>
    <row r="2184" spans="1:1" ht="46.5" customHeight="1" x14ac:dyDescent="0.25">
      <c r="A2184" s="1"/>
    </row>
    <row r="2185" spans="1:1" ht="46.5" customHeight="1" x14ac:dyDescent="0.25">
      <c r="A2185" s="1"/>
    </row>
    <row r="2186" spans="1:1" ht="46.5" customHeight="1" x14ac:dyDescent="0.25">
      <c r="A2186" s="1"/>
    </row>
    <row r="2187" spans="1:1" ht="46.5" customHeight="1" x14ac:dyDescent="0.25">
      <c r="A2187" s="1"/>
    </row>
    <row r="2188" spans="1:1" ht="46.5" customHeight="1" x14ac:dyDescent="0.25">
      <c r="A2188" s="1"/>
    </row>
    <row r="2189" spans="1:1" ht="46.5" customHeight="1" x14ac:dyDescent="0.25">
      <c r="A2189" s="1"/>
    </row>
    <row r="2190" spans="1:1" ht="46.5" customHeight="1" x14ac:dyDescent="0.25">
      <c r="A2190" s="1"/>
    </row>
    <row r="2191" spans="1:1" ht="46.5" customHeight="1" x14ac:dyDescent="0.25">
      <c r="A2191" s="1"/>
    </row>
    <row r="2192" spans="1:1" ht="46.5" customHeight="1" x14ac:dyDescent="0.25">
      <c r="A2192" s="1"/>
    </row>
    <row r="2193" spans="1:1" ht="46.5" customHeight="1" x14ac:dyDescent="0.25">
      <c r="A2193" s="1"/>
    </row>
    <row r="2194" spans="1:1" ht="46.5" customHeight="1" x14ac:dyDescent="0.25">
      <c r="A2194" s="1"/>
    </row>
    <row r="2195" spans="1:1" ht="46.5" customHeight="1" x14ac:dyDescent="0.25">
      <c r="A2195" s="1"/>
    </row>
    <row r="2196" spans="1:1" ht="46.5" customHeight="1" x14ac:dyDescent="0.25">
      <c r="A2196" s="1"/>
    </row>
    <row r="2197" spans="1:1" ht="46.5" customHeight="1" x14ac:dyDescent="0.25">
      <c r="A2197" s="1"/>
    </row>
    <row r="2198" spans="1:1" ht="46.5" customHeight="1" x14ac:dyDescent="0.25">
      <c r="A2198" s="1"/>
    </row>
    <row r="2199" spans="1:1" ht="46.5" customHeight="1" x14ac:dyDescent="0.25">
      <c r="A2199" s="1"/>
    </row>
    <row r="2200" spans="1:1" ht="46.5" customHeight="1" x14ac:dyDescent="0.25">
      <c r="A2200" s="1"/>
    </row>
    <row r="2201" spans="1:1" ht="46.5" customHeight="1" x14ac:dyDescent="0.25">
      <c r="A2201" s="1"/>
    </row>
    <row r="2202" spans="1:1" ht="46.5" customHeight="1" x14ac:dyDescent="0.25">
      <c r="A2202" s="1"/>
    </row>
    <row r="2203" spans="1:1" ht="46.5" customHeight="1" x14ac:dyDescent="0.25">
      <c r="A2203" s="1"/>
    </row>
    <row r="2204" spans="1:1" ht="46.5" customHeight="1" x14ac:dyDescent="0.25">
      <c r="A2204" s="1"/>
    </row>
    <row r="2205" spans="1:1" ht="46.5" customHeight="1" x14ac:dyDescent="0.25">
      <c r="A2205" s="1"/>
    </row>
    <row r="2206" spans="1:1" ht="46.5" customHeight="1" x14ac:dyDescent="0.25">
      <c r="A2206" s="1"/>
    </row>
    <row r="2207" spans="1:1" ht="46.5" customHeight="1" x14ac:dyDescent="0.25">
      <c r="A2207" s="1"/>
    </row>
    <row r="2208" spans="1:1" ht="46.5" customHeight="1" x14ac:dyDescent="0.25">
      <c r="A2208" s="1"/>
    </row>
    <row r="2209" spans="1:1" ht="46.5" customHeight="1" x14ac:dyDescent="0.25">
      <c r="A2209" s="1"/>
    </row>
    <row r="2210" spans="1:1" ht="46.5" customHeight="1" x14ac:dyDescent="0.25">
      <c r="A2210" s="1"/>
    </row>
    <row r="2211" spans="1:1" ht="46.5" customHeight="1" x14ac:dyDescent="0.25">
      <c r="A2211" s="1"/>
    </row>
    <row r="2212" spans="1:1" ht="46.5" customHeight="1" x14ac:dyDescent="0.25">
      <c r="A2212" s="1"/>
    </row>
    <row r="2213" spans="1:1" ht="46.5" customHeight="1" x14ac:dyDescent="0.25">
      <c r="A2213" s="1"/>
    </row>
    <row r="2214" spans="1:1" ht="46.5" customHeight="1" x14ac:dyDescent="0.25">
      <c r="A2214" s="1"/>
    </row>
    <row r="2215" spans="1:1" ht="46.5" customHeight="1" x14ac:dyDescent="0.25">
      <c r="A2215" s="1"/>
    </row>
    <row r="2216" spans="1:1" ht="46.5" customHeight="1" x14ac:dyDescent="0.25">
      <c r="A2216" s="1"/>
    </row>
    <row r="2217" spans="1:1" ht="46.5" customHeight="1" x14ac:dyDescent="0.25">
      <c r="A2217" s="1"/>
    </row>
    <row r="2218" spans="1:1" ht="46.5" customHeight="1" x14ac:dyDescent="0.25">
      <c r="A2218" s="1"/>
    </row>
    <row r="2219" spans="1:1" ht="46.5" customHeight="1" x14ac:dyDescent="0.25">
      <c r="A2219" s="1"/>
    </row>
    <row r="2220" spans="1:1" ht="46.5" customHeight="1" x14ac:dyDescent="0.25">
      <c r="A2220" s="1"/>
    </row>
    <row r="2221" spans="1:1" ht="46.5" customHeight="1" x14ac:dyDescent="0.25">
      <c r="A2221" s="1"/>
    </row>
    <row r="2222" spans="1:1" ht="46.5" customHeight="1" x14ac:dyDescent="0.25">
      <c r="A2222" s="1"/>
    </row>
    <row r="2223" spans="1:1" ht="46.5" customHeight="1" x14ac:dyDescent="0.25">
      <c r="A2223" s="1"/>
    </row>
    <row r="2224" spans="1:1" ht="46.5" customHeight="1" x14ac:dyDescent="0.25">
      <c r="A2224" s="1"/>
    </row>
    <row r="2225" spans="1:1" ht="46.5" customHeight="1" x14ac:dyDescent="0.25">
      <c r="A2225" s="1"/>
    </row>
    <row r="2226" spans="1:1" ht="46.5" customHeight="1" x14ac:dyDescent="0.25">
      <c r="A2226" s="1"/>
    </row>
    <row r="2227" spans="1:1" ht="46.5" customHeight="1" x14ac:dyDescent="0.25">
      <c r="A2227" s="1"/>
    </row>
    <row r="2228" spans="1:1" ht="46.5" customHeight="1" x14ac:dyDescent="0.25">
      <c r="A2228" s="1"/>
    </row>
    <row r="2229" spans="1:1" ht="46.5" customHeight="1" x14ac:dyDescent="0.25">
      <c r="A2229" s="1"/>
    </row>
    <row r="2230" spans="1:1" ht="46.5" customHeight="1" x14ac:dyDescent="0.25">
      <c r="A2230" s="1"/>
    </row>
    <row r="2231" spans="1:1" ht="46.5" customHeight="1" x14ac:dyDescent="0.25">
      <c r="A2231" s="1"/>
    </row>
    <row r="2232" spans="1:1" ht="46.5" customHeight="1" x14ac:dyDescent="0.25">
      <c r="A2232" s="1"/>
    </row>
    <row r="2233" spans="1:1" ht="46.5" customHeight="1" x14ac:dyDescent="0.25">
      <c r="A2233" s="1"/>
    </row>
    <row r="2234" spans="1:1" ht="46.5" customHeight="1" x14ac:dyDescent="0.25">
      <c r="A2234" s="1"/>
    </row>
    <row r="2235" spans="1:1" ht="46.5" customHeight="1" x14ac:dyDescent="0.25">
      <c r="A2235" s="1"/>
    </row>
    <row r="2236" spans="1:1" ht="46.5" customHeight="1" x14ac:dyDescent="0.25">
      <c r="A2236" s="1"/>
    </row>
    <row r="2237" spans="1:1" ht="46.5" customHeight="1" x14ac:dyDescent="0.25">
      <c r="A2237" s="1"/>
    </row>
    <row r="2238" spans="1:1" ht="46.5" customHeight="1" x14ac:dyDescent="0.25">
      <c r="A2238" s="1"/>
    </row>
    <row r="2239" spans="1:1" ht="46.5" customHeight="1" x14ac:dyDescent="0.25">
      <c r="A2239" s="1"/>
    </row>
    <row r="2240" spans="1:1" ht="46.5" customHeight="1" x14ac:dyDescent="0.25">
      <c r="A2240" s="1"/>
    </row>
    <row r="2241" spans="1:1" ht="46.5" customHeight="1" x14ac:dyDescent="0.25">
      <c r="A2241" s="1"/>
    </row>
    <row r="2242" spans="1:1" ht="46.5" customHeight="1" x14ac:dyDescent="0.25">
      <c r="A2242" s="1"/>
    </row>
    <row r="2243" spans="1:1" ht="46.5" customHeight="1" x14ac:dyDescent="0.25">
      <c r="A2243" s="1"/>
    </row>
    <row r="2244" spans="1:1" ht="46.5" customHeight="1" x14ac:dyDescent="0.25">
      <c r="A2244" s="1"/>
    </row>
    <row r="2245" spans="1:1" ht="46.5" customHeight="1" x14ac:dyDescent="0.25">
      <c r="A2245" s="1"/>
    </row>
    <row r="2246" spans="1:1" ht="46.5" customHeight="1" x14ac:dyDescent="0.25">
      <c r="A2246" s="1"/>
    </row>
    <row r="2247" spans="1:1" ht="46.5" customHeight="1" x14ac:dyDescent="0.25">
      <c r="A2247" s="1"/>
    </row>
    <row r="2248" spans="1:1" ht="46.5" customHeight="1" x14ac:dyDescent="0.25">
      <c r="A2248" s="1"/>
    </row>
    <row r="2249" spans="1:1" ht="46.5" customHeight="1" x14ac:dyDescent="0.25">
      <c r="A2249" s="1"/>
    </row>
    <row r="2250" spans="1:1" ht="46.5" customHeight="1" x14ac:dyDescent="0.25">
      <c r="A2250" s="1"/>
    </row>
    <row r="2251" spans="1:1" ht="46.5" customHeight="1" x14ac:dyDescent="0.25">
      <c r="A2251" s="1"/>
    </row>
    <row r="2252" spans="1:1" ht="46.5" customHeight="1" x14ac:dyDescent="0.25">
      <c r="A2252" s="1"/>
    </row>
    <row r="2253" spans="1:1" ht="46.5" customHeight="1" x14ac:dyDescent="0.25">
      <c r="A2253" s="1"/>
    </row>
    <row r="2254" spans="1:1" ht="46.5" customHeight="1" x14ac:dyDescent="0.25">
      <c r="A2254" s="1"/>
    </row>
    <row r="2255" spans="1:1" ht="46.5" customHeight="1" x14ac:dyDescent="0.25">
      <c r="A2255" s="1"/>
    </row>
    <row r="2256" spans="1:1" ht="46.5" customHeight="1" x14ac:dyDescent="0.25">
      <c r="A2256" s="1"/>
    </row>
    <row r="2257" spans="1:1" ht="46.5" customHeight="1" x14ac:dyDescent="0.25">
      <c r="A2257" s="1"/>
    </row>
    <row r="2258" spans="1:1" ht="46.5" customHeight="1" x14ac:dyDescent="0.25">
      <c r="A2258" s="1"/>
    </row>
    <row r="2259" spans="1:1" ht="46.5" customHeight="1" x14ac:dyDescent="0.25">
      <c r="A2259" s="1"/>
    </row>
    <row r="2260" spans="1:1" ht="46.5" customHeight="1" x14ac:dyDescent="0.25">
      <c r="A2260" s="1"/>
    </row>
    <row r="2261" spans="1:1" ht="46.5" customHeight="1" x14ac:dyDescent="0.25">
      <c r="A2261" s="1"/>
    </row>
    <row r="2262" spans="1:1" ht="46.5" customHeight="1" x14ac:dyDescent="0.25">
      <c r="A2262" s="1"/>
    </row>
    <row r="2263" spans="1:1" ht="46.5" customHeight="1" x14ac:dyDescent="0.25">
      <c r="A2263" s="1"/>
    </row>
    <row r="2264" spans="1:1" ht="46.5" customHeight="1" x14ac:dyDescent="0.25">
      <c r="A2264" s="1"/>
    </row>
    <row r="2265" spans="1:1" ht="46.5" customHeight="1" x14ac:dyDescent="0.25">
      <c r="A2265" s="1"/>
    </row>
    <row r="2266" spans="1:1" ht="46.5" customHeight="1" x14ac:dyDescent="0.25">
      <c r="A2266" s="1"/>
    </row>
    <row r="2267" spans="1:1" ht="46.5" customHeight="1" x14ac:dyDescent="0.25">
      <c r="A2267" s="1"/>
    </row>
    <row r="2268" spans="1:1" ht="46.5" customHeight="1" x14ac:dyDescent="0.25">
      <c r="A2268" s="1"/>
    </row>
    <row r="2269" spans="1:1" ht="46.5" customHeight="1" x14ac:dyDescent="0.25">
      <c r="A2269" s="1"/>
    </row>
    <row r="2270" spans="1:1" ht="46.5" customHeight="1" x14ac:dyDescent="0.25">
      <c r="A2270" s="1"/>
    </row>
    <row r="2271" spans="1:1" ht="46.5" customHeight="1" x14ac:dyDescent="0.25">
      <c r="A2271" s="1"/>
    </row>
    <row r="2272" spans="1:1" ht="46.5" customHeight="1" x14ac:dyDescent="0.25">
      <c r="A2272" s="1"/>
    </row>
    <row r="2273" spans="1:1" ht="46.5" customHeight="1" x14ac:dyDescent="0.25">
      <c r="A2273" s="1"/>
    </row>
    <row r="2274" spans="1:1" ht="46.5" customHeight="1" x14ac:dyDescent="0.25">
      <c r="A2274" s="1"/>
    </row>
    <row r="2275" spans="1:1" ht="46.5" customHeight="1" x14ac:dyDescent="0.25">
      <c r="A2275" s="1"/>
    </row>
    <row r="2276" spans="1:1" ht="46.5" customHeight="1" x14ac:dyDescent="0.25">
      <c r="A2276" s="1"/>
    </row>
    <row r="2277" spans="1:1" ht="46.5" customHeight="1" x14ac:dyDescent="0.25">
      <c r="A2277" s="1"/>
    </row>
    <row r="2278" spans="1:1" ht="46.5" customHeight="1" x14ac:dyDescent="0.25">
      <c r="A2278" s="1"/>
    </row>
    <row r="2279" spans="1:1" ht="46.5" customHeight="1" x14ac:dyDescent="0.25">
      <c r="A2279" s="1"/>
    </row>
    <row r="2280" spans="1:1" ht="46.5" customHeight="1" x14ac:dyDescent="0.25">
      <c r="A2280" s="1"/>
    </row>
    <row r="2281" spans="1:1" ht="46.5" customHeight="1" x14ac:dyDescent="0.25">
      <c r="A2281" s="1"/>
    </row>
    <row r="2282" spans="1:1" ht="46.5" customHeight="1" x14ac:dyDescent="0.25">
      <c r="A2282" s="1"/>
    </row>
    <row r="2283" spans="1:1" ht="46.5" customHeight="1" x14ac:dyDescent="0.25">
      <c r="A2283" s="1"/>
    </row>
    <row r="2284" spans="1:1" ht="46.5" customHeight="1" x14ac:dyDescent="0.25">
      <c r="A2284" s="1"/>
    </row>
    <row r="2285" spans="1:1" ht="46.5" customHeight="1" x14ac:dyDescent="0.25">
      <c r="A2285" s="1"/>
    </row>
    <row r="2286" spans="1:1" ht="46.5" customHeight="1" x14ac:dyDescent="0.25">
      <c r="A2286" s="1"/>
    </row>
    <row r="2287" spans="1:1" ht="46.5" customHeight="1" x14ac:dyDescent="0.25">
      <c r="A2287" s="1"/>
    </row>
    <row r="2288" spans="1:1" ht="46.5" customHeight="1" x14ac:dyDescent="0.25">
      <c r="A2288" s="1"/>
    </row>
    <row r="2289" spans="1:1" ht="46.5" customHeight="1" x14ac:dyDescent="0.25">
      <c r="A2289" s="1"/>
    </row>
    <row r="2290" spans="1:1" ht="46.5" customHeight="1" x14ac:dyDescent="0.25">
      <c r="A2290" s="1"/>
    </row>
    <row r="2291" spans="1:1" ht="46.5" customHeight="1" x14ac:dyDescent="0.25">
      <c r="A2291" s="1"/>
    </row>
    <row r="2292" spans="1:1" ht="46.5" customHeight="1" x14ac:dyDescent="0.25">
      <c r="A2292" s="1"/>
    </row>
    <row r="2293" spans="1:1" ht="46.5" customHeight="1" x14ac:dyDescent="0.25">
      <c r="A2293" s="1"/>
    </row>
    <row r="2294" spans="1:1" ht="46.5" customHeight="1" x14ac:dyDescent="0.25">
      <c r="A2294" s="1"/>
    </row>
    <row r="2295" spans="1:1" ht="46.5" customHeight="1" x14ac:dyDescent="0.25">
      <c r="A2295" s="1"/>
    </row>
    <row r="2296" spans="1:1" ht="46.5" customHeight="1" x14ac:dyDescent="0.25">
      <c r="A2296" s="1"/>
    </row>
    <row r="2297" spans="1:1" ht="46.5" customHeight="1" x14ac:dyDescent="0.25">
      <c r="A2297" s="1"/>
    </row>
    <row r="2298" spans="1:1" ht="46.5" customHeight="1" x14ac:dyDescent="0.25">
      <c r="A2298" s="1"/>
    </row>
    <row r="2299" spans="1:1" ht="46.5" customHeight="1" x14ac:dyDescent="0.25">
      <c r="A2299" s="1"/>
    </row>
    <row r="2300" spans="1:1" ht="46.5" customHeight="1" x14ac:dyDescent="0.25">
      <c r="A2300" s="1"/>
    </row>
    <row r="2301" spans="1:1" ht="46.5" customHeight="1" x14ac:dyDescent="0.25">
      <c r="A2301" s="1"/>
    </row>
    <row r="2302" spans="1:1" ht="46.5" customHeight="1" x14ac:dyDescent="0.25">
      <c r="A2302" s="1"/>
    </row>
    <row r="2303" spans="1:1" ht="46.5" customHeight="1" x14ac:dyDescent="0.25">
      <c r="A2303" s="1"/>
    </row>
    <row r="2304" spans="1:1" ht="46.5" customHeight="1" x14ac:dyDescent="0.25">
      <c r="A2304" s="1"/>
    </row>
    <row r="2305" spans="1:1" ht="46.5" customHeight="1" x14ac:dyDescent="0.25">
      <c r="A2305" s="1"/>
    </row>
    <row r="2306" spans="1:1" ht="46.5" customHeight="1" x14ac:dyDescent="0.25">
      <c r="A2306" s="1"/>
    </row>
    <row r="2307" spans="1:1" ht="46.5" customHeight="1" x14ac:dyDescent="0.25">
      <c r="A2307" s="1"/>
    </row>
    <row r="2308" spans="1:1" ht="46.5" customHeight="1" x14ac:dyDescent="0.25">
      <c r="A2308" s="1"/>
    </row>
    <row r="2309" spans="1:1" ht="46.5" customHeight="1" x14ac:dyDescent="0.25">
      <c r="A2309" s="1"/>
    </row>
    <row r="2310" spans="1:1" ht="46.5" customHeight="1" x14ac:dyDescent="0.25">
      <c r="A2310" s="1"/>
    </row>
    <row r="2311" spans="1:1" ht="46.5" customHeight="1" x14ac:dyDescent="0.25">
      <c r="A2311" s="1"/>
    </row>
    <row r="2312" spans="1:1" ht="46.5" customHeight="1" x14ac:dyDescent="0.25">
      <c r="A2312" s="1"/>
    </row>
    <row r="2313" spans="1:1" ht="46.5" customHeight="1" x14ac:dyDescent="0.25">
      <c r="A2313" s="1"/>
    </row>
    <row r="2314" spans="1:1" ht="46.5" customHeight="1" x14ac:dyDescent="0.25">
      <c r="A2314" s="1"/>
    </row>
    <row r="2315" spans="1:1" ht="46.5" customHeight="1" x14ac:dyDescent="0.25">
      <c r="A2315" s="1"/>
    </row>
    <row r="2316" spans="1:1" ht="46.5" customHeight="1" x14ac:dyDescent="0.25">
      <c r="A2316" s="1"/>
    </row>
    <row r="2317" spans="1:1" ht="46.5" customHeight="1" x14ac:dyDescent="0.25">
      <c r="A2317" s="1"/>
    </row>
    <row r="2318" spans="1:1" ht="46.5" customHeight="1" x14ac:dyDescent="0.25">
      <c r="A2318" s="1"/>
    </row>
    <row r="2319" spans="1:1" ht="46.5" customHeight="1" x14ac:dyDescent="0.25">
      <c r="A2319" s="1"/>
    </row>
    <row r="2320" spans="1:1" ht="46.5" customHeight="1" x14ac:dyDescent="0.25">
      <c r="A2320" s="1"/>
    </row>
    <row r="2321" spans="1:1" ht="46.5" customHeight="1" x14ac:dyDescent="0.25">
      <c r="A2321" s="1"/>
    </row>
    <row r="2322" spans="1:1" ht="46.5" customHeight="1" x14ac:dyDescent="0.25">
      <c r="A2322" s="1"/>
    </row>
    <row r="2323" spans="1:1" ht="46.5" customHeight="1" x14ac:dyDescent="0.25">
      <c r="A2323" s="1"/>
    </row>
    <row r="2324" spans="1:1" ht="46.5" customHeight="1" x14ac:dyDescent="0.25">
      <c r="A2324" s="1"/>
    </row>
    <row r="2325" spans="1:1" ht="46.5" customHeight="1" x14ac:dyDescent="0.25">
      <c r="A2325" s="1"/>
    </row>
    <row r="2326" spans="1:1" ht="46.5" customHeight="1" x14ac:dyDescent="0.25">
      <c r="A2326" s="1"/>
    </row>
    <row r="2327" spans="1:1" ht="46.5" customHeight="1" x14ac:dyDescent="0.25">
      <c r="A2327" s="1"/>
    </row>
    <row r="2328" spans="1:1" ht="46.5" customHeight="1" x14ac:dyDescent="0.25">
      <c r="A2328" s="1"/>
    </row>
    <row r="2329" spans="1:1" ht="46.5" customHeight="1" x14ac:dyDescent="0.25">
      <c r="A2329" s="1"/>
    </row>
    <row r="2330" spans="1:1" ht="46.5" customHeight="1" x14ac:dyDescent="0.25">
      <c r="A2330" s="1"/>
    </row>
    <row r="2331" spans="1:1" ht="46.5" customHeight="1" x14ac:dyDescent="0.25">
      <c r="A2331" s="1"/>
    </row>
    <row r="2332" spans="1:1" ht="46.5" customHeight="1" x14ac:dyDescent="0.25">
      <c r="A2332" s="1"/>
    </row>
    <row r="2333" spans="1:1" ht="46.5" customHeight="1" x14ac:dyDescent="0.25">
      <c r="A2333" s="1"/>
    </row>
    <row r="2334" spans="1:1" ht="46.5" customHeight="1" x14ac:dyDescent="0.25">
      <c r="A2334" s="1"/>
    </row>
    <row r="2335" spans="1:1" ht="46.5" customHeight="1" x14ac:dyDescent="0.25">
      <c r="A2335" s="1"/>
    </row>
    <row r="2336" spans="1:1" ht="46.5" customHeight="1" x14ac:dyDescent="0.25">
      <c r="A2336" s="1"/>
    </row>
    <row r="2337" spans="1:1" ht="46.5" customHeight="1" x14ac:dyDescent="0.25">
      <c r="A2337" s="1"/>
    </row>
    <row r="2338" spans="1:1" ht="46.5" customHeight="1" x14ac:dyDescent="0.25">
      <c r="A2338" s="1"/>
    </row>
    <row r="2339" spans="1:1" ht="46.5" customHeight="1" x14ac:dyDescent="0.25">
      <c r="A2339" s="1"/>
    </row>
    <row r="2340" spans="1:1" ht="46.5" customHeight="1" x14ac:dyDescent="0.25">
      <c r="A2340" s="1"/>
    </row>
    <row r="2341" spans="1:1" ht="46.5" customHeight="1" x14ac:dyDescent="0.25">
      <c r="A2341" s="1"/>
    </row>
    <row r="2342" spans="1:1" ht="46.5" customHeight="1" x14ac:dyDescent="0.25">
      <c r="A2342" s="1"/>
    </row>
    <row r="2343" spans="1:1" ht="46.5" customHeight="1" x14ac:dyDescent="0.25">
      <c r="A2343" s="1"/>
    </row>
    <row r="2344" spans="1:1" ht="46.5" customHeight="1" x14ac:dyDescent="0.25">
      <c r="A2344" s="1"/>
    </row>
    <row r="2345" spans="1:1" ht="46.5" customHeight="1" x14ac:dyDescent="0.25">
      <c r="A2345" s="1"/>
    </row>
    <row r="2346" spans="1:1" ht="46.5" customHeight="1" x14ac:dyDescent="0.25">
      <c r="A2346" s="1"/>
    </row>
    <row r="2347" spans="1:1" ht="46.5" customHeight="1" x14ac:dyDescent="0.25">
      <c r="A2347" s="1"/>
    </row>
    <row r="2348" spans="1:1" ht="46.5" customHeight="1" x14ac:dyDescent="0.25">
      <c r="A2348" s="1"/>
    </row>
    <row r="2349" spans="1:1" ht="46.5" customHeight="1" x14ac:dyDescent="0.25">
      <c r="A2349" s="1"/>
    </row>
    <row r="2350" spans="1:1" ht="46.5" customHeight="1" x14ac:dyDescent="0.25">
      <c r="A2350" s="1"/>
    </row>
    <row r="2351" spans="1:1" ht="46.5" customHeight="1" x14ac:dyDescent="0.25">
      <c r="A2351" s="1"/>
    </row>
    <row r="2352" spans="1:1" ht="46.5" customHeight="1" x14ac:dyDescent="0.25">
      <c r="A2352" s="1"/>
    </row>
    <row r="2353" spans="1:1" ht="46.5" customHeight="1" x14ac:dyDescent="0.25">
      <c r="A2353" s="1"/>
    </row>
    <row r="2354" spans="1:1" ht="46.5" customHeight="1" x14ac:dyDescent="0.25">
      <c r="A2354" s="1"/>
    </row>
    <row r="2355" spans="1:1" ht="46.5" customHeight="1" x14ac:dyDescent="0.25">
      <c r="A2355" s="1"/>
    </row>
    <row r="2356" spans="1:1" ht="46.5" customHeight="1" x14ac:dyDescent="0.25">
      <c r="A2356" s="1"/>
    </row>
    <row r="2357" spans="1:1" ht="46.5" customHeight="1" x14ac:dyDescent="0.25">
      <c r="A2357" s="1"/>
    </row>
    <row r="2358" spans="1:1" ht="46.5" customHeight="1" x14ac:dyDescent="0.25">
      <c r="A2358" s="1"/>
    </row>
    <row r="2359" spans="1:1" ht="46.5" customHeight="1" x14ac:dyDescent="0.25">
      <c r="A2359" s="1"/>
    </row>
    <row r="2360" spans="1:1" ht="46.5" customHeight="1" x14ac:dyDescent="0.25">
      <c r="A2360" s="1"/>
    </row>
    <row r="2361" spans="1:1" ht="46.5" customHeight="1" x14ac:dyDescent="0.25">
      <c r="A2361" s="1"/>
    </row>
    <row r="2362" spans="1:1" ht="46.5" customHeight="1" x14ac:dyDescent="0.25">
      <c r="A2362" s="1"/>
    </row>
    <row r="2363" spans="1:1" ht="46.5" customHeight="1" x14ac:dyDescent="0.25">
      <c r="A2363" s="1"/>
    </row>
    <row r="2364" spans="1:1" ht="46.5" customHeight="1" x14ac:dyDescent="0.25">
      <c r="A2364" s="1"/>
    </row>
    <row r="2365" spans="1:1" ht="46.5" customHeight="1" x14ac:dyDescent="0.25">
      <c r="A2365" s="1"/>
    </row>
    <row r="2366" spans="1:1" ht="46.5" customHeight="1" x14ac:dyDescent="0.25">
      <c r="A2366" s="1"/>
    </row>
    <row r="2367" spans="1:1" ht="46.5" customHeight="1" x14ac:dyDescent="0.25">
      <c r="A2367" s="1"/>
    </row>
    <row r="2368" spans="1:1" ht="46.5" customHeight="1" x14ac:dyDescent="0.25">
      <c r="A2368" s="1"/>
    </row>
    <row r="2369" spans="1:1" ht="46.5" customHeight="1" x14ac:dyDescent="0.25">
      <c r="A2369" s="1"/>
    </row>
    <row r="2370" spans="1:1" ht="46.5" customHeight="1" x14ac:dyDescent="0.25">
      <c r="A2370" s="1"/>
    </row>
    <row r="2371" spans="1:1" ht="46.5" customHeight="1" x14ac:dyDescent="0.25">
      <c r="A2371" s="1"/>
    </row>
    <row r="2372" spans="1:1" ht="46.5" customHeight="1" x14ac:dyDescent="0.25">
      <c r="A2372" s="1"/>
    </row>
    <row r="2373" spans="1:1" ht="46.5" customHeight="1" x14ac:dyDescent="0.25">
      <c r="A2373" s="1"/>
    </row>
    <row r="2374" spans="1:1" ht="46.5" customHeight="1" x14ac:dyDescent="0.25">
      <c r="A2374" s="1"/>
    </row>
    <row r="2375" spans="1:1" ht="46.5" customHeight="1" x14ac:dyDescent="0.25">
      <c r="A2375" s="1"/>
    </row>
    <row r="2376" spans="1:1" ht="46.5" customHeight="1" x14ac:dyDescent="0.25">
      <c r="A2376" s="1"/>
    </row>
    <row r="2377" spans="1:1" ht="46.5" customHeight="1" x14ac:dyDescent="0.25">
      <c r="A2377" s="1"/>
    </row>
    <row r="2378" spans="1:1" ht="46.5" customHeight="1" x14ac:dyDescent="0.25">
      <c r="A2378" s="1"/>
    </row>
    <row r="2379" spans="1:1" ht="46.5" customHeight="1" x14ac:dyDescent="0.25">
      <c r="A2379" s="1"/>
    </row>
    <row r="2380" spans="1:1" ht="46.5" customHeight="1" x14ac:dyDescent="0.25">
      <c r="A2380" s="1"/>
    </row>
    <row r="2381" spans="1:1" ht="46.5" customHeight="1" x14ac:dyDescent="0.25">
      <c r="A2381" s="1"/>
    </row>
    <row r="2382" spans="1:1" ht="46.5" customHeight="1" x14ac:dyDescent="0.25">
      <c r="A2382" s="1"/>
    </row>
    <row r="2383" spans="1:1" ht="46.5" customHeight="1" x14ac:dyDescent="0.25">
      <c r="A2383" s="1"/>
    </row>
    <row r="2384" spans="1:1" ht="46.5" customHeight="1" x14ac:dyDescent="0.25">
      <c r="A2384" s="1"/>
    </row>
    <row r="2385" spans="1:1" ht="46.5" customHeight="1" x14ac:dyDescent="0.25">
      <c r="A2385" s="1"/>
    </row>
    <row r="2386" spans="1:1" ht="46.5" customHeight="1" x14ac:dyDescent="0.25">
      <c r="A2386" s="1"/>
    </row>
    <row r="2387" spans="1:1" ht="46.5" customHeight="1" x14ac:dyDescent="0.25">
      <c r="A2387" s="1"/>
    </row>
    <row r="2388" spans="1:1" ht="46.5" customHeight="1" x14ac:dyDescent="0.25">
      <c r="A2388" s="1"/>
    </row>
    <row r="2389" spans="1:1" ht="46.5" customHeight="1" x14ac:dyDescent="0.25">
      <c r="A2389" s="1"/>
    </row>
    <row r="2390" spans="1:1" ht="46.5" customHeight="1" x14ac:dyDescent="0.25">
      <c r="A2390" s="1"/>
    </row>
    <row r="2391" spans="1:1" ht="46.5" customHeight="1" x14ac:dyDescent="0.25">
      <c r="A2391" s="1"/>
    </row>
    <row r="2392" spans="1:1" ht="46.5" customHeight="1" x14ac:dyDescent="0.25">
      <c r="A2392" s="1"/>
    </row>
    <row r="2393" spans="1:1" ht="46.5" customHeight="1" x14ac:dyDescent="0.25">
      <c r="A2393" s="1"/>
    </row>
    <row r="2394" spans="1:1" ht="46.5" customHeight="1" x14ac:dyDescent="0.25">
      <c r="A2394" s="1"/>
    </row>
    <row r="2395" spans="1:1" ht="46.5" customHeight="1" x14ac:dyDescent="0.25">
      <c r="A2395" s="1"/>
    </row>
    <row r="2396" spans="1:1" ht="46.5" customHeight="1" x14ac:dyDescent="0.25">
      <c r="A2396" s="1"/>
    </row>
    <row r="2397" spans="1:1" ht="46.5" customHeight="1" x14ac:dyDescent="0.25">
      <c r="A2397" s="1"/>
    </row>
    <row r="2398" spans="1:1" ht="46.5" customHeight="1" x14ac:dyDescent="0.25">
      <c r="A2398" s="1"/>
    </row>
    <row r="2399" spans="1:1" ht="46.5" customHeight="1" x14ac:dyDescent="0.25">
      <c r="A2399" s="1"/>
    </row>
    <row r="2400" spans="1:1" ht="46.5" customHeight="1" x14ac:dyDescent="0.25">
      <c r="A2400" s="1"/>
    </row>
    <row r="2401" spans="1:1" ht="46.5" customHeight="1" x14ac:dyDescent="0.25">
      <c r="A2401" s="1"/>
    </row>
    <row r="2402" spans="1:1" ht="46.5" customHeight="1" x14ac:dyDescent="0.25">
      <c r="A2402" s="1"/>
    </row>
    <row r="2403" spans="1:1" ht="46.5" customHeight="1" x14ac:dyDescent="0.25">
      <c r="A2403" s="1"/>
    </row>
    <row r="2404" spans="1:1" ht="46.5" customHeight="1" x14ac:dyDescent="0.25">
      <c r="A2404" s="1"/>
    </row>
    <row r="2405" spans="1:1" ht="46.5" customHeight="1" x14ac:dyDescent="0.25">
      <c r="A2405" s="1"/>
    </row>
    <row r="2406" spans="1:1" ht="46.5" customHeight="1" x14ac:dyDescent="0.25">
      <c r="A2406" s="1"/>
    </row>
    <row r="2407" spans="1:1" ht="46.5" customHeight="1" x14ac:dyDescent="0.25">
      <c r="A2407" s="1"/>
    </row>
    <row r="2408" spans="1:1" ht="46.5" customHeight="1" x14ac:dyDescent="0.25">
      <c r="A2408" s="1"/>
    </row>
    <row r="2409" spans="1:1" ht="46.5" customHeight="1" x14ac:dyDescent="0.25">
      <c r="A2409" s="1"/>
    </row>
    <row r="2410" spans="1:1" ht="46.5" customHeight="1" x14ac:dyDescent="0.25">
      <c r="A2410" s="1"/>
    </row>
    <row r="2411" spans="1:1" ht="46.5" customHeight="1" x14ac:dyDescent="0.25">
      <c r="A2411" s="1"/>
    </row>
    <row r="2412" spans="1:1" ht="46.5" customHeight="1" x14ac:dyDescent="0.25">
      <c r="A2412" s="1"/>
    </row>
    <row r="2413" spans="1:1" ht="46.5" customHeight="1" x14ac:dyDescent="0.25">
      <c r="A2413" s="1"/>
    </row>
    <row r="2414" spans="1:1" ht="46.5" customHeight="1" x14ac:dyDescent="0.25">
      <c r="A2414" s="1"/>
    </row>
    <row r="2415" spans="1:1" ht="46.5" customHeight="1" x14ac:dyDescent="0.25">
      <c r="A2415" s="1"/>
    </row>
    <row r="2416" spans="1:1" ht="46.5" customHeight="1" x14ac:dyDescent="0.25">
      <c r="A2416" s="1"/>
    </row>
    <row r="2417" spans="1:1" ht="46.5" customHeight="1" x14ac:dyDescent="0.25">
      <c r="A2417" s="1"/>
    </row>
    <row r="2418" spans="1:1" ht="46.5" customHeight="1" x14ac:dyDescent="0.25">
      <c r="A2418" s="1"/>
    </row>
    <row r="2419" spans="1:1" ht="46.5" customHeight="1" x14ac:dyDescent="0.25">
      <c r="A2419" s="1"/>
    </row>
    <row r="2420" spans="1:1" ht="46.5" customHeight="1" x14ac:dyDescent="0.25">
      <c r="A2420" s="1"/>
    </row>
    <row r="2421" spans="1:1" ht="46.5" customHeight="1" x14ac:dyDescent="0.25">
      <c r="A2421" s="1"/>
    </row>
    <row r="2422" spans="1:1" ht="46.5" customHeight="1" x14ac:dyDescent="0.25">
      <c r="A2422" s="1"/>
    </row>
    <row r="2423" spans="1:1" ht="46.5" customHeight="1" x14ac:dyDescent="0.25">
      <c r="A2423" s="1"/>
    </row>
    <row r="2424" spans="1:1" ht="46.5" customHeight="1" x14ac:dyDescent="0.25">
      <c r="A2424" s="1"/>
    </row>
    <row r="2425" spans="1:1" ht="46.5" customHeight="1" x14ac:dyDescent="0.25">
      <c r="A2425" s="1"/>
    </row>
    <row r="2426" spans="1:1" ht="46.5" customHeight="1" x14ac:dyDescent="0.25">
      <c r="A2426" s="1"/>
    </row>
    <row r="2427" spans="1:1" ht="46.5" customHeight="1" x14ac:dyDescent="0.25">
      <c r="A2427" s="1"/>
    </row>
    <row r="2428" spans="1:1" ht="46.5" customHeight="1" x14ac:dyDescent="0.25">
      <c r="A2428" s="1"/>
    </row>
    <row r="2429" spans="1:1" ht="46.5" customHeight="1" x14ac:dyDescent="0.25">
      <c r="A2429" s="1"/>
    </row>
    <row r="2430" spans="1:1" ht="46.5" customHeight="1" x14ac:dyDescent="0.25">
      <c r="A2430" s="1"/>
    </row>
    <row r="2431" spans="1:1" ht="46.5" customHeight="1" x14ac:dyDescent="0.25">
      <c r="A2431" s="1"/>
    </row>
    <row r="2432" spans="1:1" ht="46.5" customHeight="1" x14ac:dyDescent="0.25">
      <c r="A2432" s="1"/>
    </row>
    <row r="2433" spans="1:1" ht="46.5" customHeight="1" x14ac:dyDescent="0.25">
      <c r="A2433" s="1"/>
    </row>
    <row r="2434" spans="1:1" ht="46.5" customHeight="1" x14ac:dyDescent="0.25">
      <c r="A2434" s="1"/>
    </row>
    <row r="2435" spans="1:1" ht="46.5" customHeight="1" x14ac:dyDescent="0.25">
      <c r="A2435" s="1"/>
    </row>
    <row r="2436" spans="1:1" ht="46.5" customHeight="1" x14ac:dyDescent="0.25">
      <c r="A2436" s="1"/>
    </row>
    <row r="2437" spans="1:1" ht="46.5" customHeight="1" x14ac:dyDescent="0.25">
      <c r="A2437" s="1"/>
    </row>
    <row r="2438" spans="1:1" ht="46.5" customHeight="1" x14ac:dyDescent="0.25">
      <c r="A2438" s="1"/>
    </row>
    <row r="2439" spans="1:1" ht="46.5" customHeight="1" x14ac:dyDescent="0.25">
      <c r="A2439" s="1"/>
    </row>
    <row r="2440" spans="1:1" ht="46.5" customHeight="1" x14ac:dyDescent="0.25">
      <c r="A2440" s="1"/>
    </row>
    <row r="2441" spans="1:1" ht="46.5" customHeight="1" x14ac:dyDescent="0.25">
      <c r="A2441" s="1"/>
    </row>
    <row r="2442" spans="1:1" ht="46.5" customHeight="1" x14ac:dyDescent="0.25">
      <c r="A2442" s="1"/>
    </row>
    <row r="2443" spans="1:1" ht="46.5" customHeight="1" x14ac:dyDescent="0.25">
      <c r="A2443" s="1"/>
    </row>
    <row r="2444" spans="1:1" ht="46.5" customHeight="1" x14ac:dyDescent="0.25">
      <c r="A2444" s="1"/>
    </row>
    <row r="2445" spans="1:1" ht="46.5" customHeight="1" x14ac:dyDescent="0.25">
      <c r="A2445" s="1"/>
    </row>
    <row r="2446" spans="1:1" ht="46.5" customHeight="1" x14ac:dyDescent="0.25">
      <c r="A2446" s="1"/>
    </row>
    <row r="2447" spans="1:1" ht="46.5" customHeight="1" x14ac:dyDescent="0.25">
      <c r="A2447" s="1"/>
    </row>
    <row r="2448" spans="1:1" ht="46.5" customHeight="1" x14ac:dyDescent="0.25">
      <c r="A2448" s="1"/>
    </row>
    <row r="2449" spans="1:1" ht="46.5" customHeight="1" x14ac:dyDescent="0.25">
      <c r="A2449" s="1"/>
    </row>
    <row r="2450" spans="1:1" ht="46.5" customHeight="1" x14ac:dyDescent="0.25">
      <c r="A2450" s="1"/>
    </row>
    <row r="2451" spans="1:1" ht="46.5" customHeight="1" x14ac:dyDescent="0.25">
      <c r="A2451" s="1"/>
    </row>
    <row r="2452" spans="1:1" ht="46.5" customHeight="1" x14ac:dyDescent="0.25">
      <c r="A2452" s="1"/>
    </row>
    <row r="2453" spans="1:1" ht="46.5" customHeight="1" x14ac:dyDescent="0.25">
      <c r="A2453" s="1"/>
    </row>
    <row r="2454" spans="1:1" ht="46.5" customHeight="1" x14ac:dyDescent="0.25">
      <c r="A2454" s="1"/>
    </row>
    <row r="2455" spans="1:1" ht="46.5" customHeight="1" x14ac:dyDescent="0.25">
      <c r="A2455" s="1"/>
    </row>
    <row r="2456" spans="1:1" ht="46.5" customHeight="1" x14ac:dyDescent="0.25">
      <c r="A2456" s="1"/>
    </row>
    <row r="2457" spans="1:1" ht="46.5" customHeight="1" x14ac:dyDescent="0.25">
      <c r="A2457" s="1"/>
    </row>
    <row r="2458" spans="1:1" ht="46.5" customHeight="1" x14ac:dyDescent="0.25">
      <c r="A2458" s="1"/>
    </row>
    <row r="2459" spans="1:1" ht="46.5" customHeight="1" x14ac:dyDescent="0.25">
      <c r="A2459" s="1"/>
    </row>
    <row r="2460" spans="1:1" ht="46.5" customHeight="1" x14ac:dyDescent="0.25">
      <c r="A2460" s="1"/>
    </row>
    <row r="2461" spans="1:1" ht="46.5" customHeight="1" x14ac:dyDescent="0.25">
      <c r="A2461" s="1"/>
    </row>
    <row r="2462" spans="1:1" ht="46.5" customHeight="1" x14ac:dyDescent="0.25">
      <c r="A2462" s="1"/>
    </row>
    <row r="2463" spans="1:1" ht="46.5" customHeight="1" x14ac:dyDescent="0.25">
      <c r="A2463" s="1"/>
    </row>
    <row r="2464" spans="1:1" ht="46.5" customHeight="1" x14ac:dyDescent="0.25">
      <c r="A2464" s="1"/>
    </row>
    <row r="2465" spans="1:1" ht="46.5" customHeight="1" x14ac:dyDescent="0.25">
      <c r="A2465" s="1"/>
    </row>
    <row r="2466" spans="1:1" ht="46.5" customHeight="1" x14ac:dyDescent="0.25">
      <c r="A2466" s="1"/>
    </row>
    <row r="2467" spans="1:1" ht="46.5" customHeight="1" x14ac:dyDescent="0.25">
      <c r="A2467" s="1"/>
    </row>
    <row r="2468" spans="1:1" ht="46.5" customHeight="1" x14ac:dyDescent="0.25">
      <c r="A2468" s="1"/>
    </row>
    <row r="2469" spans="1:1" ht="46.5" customHeight="1" x14ac:dyDescent="0.25">
      <c r="A2469" s="1"/>
    </row>
    <row r="2470" spans="1:1" ht="46.5" customHeight="1" x14ac:dyDescent="0.25">
      <c r="A2470" s="1"/>
    </row>
    <row r="2471" spans="1:1" ht="46.5" customHeight="1" x14ac:dyDescent="0.25">
      <c r="A2471" s="1"/>
    </row>
    <row r="2472" spans="1:1" ht="46.5" customHeight="1" x14ac:dyDescent="0.25">
      <c r="A2472" s="1"/>
    </row>
    <row r="2473" spans="1:1" ht="46.5" customHeight="1" x14ac:dyDescent="0.25">
      <c r="A2473" s="1"/>
    </row>
    <row r="2474" spans="1:1" ht="46.5" customHeight="1" x14ac:dyDescent="0.25">
      <c r="A2474" s="1"/>
    </row>
    <row r="2475" spans="1:1" ht="46.5" customHeight="1" x14ac:dyDescent="0.25">
      <c r="A2475" s="1"/>
    </row>
    <row r="2476" spans="1:1" ht="46.5" customHeight="1" x14ac:dyDescent="0.25">
      <c r="A2476" s="1"/>
    </row>
    <row r="2477" spans="1:1" ht="46.5" customHeight="1" x14ac:dyDescent="0.25">
      <c r="A2477" s="1"/>
    </row>
    <row r="2478" spans="1:1" ht="46.5" customHeight="1" x14ac:dyDescent="0.25">
      <c r="A2478" s="1"/>
    </row>
    <row r="2479" spans="1:1" ht="46.5" customHeight="1" x14ac:dyDescent="0.25">
      <c r="A2479" s="1"/>
    </row>
    <row r="2480" spans="1:1" ht="46.5" customHeight="1" x14ac:dyDescent="0.25">
      <c r="A2480" s="1"/>
    </row>
    <row r="2481" spans="1:1" ht="46.5" customHeight="1" x14ac:dyDescent="0.25">
      <c r="A2481" s="1"/>
    </row>
    <row r="2482" spans="1:1" ht="46.5" customHeight="1" x14ac:dyDescent="0.25">
      <c r="A2482" s="1"/>
    </row>
    <row r="2483" spans="1:1" ht="46.5" customHeight="1" x14ac:dyDescent="0.25">
      <c r="A2483" s="1"/>
    </row>
    <row r="2484" spans="1:1" ht="46.5" customHeight="1" x14ac:dyDescent="0.25">
      <c r="A2484" s="1"/>
    </row>
    <row r="2485" spans="1:1" ht="46.5" customHeight="1" x14ac:dyDescent="0.25">
      <c r="A2485" s="1"/>
    </row>
    <row r="2486" spans="1:1" ht="46.5" customHeight="1" x14ac:dyDescent="0.25">
      <c r="A2486" s="1"/>
    </row>
    <row r="2487" spans="1:1" ht="46.5" customHeight="1" x14ac:dyDescent="0.25">
      <c r="A2487" s="1"/>
    </row>
    <row r="2488" spans="1:1" ht="46.5" customHeight="1" x14ac:dyDescent="0.25">
      <c r="A2488" s="1"/>
    </row>
    <row r="2489" spans="1:1" ht="46.5" customHeight="1" x14ac:dyDescent="0.25">
      <c r="A2489" s="1"/>
    </row>
    <row r="2490" spans="1:1" ht="46.5" customHeight="1" x14ac:dyDescent="0.25">
      <c r="A2490" s="1"/>
    </row>
    <row r="2491" spans="1:1" ht="46.5" customHeight="1" x14ac:dyDescent="0.25">
      <c r="A2491" s="1"/>
    </row>
    <row r="2492" spans="1:1" ht="46.5" customHeight="1" x14ac:dyDescent="0.25">
      <c r="A2492" s="1"/>
    </row>
    <row r="2493" spans="1:1" ht="46.5" customHeight="1" x14ac:dyDescent="0.25">
      <c r="A2493" s="1"/>
    </row>
    <row r="2494" spans="1:1" ht="46.5" customHeight="1" x14ac:dyDescent="0.25">
      <c r="A2494" s="1"/>
    </row>
    <row r="2495" spans="1:1" ht="46.5" customHeight="1" x14ac:dyDescent="0.25">
      <c r="A2495" s="1"/>
    </row>
    <row r="2496" spans="1:1" ht="46.5" customHeight="1" x14ac:dyDescent="0.25">
      <c r="A2496" s="1"/>
    </row>
    <row r="2497" spans="1:1" ht="46.5" customHeight="1" x14ac:dyDescent="0.25">
      <c r="A2497" s="1"/>
    </row>
    <row r="2498" spans="1:1" ht="46.5" customHeight="1" x14ac:dyDescent="0.25">
      <c r="A2498" s="1"/>
    </row>
    <row r="2499" spans="1:1" ht="46.5" customHeight="1" x14ac:dyDescent="0.25">
      <c r="A2499" s="1"/>
    </row>
    <row r="2500" spans="1:1" ht="46.5" customHeight="1" x14ac:dyDescent="0.25">
      <c r="A2500" s="1"/>
    </row>
    <row r="2501" spans="1:1" ht="46.5" customHeight="1" x14ac:dyDescent="0.25">
      <c r="A2501" s="1"/>
    </row>
    <row r="2502" spans="1:1" ht="46.5" customHeight="1" x14ac:dyDescent="0.25">
      <c r="A2502" s="1"/>
    </row>
    <row r="2503" spans="1:1" ht="46.5" customHeight="1" x14ac:dyDescent="0.25">
      <c r="A2503" s="1"/>
    </row>
    <row r="2504" spans="1:1" ht="46.5" customHeight="1" x14ac:dyDescent="0.25">
      <c r="A2504" s="1"/>
    </row>
    <row r="2505" spans="1:1" ht="46.5" customHeight="1" x14ac:dyDescent="0.25">
      <c r="A2505" s="1"/>
    </row>
    <row r="2506" spans="1:1" ht="46.5" customHeight="1" x14ac:dyDescent="0.25">
      <c r="A2506" s="1"/>
    </row>
    <row r="2507" spans="1:1" ht="46.5" customHeight="1" x14ac:dyDescent="0.25">
      <c r="A2507" s="1"/>
    </row>
    <row r="2508" spans="1:1" ht="46.5" customHeight="1" x14ac:dyDescent="0.25">
      <c r="A2508" s="1"/>
    </row>
    <row r="2509" spans="1:1" ht="46.5" customHeight="1" x14ac:dyDescent="0.25">
      <c r="A2509" s="1"/>
    </row>
    <row r="2510" spans="1:1" ht="46.5" customHeight="1" x14ac:dyDescent="0.25">
      <c r="A2510" s="1"/>
    </row>
    <row r="2511" spans="1:1" ht="46.5" customHeight="1" x14ac:dyDescent="0.25">
      <c r="A2511" s="1"/>
    </row>
    <row r="2512" spans="1:1" ht="46.5" customHeight="1" x14ac:dyDescent="0.25">
      <c r="A2512" s="1"/>
    </row>
    <row r="2513" spans="1:1" ht="46.5" customHeight="1" x14ac:dyDescent="0.25">
      <c r="A2513" s="1"/>
    </row>
    <row r="2514" spans="1:1" ht="46.5" customHeight="1" x14ac:dyDescent="0.25">
      <c r="A2514" s="1"/>
    </row>
    <row r="2515" spans="1:1" ht="46.5" customHeight="1" x14ac:dyDescent="0.25">
      <c r="A2515" s="1"/>
    </row>
    <row r="2516" spans="1:1" ht="46.5" customHeight="1" x14ac:dyDescent="0.25">
      <c r="A2516" s="1"/>
    </row>
    <row r="2517" spans="1:1" ht="46.5" customHeight="1" x14ac:dyDescent="0.25">
      <c r="A2517" s="1"/>
    </row>
    <row r="2518" spans="1:1" ht="46.5" customHeight="1" x14ac:dyDescent="0.25">
      <c r="A2518" s="1"/>
    </row>
    <row r="2519" spans="1:1" ht="46.5" customHeight="1" x14ac:dyDescent="0.25">
      <c r="A2519" s="1"/>
    </row>
    <row r="2520" spans="1:1" ht="46.5" customHeight="1" x14ac:dyDescent="0.25">
      <c r="A2520" s="1"/>
    </row>
    <row r="2521" spans="1:1" ht="46.5" customHeight="1" x14ac:dyDescent="0.25">
      <c r="A2521" s="1"/>
    </row>
    <row r="2522" spans="1:1" ht="46.5" customHeight="1" x14ac:dyDescent="0.25">
      <c r="A2522" s="1"/>
    </row>
    <row r="2523" spans="1:1" ht="46.5" customHeight="1" x14ac:dyDescent="0.25">
      <c r="A2523" s="1"/>
    </row>
    <row r="2524" spans="1:1" ht="46.5" customHeight="1" x14ac:dyDescent="0.25">
      <c r="A2524" s="1"/>
    </row>
    <row r="2525" spans="1:1" ht="46.5" customHeight="1" x14ac:dyDescent="0.25">
      <c r="A2525" s="1"/>
    </row>
    <row r="2526" spans="1:1" ht="46.5" customHeight="1" x14ac:dyDescent="0.25">
      <c r="A2526" s="1"/>
    </row>
    <row r="2527" spans="1:1" ht="46.5" customHeight="1" x14ac:dyDescent="0.25">
      <c r="A2527" s="1"/>
    </row>
    <row r="2528" spans="1:1" ht="46.5" customHeight="1" x14ac:dyDescent="0.25">
      <c r="A2528" s="1"/>
    </row>
    <row r="2529" spans="1:1" ht="46.5" customHeight="1" x14ac:dyDescent="0.25">
      <c r="A2529" s="1"/>
    </row>
    <row r="2530" spans="1:1" ht="46.5" customHeight="1" x14ac:dyDescent="0.25">
      <c r="A2530" s="1"/>
    </row>
    <row r="2531" spans="1:1" ht="46.5" customHeight="1" x14ac:dyDescent="0.25">
      <c r="A2531" s="1"/>
    </row>
    <row r="2532" spans="1:1" ht="46.5" customHeight="1" x14ac:dyDescent="0.25">
      <c r="A2532" s="1"/>
    </row>
    <row r="2533" spans="1:1" ht="46.5" customHeight="1" x14ac:dyDescent="0.25">
      <c r="A2533" s="1"/>
    </row>
    <row r="2534" spans="1:1" ht="46.5" customHeight="1" x14ac:dyDescent="0.25">
      <c r="A2534" s="1"/>
    </row>
    <row r="2535" spans="1:1" ht="46.5" customHeight="1" x14ac:dyDescent="0.25">
      <c r="A2535" s="1"/>
    </row>
    <row r="2536" spans="1:1" ht="46.5" customHeight="1" x14ac:dyDescent="0.25">
      <c r="A2536" s="1"/>
    </row>
    <row r="2537" spans="1:1" ht="46.5" customHeight="1" x14ac:dyDescent="0.25">
      <c r="A2537" s="1"/>
    </row>
    <row r="2538" spans="1:1" ht="46.5" customHeight="1" x14ac:dyDescent="0.25">
      <c r="A2538" s="1"/>
    </row>
    <row r="2539" spans="1:1" ht="46.5" customHeight="1" x14ac:dyDescent="0.25">
      <c r="A2539" s="1"/>
    </row>
    <row r="2540" spans="1:1" ht="46.5" customHeight="1" x14ac:dyDescent="0.25">
      <c r="A2540" s="1"/>
    </row>
    <row r="2541" spans="1:1" ht="46.5" customHeight="1" x14ac:dyDescent="0.25">
      <c r="A2541" s="1"/>
    </row>
    <row r="2542" spans="1:1" ht="46.5" customHeight="1" x14ac:dyDescent="0.25">
      <c r="A2542" s="1"/>
    </row>
    <row r="2543" spans="1:1" ht="46.5" customHeight="1" x14ac:dyDescent="0.25">
      <c r="A2543" s="1"/>
    </row>
    <row r="2544" spans="1:1" ht="46.5" customHeight="1" x14ac:dyDescent="0.25">
      <c r="A2544" s="1"/>
    </row>
    <row r="2545" spans="1:1" ht="46.5" customHeight="1" x14ac:dyDescent="0.25">
      <c r="A2545" s="1"/>
    </row>
    <row r="2546" spans="1:1" ht="46.5" customHeight="1" x14ac:dyDescent="0.25">
      <c r="A2546" s="1"/>
    </row>
    <row r="2547" spans="1:1" ht="46.5" customHeight="1" x14ac:dyDescent="0.25">
      <c r="A2547" s="1"/>
    </row>
    <row r="2548" spans="1:1" ht="46.5" customHeight="1" x14ac:dyDescent="0.25">
      <c r="A2548" s="1"/>
    </row>
    <row r="2549" spans="1:1" ht="46.5" customHeight="1" x14ac:dyDescent="0.25">
      <c r="A2549" s="1"/>
    </row>
    <row r="2550" spans="1:1" ht="46.5" customHeight="1" x14ac:dyDescent="0.25">
      <c r="A2550" s="1"/>
    </row>
    <row r="2551" spans="1:1" ht="46.5" customHeight="1" x14ac:dyDescent="0.25">
      <c r="A2551" s="1"/>
    </row>
    <row r="2552" spans="1:1" ht="46.5" customHeight="1" x14ac:dyDescent="0.25">
      <c r="A2552" s="1"/>
    </row>
    <row r="2553" spans="1:1" ht="46.5" customHeight="1" x14ac:dyDescent="0.25">
      <c r="A2553" s="1"/>
    </row>
    <row r="2554" spans="1:1" ht="46.5" customHeight="1" x14ac:dyDescent="0.25">
      <c r="A2554" s="1"/>
    </row>
    <row r="2555" spans="1:1" ht="46.5" customHeight="1" x14ac:dyDescent="0.25">
      <c r="A2555" s="1"/>
    </row>
    <row r="2556" spans="1:1" ht="46.5" customHeight="1" x14ac:dyDescent="0.25">
      <c r="A2556" s="1"/>
    </row>
    <row r="2557" spans="1:1" ht="46.5" customHeight="1" x14ac:dyDescent="0.25">
      <c r="A2557" s="1"/>
    </row>
    <row r="2558" spans="1:1" ht="46.5" customHeight="1" x14ac:dyDescent="0.25">
      <c r="A2558" s="1"/>
    </row>
    <row r="2559" spans="1:1" ht="46.5" customHeight="1" x14ac:dyDescent="0.25">
      <c r="A2559" s="1"/>
    </row>
    <row r="2560" spans="1:1" ht="46.5" customHeight="1" x14ac:dyDescent="0.25">
      <c r="A2560" s="1"/>
    </row>
    <row r="2561" spans="1:1" ht="46.5" customHeight="1" x14ac:dyDescent="0.25">
      <c r="A2561" s="1"/>
    </row>
    <row r="2562" spans="1:1" ht="46.5" customHeight="1" x14ac:dyDescent="0.25">
      <c r="A2562" s="1"/>
    </row>
    <row r="2563" spans="1:1" ht="46.5" customHeight="1" x14ac:dyDescent="0.25">
      <c r="A2563" s="1"/>
    </row>
    <row r="2564" spans="1:1" ht="46.5" customHeight="1" x14ac:dyDescent="0.25">
      <c r="A2564" s="1"/>
    </row>
    <row r="2565" spans="1:1" ht="46.5" customHeight="1" x14ac:dyDescent="0.25">
      <c r="A2565" s="1"/>
    </row>
    <row r="2566" spans="1:1" ht="46.5" customHeight="1" x14ac:dyDescent="0.25">
      <c r="A2566" s="1"/>
    </row>
    <row r="2567" spans="1:1" ht="46.5" customHeight="1" x14ac:dyDescent="0.25">
      <c r="A2567" s="1"/>
    </row>
    <row r="2568" spans="1:1" ht="46.5" customHeight="1" x14ac:dyDescent="0.25">
      <c r="A2568" s="1"/>
    </row>
    <row r="2569" spans="1:1" ht="46.5" customHeight="1" x14ac:dyDescent="0.25">
      <c r="A2569" s="1"/>
    </row>
    <row r="2570" spans="1:1" ht="46.5" customHeight="1" x14ac:dyDescent="0.25">
      <c r="A2570" s="1"/>
    </row>
    <row r="2571" spans="1:1" ht="46.5" customHeight="1" x14ac:dyDescent="0.25">
      <c r="A2571" s="1"/>
    </row>
    <row r="2572" spans="1:1" ht="46.5" customHeight="1" x14ac:dyDescent="0.25">
      <c r="A2572" s="1"/>
    </row>
    <row r="2573" spans="1:1" ht="46.5" customHeight="1" x14ac:dyDescent="0.25">
      <c r="A2573" s="1"/>
    </row>
    <row r="2574" spans="1:1" ht="46.5" customHeight="1" x14ac:dyDescent="0.25">
      <c r="A2574" s="1"/>
    </row>
    <row r="2575" spans="1:1" ht="46.5" customHeight="1" x14ac:dyDescent="0.25">
      <c r="A2575" s="1"/>
    </row>
    <row r="2576" spans="1:1" ht="46.5" customHeight="1" x14ac:dyDescent="0.25">
      <c r="A2576" s="1"/>
    </row>
    <row r="2577" spans="1:1" ht="46.5" customHeight="1" x14ac:dyDescent="0.25">
      <c r="A2577" s="1"/>
    </row>
    <row r="2578" spans="1:1" ht="46.5" customHeight="1" x14ac:dyDescent="0.25">
      <c r="A2578" s="1"/>
    </row>
    <row r="2579" spans="1:1" ht="46.5" customHeight="1" x14ac:dyDescent="0.25">
      <c r="A2579" s="1"/>
    </row>
    <row r="2580" spans="1:1" ht="46.5" customHeight="1" x14ac:dyDescent="0.25">
      <c r="A2580" s="1"/>
    </row>
    <row r="2581" spans="1:1" ht="46.5" customHeight="1" x14ac:dyDescent="0.25">
      <c r="A2581" s="1"/>
    </row>
    <row r="2582" spans="1:1" ht="46.5" customHeight="1" x14ac:dyDescent="0.25">
      <c r="A2582" s="1"/>
    </row>
    <row r="2583" spans="1:1" ht="46.5" customHeight="1" x14ac:dyDescent="0.25">
      <c r="A2583" s="1"/>
    </row>
    <row r="2584" spans="1:1" ht="46.5" customHeight="1" x14ac:dyDescent="0.25">
      <c r="A2584" s="1"/>
    </row>
    <row r="2585" spans="1:1" ht="46.5" customHeight="1" x14ac:dyDescent="0.25">
      <c r="A2585" s="1"/>
    </row>
    <row r="2586" spans="1:1" ht="46.5" customHeight="1" x14ac:dyDescent="0.25">
      <c r="A2586" s="1"/>
    </row>
    <row r="2587" spans="1:1" ht="46.5" customHeight="1" x14ac:dyDescent="0.25">
      <c r="A2587" s="1"/>
    </row>
    <row r="2588" spans="1:1" ht="46.5" customHeight="1" x14ac:dyDescent="0.25">
      <c r="A2588" s="1"/>
    </row>
    <row r="2589" spans="1:1" ht="46.5" customHeight="1" x14ac:dyDescent="0.25">
      <c r="A2589" s="1"/>
    </row>
    <row r="2590" spans="1:1" ht="46.5" customHeight="1" x14ac:dyDescent="0.25">
      <c r="A2590" s="1"/>
    </row>
    <row r="2591" spans="1:1" ht="46.5" customHeight="1" x14ac:dyDescent="0.25">
      <c r="A2591" s="1"/>
    </row>
    <row r="2592" spans="1:1" ht="46.5" customHeight="1" x14ac:dyDescent="0.25">
      <c r="A2592" s="1"/>
    </row>
    <row r="2593" spans="1:1" ht="46.5" customHeight="1" x14ac:dyDescent="0.25">
      <c r="A2593" s="1"/>
    </row>
    <row r="2594" spans="1:1" ht="46.5" customHeight="1" x14ac:dyDescent="0.25">
      <c r="A2594" s="1"/>
    </row>
    <row r="2595" spans="1:1" ht="46.5" customHeight="1" x14ac:dyDescent="0.25">
      <c r="A2595" s="1"/>
    </row>
    <row r="2596" spans="1:1" ht="46.5" customHeight="1" x14ac:dyDescent="0.25">
      <c r="A2596" s="1"/>
    </row>
    <row r="2597" spans="1:1" ht="46.5" customHeight="1" x14ac:dyDescent="0.25">
      <c r="A2597" s="1"/>
    </row>
    <row r="2598" spans="1:1" ht="46.5" customHeight="1" x14ac:dyDescent="0.25">
      <c r="A2598" s="1"/>
    </row>
    <row r="2599" spans="1:1" ht="46.5" customHeight="1" x14ac:dyDescent="0.25">
      <c r="A2599" s="1"/>
    </row>
    <row r="2600" spans="1:1" ht="46.5" customHeight="1" x14ac:dyDescent="0.25">
      <c r="A2600" s="1"/>
    </row>
    <row r="2601" spans="1:1" ht="46.5" customHeight="1" x14ac:dyDescent="0.25">
      <c r="A2601" s="1"/>
    </row>
    <row r="2602" spans="1:1" ht="46.5" customHeight="1" x14ac:dyDescent="0.25">
      <c r="A2602" s="1"/>
    </row>
    <row r="2603" spans="1:1" ht="46.5" customHeight="1" x14ac:dyDescent="0.25">
      <c r="A2603" s="1"/>
    </row>
    <row r="2604" spans="1:1" ht="46.5" customHeight="1" x14ac:dyDescent="0.25">
      <c r="A2604" s="1"/>
    </row>
    <row r="2605" spans="1:1" ht="46.5" customHeight="1" x14ac:dyDescent="0.25">
      <c r="A2605" s="1"/>
    </row>
    <row r="2606" spans="1:1" ht="46.5" customHeight="1" x14ac:dyDescent="0.25">
      <c r="A2606" s="1"/>
    </row>
    <row r="2607" spans="1:1" ht="46.5" customHeight="1" x14ac:dyDescent="0.25">
      <c r="A2607" s="1"/>
    </row>
    <row r="2608" spans="1:1" ht="46.5" customHeight="1" x14ac:dyDescent="0.25">
      <c r="A2608" s="1"/>
    </row>
    <row r="2609" spans="1:1" ht="46.5" customHeight="1" x14ac:dyDescent="0.25">
      <c r="A2609" s="1"/>
    </row>
    <row r="2610" spans="1:1" ht="46.5" customHeight="1" x14ac:dyDescent="0.25">
      <c r="A2610" s="1"/>
    </row>
    <row r="2611" spans="1:1" ht="46.5" customHeight="1" x14ac:dyDescent="0.25">
      <c r="A2611" s="1"/>
    </row>
    <row r="2612" spans="1:1" ht="46.5" customHeight="1" x14ac:dyDescent="0.25">
      <c r="A2612" s="1"/>
    </row>
    <row r="2613" spans="1:1" ht="46.5" customHeight="1" x14ac:dyDescent="0.25">
      <c r="A2613" s="1"/>
    </row>
    <row r="2614" spans="1:1" ht="46.5" customHeight="1" x14ac:dyDescent="0.25">
      <c r="A2614" s="1"/>
    </row>
    <row r="2615" spans="1:1" ht="46.5" customHeight="1" x14ac:dyDescent="0.25">
      <c r="A2615" s="1"/>
    </row>
    <row r="2616" spans="1:1" ht="46.5" customHeight="1" x14ac:dyDescent="0.25">
      <c r="A2616" s="1"/>
    </row>
    <row r="2617" spans="1:1" ht="46.5" customHeight="1" x14ac:dyDescent="0.25">
      <c r="A2617" s="1"/>
    </row>
    <row r="2618" spans="1:1" ht="46.5" customHeight="1" x14ac:dyDescent="0.25">
      <c r="A2618" s="1"/>
    </row>
    <row r="2619" spans="1:1" ht="46.5" customHeight="1" x14ac:dyDescent="0.25">
      <c r="A2619" s="1"/>
    </row>
    <row r="2620" spans="1:1" ht="46.5" customHeight="1" x14ac:dyDescent="0.25">
      <c r="A2620" s="1"/>
    </row>
    <row r="2621" spans="1:1" ht="46.5" customHeight="1" x14ac:dyDescent="0.25">
      <c r="A2621" s="1"/>
    </row>
    <row r="2622" spans="1:1" ht="46.5" customHeight="1" x14ac:dyDescent="0.25">
      <c r="A2622" s="1"/>
    </row>
    <row r="2623" spans="1:1" ht="46.5" customHeight="1" x14ac:dyDescent="0.25">
      <c r="A2623" s="1"/>
    </row>
    <row r="2624" spans="1:1" ht="46.5" customHeight="1" x14ac:dyDescent="0.25">
      <c r="A2624" s="1"/>
    </row>
    <row r="2625" spans="1:1" ht="46.5" customHeight="1" x14ac:dyDescent="0.25">
      <c r="A2625" s="1"/>
    </row>
    <row r="2626" spans="1:1" ht="46.5" customHeight="1" x14ac:dyDescent="0.25">
      <c r="A2626" s="1"/>
    </row>
    <row r="2627" spans="1:1" ht="46.5" customHeight="1" x14ac:dyDescent="0.25">
      <c r="A2627" s="1"/>
    </row>
    <row r="2628" spans="1:1" ht="46.5" customHeight="1" x14ac:dyDescent="0.25">
      <c r="A2628" s="1"/>
    </row>
    <row r="2629" spans="1:1" ht="46.5" customHeight="1" x14ac:dyDescent="0.25">
      <c r="A2629" s="1"/>
    </row>
    <row r="2630" spans="1:1" ht="46.5" customHeight="1" x14ac:dyDescent="0.25">
      <c r="A2630" s="1"/>
    </row>
    <row r="2631" spans="1:1" ht="46.5" customHeight="1" x14ac:dyDescent="0.25">
      <c r="A2631" s="1"/>
    </row>
    <row r="2632" spans="1:1" ht="46.5" customHeight="1" x14ac:dyDescent="0.25">
      <c r="A2632" s="1"/>
    </row>
    <row r="2633" spans="1:1" ht="46.5" customHeight="1" x14ac:dyDescent="0.25">
      <c r="A2633" s="1"/>
    </row>
    <row r="2634" spans="1:1" ht="46.5" customHeight="1" x14ac:dyDescent="0.25">
      <c r="A2634" s="1"/>
    </row>
    <row r="2635" spans="1:1" ht="46.5" customHeight="1" x14ac:dyDescent="0.25">
      <c r="A2635" s="1"/>
    </row>
    <row r="2636" spans="1:1" ht="46.5" customHeight="1" x14ac:dyDescent="0.25">
      <c r="A2636" s="1"/>
    </row>
    <row r="2637" spans="1:1" ht="46.5" customHeight="1" x14ac:dyDescent="0.25">
      <c r="A2637" s="1"/>
    </row>
    <row r="2638" spans="1:1" ht="46.5" customHeight="1" x14ac:dyDescent="0.25">
      <c r="A2638" s="1"/>
    </row>
    <row r="2639" spans="1:1" ht="46.5" customHeight="1" x14ac:dyDescent="0.25">
      <c r="A2639" s="1"/>
    </row>
    <row r="2640" spans="1:1" ht="46.5" customHeight="1" x14ac:dyDescent="0.25">
      <c r="A2640" s="1"/>
    </row>
    <row r="2641" spans="1:1" ht="46.5" customHeight="1" x14ac:dyDescent="0.25">
      <c r="A2641" s="1"/>
    </row>
    <row r="2642" spans="1:1" ht="46.5" customHeight="1" x14ac:dyDescent="0.25">
      <c r="A2642" s="1"/>
    </row>
    <row r="2643" spans="1:1" ht="46.5" customHeight="1" x14ac:dyDescent="0.25">
      <c r="A2643" s="1"/>
    </row>
    <row r="2644" spans="1:1" ht="46.5" customHeight="1" x14ac:dyDescent="0.25">
      <c r="A2644" s="1"/>
    </row>
    <row r="2645" spans="1:1" ht="46.5" customHeight="1" x14ac:dyDescent="0.25">
      <c r="A2645" s="1"/>
    </row>
    <row r="2646" spans="1:1" ht="46.5" customHeight="1" x14ac:dyDescent="0.25">
      <c r="A2646" s="1"/>
    </row>
    <row r="2647" spans="1:1" ht="46.5" customHeight="1" x14ac:dyDescent="0.25">
      <c r="A2647" s="1"/>
    </row>
    <row r="2648" spans="1:1" ht="46.5" customHeight="1" x14ac:dyDescent="0.25">
      <c r="A2648" s="1"/>
    </row>
    <row r="2649" spans="1:1" ht="46.5" customHeight="1" x14ac:dyDescent="0.25">
      <c r="A2649" s="1"/>
    </row>
    <row r="2650" spans="1:1" ht="46.5" customHeight="1" x14ac:dyDescent="0.25">
      <c r="A2650" s="1"/>
    </row>
    <row r="2651" spans="1:1" ht="46.5" customHeight="1" x14ac:dyDescent="0.25">
      <c r="A2651" s="1"/>
    </row>
    <row r="2652" spans="1:1" ht="46.5" customHeight="1" x14ac:dyDescent="0.25">
      <c r="A2652" s="1"/>
    </row>
    <row r="2653" spans="1:1" ht="46.5" customHeight="1" x14ac:dyDescent="0.25">
      <c r="A2653" s="1"/>
    </row>
    <row r="2654" spans="1:1" ht="46.5" customHeight="1" x14ac:dyDescent="0.25">
      <c r="A2654" s="1"/>
    </row>
    <row r="2655" spans="1:1" ht="46.5" customHeight="1" x14ac:dyDescent="0.25">
      <c r="A2655" s="1"/>
    </row>
    <row r="2656" spans="1:1" ht="46.5" customHeight="1" x14ac:dyDescent="0.25">
      <c r="A2656" s="1"/>
    </row>
    <row r="2657" spans="1:1" ht="46.5" customHeight="1" x14ac:dyDescent="0.25">
      <c r="A2657" s="1"/>
    </row>
    <row r="2658" spans="1:1" ht="46.5" customHeight="1" x14ac:dyDescent="0.25">
      <c r="A2658" s="1"/>
    </row>
    <row r="2659" spans="1:1" ht="46.5" customHeight="1" x14ac:dyDescent="0.25">
      <c r="A2659" s="1"/>
    </row>
    <row r="2660" spans="1:1" ht="46.5" customHeight="1" x14ac:dyDescent="0.25">
      <c r="A2660" s="1"/>
    </row>
    <row r="2661" spans="1:1" ht="46.5" customHeight="1" x14ac:dyDescent="0.25">
      <c r="A2661" s="1"/>
    </row>
    <row r="2662" spans="1:1" ht="46.5" customHeight="1" x14ac:dyDescent="0.25">
      <c r="A2662" s="1"/>
    </row>
    <row r="2663" spans="1:1" ht="46.5" customHeight="1" x14ac:dyDescent="0.25">
      <c r="A2663" s="1"/>
    </row>
    <row r="2664" spans="1:1" ht="46.5" customHeight="1" x14ac:dyDescent="0.25">
      <c r="A2664" s="1"/>
    </row>
    <row r="2665" spans="1:1" ht="46.5" customHeight="1" x14ac:dyDescent="0.25">
      <c r="A2665" s="1"/>
    </row>
    <row r="2666" spans="1:1" ht="46.5" customHeight="1" x14ac:dyDescent="0.25">
      <c r="A2666" s="1"/>
    </row>
    <row r="2667" spans="1:1" ht="46.5" customHeight="1" x14ac:dyDescent="0.25">
      <c r="A2667" s="1"/>
    </row>
    <row r="2668" spans="1:1" ht="46.5" customHeight="1" x14ac:dyDescent="0.25">
      <c r="A2668" s="1"/>
    </row>
    <row r="2669" spans="1:1" ht="46.5" customHeight="1" x14ac:dyDescent="0.25">
      <c r="A2669" s="1"/>
    </row>
    <row r="2670" spans="1:1" ht="46.5" customHeight="1" x14ac:dyDescent="0.25">
      <c r="A2670" s="1"/>
    </row>
    <row r="2671" spans="1:1" ht="46.5" customHeight="1" x14ac:dyDescent="0.25">
      <c r="A2671" s="1"/>
    </row>
    <row r="2672" spans="1:1" ht="46.5" customHeight="1" x14ac:dyDescent="0.25">
      <c r="A2672" s="1"/>
    </row>
    <row r="2673" spans="1:1" ht="46.5" customHeight="1" x14ac:dyDescent="0.25">
      <c r="A2673" s="1"/>
    </row>
    <row r="2674" spans="1:1" ht="46.5" customHeight="1" x14ac:dyDescent="0.25">
      <c r="A2674" s="1"/>
    </row>
    <row r="2675" spans="1:1" ht="46.5" customHeight="1" x14ac:dyDescent="0.25">
      <c r="A2675" s="1"/>
    </row>
    <row r="2676" spans="1:1" ht="46.5" customHeight="1" x14ac:dyDescent="0.25">
      <c r="A2676" s="1"/>
    </row>
    <row r="2677" spans="1:1" ht="46.5" customHeight="1" x14ac:dyDescent="0.25">
      <c r="A2677" s="1"/>
    </row>
    <row r="2678" spans="1:1" ht="46.5" customHeight="1" x14ac:dyDescent="0.25">
      <c r="A2678" s="1"/>
    </row>
    <row r="2679" spans="1:1" ht="46.5" customHeight="1" x14ac:dyDescent="0.25">
      <c r="A2679" s="1"/>
    </row>
    <row r="2680" spans="1:1" ht="46.5" customHeight="1" x14ac:dyDescent="0.25">
      <c r="A2680" s="1"/>
    </row>
    <row r="2681" spans="1:1" ht="46.5" customHeight="1" x14ac:dyDescent="0.25">
      <c r="A2681" s="1"/>
    </row>
    <row r="2682" spans="1:1" ht="46.5" customHeight="1" x14ac:dyDescent="0.25">
      <c r="A2682" s="1"/>
    </row>
    <row r="2683" spans="1:1" ht="46.5" customHeight="1" x14ac:dyDescent="0.25">
      <c r="A2683" s="1"/>
    </row>
    <row r="2684" spans="1:1" ht="46.5" customHeight="1" x14ac:dyDescent="0.25">
      <c r="A2684" s="1"/>
    </row>
    <row r="2685" spans="1:1" ht="46.5" customHeight="1" x14ac:dyDescent="0.25">
      <c r="A2685" s="1"/>
    </row>
    <row r="2686" spans="1:1" ht="46.5" customHeight="1" x14ac:dyDescent="0.25">
      <c r="A2686" s="1"/>
    </row>
    <row r="2687" spans="1:1" ht="46.5" customHeight="1" x14ac:dyDescent="0.25">
      <c r="A2687" s="1"/>
    </row>
    <row r="2688" spans="1:1" ht="46.5" customHeight="1" x14ac:dyDescent="0.25">
      <c r="A2688" s="1"/>
    </row>
    <row r="2689" spans="1:1" ht="46.5" customHeight="1" x14ac:dyDescent="0.25">
      <c r="A2689" s="1"/>
    </row>
    <row r="2690" spans="1:1" ht="46.5" customHeight="1" x14ac:dyDescent="0.25">
      <c r="A2690" s="1"/>
    </row>
    <row r="2691" spans="1:1" ht="46.5" customHeight="1" x14ac:dyDescent="0.25">
      <c r="A2691" s="1"/>
    </row>
    <row r="2692" spans="1:1" ht="46.5" customHeight="1" x14ac:dyDescent="0.25">
      <c r="A2692" s="1"/>
    </row>
    <row r="2693" spans="1:1" ht="46.5" customHeight="1" x14ac:dyDescent="0.25">
      <c r="A2693" s="1"/>
    </row>
    <row r="2694" spans="1:1" ht="46.5" customHeight="1" x14ac:dyDescent="0.25">
      <c r="A2694" s="1"/>
    </row>
    <row r="2695" spans="1:1" ht="46.5" customHeight="1" x14ac:dyDescent="0.25">
      <c r="A2695" s="1"/>
    </row>
    <row r="2696" spans="1:1" ht="46.5" customHeight="1" x14ac:dyDescent="0.25">
      <c r="A2696" s="1"/>
    </row>
    <row r="2697" spans="1:1" ht="46.5" customHeight="1" x14ac:dyDescent="0.25">
      <c r="A2697" s="1"/>
    </row>
    <row r="2698" spans="1:1" ht="46.5" customHeight="1" x14ac:dyDescent="0.25">
      <c r="A2698" s="1"/>
    </row>
    <row r="2699" spans="1:1" ht="46.5" customHeight="1" x14ac:dyDescent="0.25">
      <c r="A2699" s="1"/>
    </row>
    <row r="2700" spans="1:1" ht="46.5" customHeight="1" x14ac:dyDescent="0.25">
      <c r="A2700" s="1"/>
    </row>
    <row r="2701" spans="1:1" ht="46.5" customHeight="1" x14ac:dyDescent="0.25">
      <c r="A2701" s="1"/>
    </row>
    <row r="2702" spans="1:1" ht="46.5" customHeight="1" x14ac:dyDescent="0.25">
      <c r="A2702" s="1"/>
    </row>
    <row r="2703" spans="1:1" ht="46.5" customHeight="1" x14ac:dyDescent="0.25">
      <c r="A2703" s="1"/>
    </row>
    <row r="2704" spans="1:1" ht="46.5" customHeight="1" x14ac:dyDescent="0.25">
      <c r="A2704" s="1"/>
    </row>
    <row r="2705" spans="1:1" ht="46.5" customHeight="1" x14ac:dyDescent="0.25">
      <c r="A2705" s="1"/>
    </row>
    <row r="2706" spans="1:1" ht="46.5" customHeight="1" x14ac:dyDescent="0.25">
      <c r="A2706" s="1"/>
    </row>
    <row r="2707" spans="1:1" ht="46.5" customHeight="1" x14ac:dyDescent="0.25">
      <c r="A2707" s="1"/>
    </row>
    <row r="2708" spans="1:1" ht="46.5" customHeight="1" x14ac:dyDescent="0.25">
      <c r="A2708" s="1"/>
    </row>
    <row r="2709" spans="1:1" ht="46.5" customHeight="1" x14ac:dyDescent="0.25">
      <c r="A2709" s="1"/>
    </row>
    <row r="2710" spans="1:1" ht="46.5" customHeight="1" x14ac:dyDescent="0.25">
      <c r="A2710" s="1"/>
    </row>
    <row r="2711" spans="1:1" ht="46.5" customHeight="1" x14ac:dyDescent="0.25">
      <c r="A2711" s="1"/>
    </row>
    <row r="2712" spans="1:1" ht="46.5" customHeight="1" x14ac:dyDescent="0.25">
      <c r="A2712" s="1"/>
    </row>
    <row r="2713" spans="1:1" ht="46.5" customHeight="1" x14ac:dyDescent="0.25">
      <c r="A2713" s="1"/>
    </row>
    <row r="2714" spans="1:1" ht="46.5" customHeight="1" x14ac:dyDescent="0.25">
      <c r="A2714" s="1"/>
    </row>
    <row r="2715" spans="1:1" ht="46.5" customHeight="1" x14ac:dyDescent="0.25">
      <c r="A2715" s="1"/>
    </row>
    <row r="2716" spans="1:1" ht="46.5" customHeight="1" x14ac:dyDescent="0.25">
      <c r="A2716" s="1"/>
    </row>
    <row r="2717" spans="1:1" ht="46.5" customHeight="1" x14ac:dyDescent="0.25">
      <c r="A2717" s="1"/>
    </row>
    <row r="2718" spans="1:1" ht="46.5" customHeight="1" x14ac:dyDescent="0.25">
      <c r="A2718" s="1"/>
    </row>
    <row r="2719" spans="1:1" ht="46.5" customHeight="1" x14ac:dyDescent="0.25">
      <c r="A2719" s="1"/>
    </row>
    <row r="2720" spans="1:1" ht="46.5" customHeight="1" x14ac:dyDescent="0.25">
      <c r="A2720" s="1"/>
    </row>
    <row r="2721" spans="1:1" ht="46.5" customHeight="1" x14ac:dyDescent="0.25">
      <c r="A2721" s="1"/>
    </row>
    <row r="2722" spans="1:1" ht="46.5" customHeight="1" x14ac:dyDescent="0.25">
      <c r="A2722" s="1"/>
    </row>
    <row r="2723" spans="1:1" ht="46.5" customHeight="1" x14ac:dyDescent="0.25">
      <c r="A2723" s="1"/>
    </row>
    <row r="2724" spans="1:1" ht="46.5" customHeight="1" x14ac:dyDescent="0.25">
      <c r="A2724" s="1"/>
    </row>
    <row r="2725" spans="1:1" ht="46.5" customHeight="1" x14ac:dyDescent="0.25">
      <c r="A2725" s="1"/>
    </row>
    <row r="2726" spans="1:1" ht="46.5" customHeight="1" x14ac:dyDescent="0.25">
      <c r="A2726" s="1"/>
    </row>
    <row r="2727" spans="1:1" ht="46.5" customHeight="1" x14ac:dyDescent="0.25">
      <c r="A2727" s="1"/>
    </row>
    <row r="2728" spans="1:1" ht="46.5" customHeight="1" x14ac:dyDescent="0.25">
      <c r="A2728" s="1"/>
    </row>
    <row r="2729" spans="1:1" ht="46.5" customHeight="1" x14ac:dyDescent="0.25">
      <c r="A2729" s="1"/>
    </row>
    <row r="2730" spans="1:1" ht="46.5" customHeight="1" x14ac:dyDescent="0.25">
      <c r="A2730" s="1"/>
    </row>
    <row r="2731" spans="1:1" ht="46.5" customHeight="1" x14ac:dyDescent="0.25">
      <c r="A2731" s="1"/>
    </row>
    <row r="2732" spans="1:1" ht="46.5" customHeight="1" x14ac:dyDescent="0.25">
      <c r="A2732" s="1"/>
    </row>
    <row r="2733" spans="1:1" ht="46.5" customHeight="1" x14ac:dyDescent="0.25">
      <c r="A2733" s="1"/>
    </row>
    <row r="2734" spans="1:1" ht="46.5" customHeight="1" x14ac:dyDescent="0.25">
      <c r="A2734" s="1"/>
    </row>
    <row r="2735" spans="1:1" ht="46.5" customHeight="1" x14ac:dyDescent="0.25">
      <c r="A2735" s="1"/>
    </row>
    <row r="2736" spans="1:1" ht="46.5" customHeight="1" x14ac:dyDescent="0.25">
      <c r="A2736" s="1"/>
    </row>
    <row r="2737" spans="1:1" ht="46.5" customHeight="1" x14ac:dyDescent="0.25">
      <c r="A2737" s="1"/>
    </row>
    <row r="2738" spans="1:1" ht="46.5" customHeight="1" x14ac:dyDescent="0.25">
      <c r="A2738" s="1"/>
    </row>
    <row r="2739" spans="1:1" ht="46.5" customHeight="1" x14ac:dyDescent="0.25">
      <c r="A2739" s="1"/>
    </row>
    <row r="2740" spans="1:1" ht="46.5" customHeight="1" x14ac:dyDescent="0.25">
      <c r="A2740" s="1"/>
    </row>
    <row r="2741" spans="1:1" ht="46.5" customHeight="1" x14ac:dyDescent="0.25">
      <c r="A2741" s="1"/>
    </row>
    <row r="2742" spans="1:1" ht="46.5" customHeight="1" x14ac:dyDescent="0.25">
      <c r="A2742" s="1"/>
    </row>
    <row r="2743" spans="1:1" ht="46.5" customHeight="1" x14ac:dyDescent="0.25">
      <c r="A2743" s="1"/>
    </row>
    <row r="2744" spans="1:1" ht="46.5" customHeight="1" x14ac:dyDescent="0.25">
      <c r="A2744" s="1"/>
    </row>
    <row r="2745" spans="1:1" ht="46.5" customHeight="1" x14ac:dyDescent="0.25">
      <c r="A2745" s="1"/>
    </row>
    <row r="2746" spans="1:1" ht="46.5" customHeight="1" x14ac:dyDescent="0.25">
      <c r="A2746" s="1"/>
    </row>
    <row r="2747" spans="1:1" ht="46.5" customHeight="1" x14ac:dyDescent="0.25">
      <c r="A2747" s="1"/>
    </row>
    <row r="2748" spans="1:1" ht="46.5" customHeight="1" x14ac:dyDescent="0.25">
      <c r="A2748" s="1"/>
    </row>
    <row r="2749" spans="1:1" ht="46.5" customHeight="1" x14ac:dyDescent="0.25">
      <c r="A2749" s="1"/>
    </row>
    <row r="2750" spans="1:1" ht="46.5" customHeight="1" x14ac:dyDescent="0.25">
      <c r="A2750" s="1"/>
    </row>
    <row r="2751" spans="1:1" ht="46.5" customHeight="1" x14ac:dyDescent="0.25">
      <c r="A2751" s="1"/>
    </row>
    <row r="2752" spans="1:1" ht="46.5" customHeight="1" x14ac:dyDescent="0.25">
      <c r="A2752" s="1"/>
    </row>
    <row r="2753" spans="1:1" ht="46.5" customHeight="1" x14ac:dyDescent="0.25">
      <c r="A2753" s="1"/>
    </row>
    <row r="2754" spans="1:1" ht="46.5" customHeight="1" x14ac:dyDescent="0.25">
      <c r="A2754" s="1"/>
    </row>
    <row r="2755" spans="1:1" ht="46.5" customHeight="1" x14ac:dyDescent="0.25">
      <c r="A2755" s="1"/>
    </row>
    <row r="2756" spans="1:1" ht="46.5" customHeight="1" x14ac:dyDescent="0.25">
      <c r="A2756" s="1"/>
    </row>
    <row r="2757" spans="1:1" ht="46.5" customHeight="1" x14ac:dyDescent="0.25">
      <c r="A2757" s="1"/>
    </row>
    <row r="2758" spans="1:1" ht="46.5" customHeight="1" x14ac:dyDescent="0.25">
      <c r="A2758" s="1"/>
    </row>
    <row r="2759" spans="1:1" ht="46.5" customHeight="1" x14ac:dyDescent="0.25">
      <c r="A2759" s="1"/>
    </row>
    <row r="2760" spans="1:1" ht="46.5" customHeight="1" x14ac:dyDescent="0.25">
      <c r="A2760" s="1"/>
    </row>
    <row r="2761" spans="1:1" ht="46.5" customHeight="1" x14ac:dyDescent="0.25">
      <c r="A2761" s="1"/>
    </row>
    <row r="2762" spans="1:1" ht="46.5" customHeight="1" x14ac:dyDescent="0.25">
      <c r="A2762" s="1"/>
    </row>
    <row r="2763" spans="1:1" ht="46.5" customHeight="1" x14ac:dyDescent="0.25">
      <c r="A2763" s="1"/>
    </row>
    <row r="2764" spans="1:1" ht="46.5" customHeight="1" x14ac:dyDescent="0.25">
      <c r="A2764" s="1"/>
    </row>
    <row r="2765" spans="1:1" ht="46.5" customHeight="1" x14ac:dyDescent="0.25">
      <c r="A2765" s="1"/>
    </row>
    <row r="2766" spans="1:1" ht="46.5" customHeight="1" x14ac:dyDescent="0.25">
      <c r="A2766" s="1"/>
    </row>
    <row r="2767" spans="1:1" ht="46.5" customHeight="1" x14ac:dyDescent="0.25">
      <c r="A2767" s="1"/>
    </row>
    <row r="2768" spans="1:1" ht="46.5" customHeight="1" x14ac:dyDescent="0.25">
      <c r="A2768" s="1"/>
    </row>
    <row r="2769" spans="1:1" ht="46.5" customHeight="1" x14ac:dyDescent="0.25">
      <c r="A2769" s="1"/>
    </row>
    <row r="2770" spans="1:1" ht="46.5" customHeight="1" x14ac:dyDescent="0.25">
      <c r="A2770" s="1"/>
    </row>
    <row r="2771" spans="1:1" ht="46.5" customHeight="1" x14ac:dyDescent="0.25">
      <c r="A2771" s="1"/>
    </row>
    <row r="2772" spans="1:1" ht="46.5" customHeight="1" x14ac:dyDescent="0.25">
      <c r="A2772" s="1"/>
    </row>
    <row r="2773" spans="1:1" ht="46.5" customHeight="1" x14ac:dyDescent="0.25">
      <c r="A2773" s="1"/>
    </row>
    <row r="2774" spans="1:1" ht="46.5" customHeight="1" x14ac:dyDescent="0.25">
      <c r="A2774" s="1"/>
    </row>
    <row r="2775" spans="1:1" ht="46.5" customHeight="1" x14ac:dyDescent="0.25">
      <c r="A2775" s="1"/>
    </row>
    <row r="2776" spans="1:1" ht="46.5" customHeight="1" x14ac:dyDescent="0.25">
      <c r="A2776" s="1"/>
    </row>
    <row r="2777" spans="1:1" ht="46.5" customHeight="1" x14ac:dyDescent="0.25">
      <c r="A2777" s="1"/>
    </row>
    <row r="2778" spans="1:1" ht="46.5" customHeight="1" x14ac:dyDescent="0.25">
      <c r="A2778" s="1"/>
    </row>
    <row r="2779" spans="1:1" ht="46.5" customHeight="1" x14ac:dyDescent="0.25">
      <c r="A2779" s="1"/>
    </row>
    <row r="2780" spans="1:1" ht="46.5" customHeight="1" x14ac:dyDescent="0.25">
      <c r="A2780" s="1"/>
    </row>
    <row r="2781" spans="1:1" ht="46.5" customHeight="1" x14ac:dyDescent="0.25">
      <c r="A2781" s="1"/>
    </row>
    <row r="2782" spans="1:1" ht="46.5" customHeight="1" x14ac:dyDescent="0.25">
      <c r="A2782" s="1"/>
    </row>
    <row r="2783" spans="1:1" ht="46.5" customHeight="1" x14ac:dyDescent="0.25">
      <c r="A2783" s="1"/>
    </row>
    <row r="2784" spans="1:1" ht="46.5" customHeight="1" x14ac:dyDescent="0.25">
      <c r="A2784" s="1"/>
    </row>
    <row r="2785" spans="1:1" ht="46.5" customHeight="1" x14ac:dyDescent="0.25">
      <c r="A2785" s="1"/>
    </row>
    <row r="2786" spans="1:1" ht="46.5" customHeight="1" x14ac:dyDescent="0.25">
      <c r="A2786" s="1"/>
    </row>
    <row r="2787" spans="1:1" ht="46.5" customHeight="1" x14ac:dyDescent="0.25">
      <c r="A2787" s="1"/>
    </row>
    <row r="2788" spans="1:1" ht="46.5" customHeight="1" x14ac:dyDescent="0.25">
      <c r="A2788" s="1"/>
    </row>
    <row r="2789" spans="1:1" ht="46.5" customHeight="1" x14ac:dyDescent="0.25">
      <c r="A2789" s="1"/>
    </row>
    <row r="2790" spans="1:1" ht="46.5" customHeight="1" x14ac:dyDescent="0.25">
      <c r="A2790" s="1"/>
    </row>
    <row r="2791" spans="1:1" ht="46.5" customHeight="1" x14ac:dyDescent="0.25">
      <c r="A2791" s="1"/>
    </row>
    <row r="2792" spans="1:1" ht="46.5" customHeight="1" x14ac:dyDescent="0.25">
      <c r="A2792" s="1"/>
    </row>
    <row r="2793" spans="1:1" ht="46.5" customHeight="1" x14ac:dyDescent="0.25">
      <c r="A2793" s="1"/>
    </row>
    <row r="2794" spans="1:1" ht="46.5" customHeight="1" x14ac:dyDescent="0.25">
      <c r="A2794" s="1"/>
    </row>
    <row r="2795" spans="1:1" ht="46.5" customHeight="1" x14ac:dyDescent="0.25">
      <c r="A2795" s="1"/>
    </row>
    <row r="2796" spans="1:1" ht="46.5" customHeight="1" x14ac:dyDescent="0.25">
      <c r="A2796" s="1"/>
    </row>
    <row r="2797" spans="1:1" ht="46.5" customHeight="1" x14ac:dyDescent="0.25">
      <c r="A2797" s="1"/>
    </row>
    <row r="2798" spans="1:1" ht="46.5" customHeight="1" x14ac:dyDescent="0.25">
      <c r="A2798" s="1"/>
    </row>
    <row r="2799" spans="1:1" ht="46.5" customHeight="1" x14ac:dyDescent="0.25">
      <c r="A2799" s="1"/>
    </row>
    <row r="2800" spans="1:1" ht="46.5" customHeight="1" x14ac:dyDescent="0.25">
      <c r="A2800" s="1"/>
    </row>
    <row r="2801" spans="1:1" ht="46.5" customHeight="1" x14ac:dyDescent="0.25">
      <c r="A2801" s="1"/>
    </row>
    <row r="2802" spans="1:1" ht="46.5" customHeight="1" x14ac:dyDescent="0.25">
      <c r="A2802" s="1"/>
    </row>
    <row r="2803" spans="1:1" ht="46.5" customHeight="1" x14ac:dyDescent="0.25">
      <c r="A2803" s="1"/>
    </row>
    <row r="2804" spans="1:1" ht="46.5" customHeight="1" x14ac:dyDescent="0.25">
      <c r="A2804" s="1"/>
    </row>
    <row r="2805" spans="1:1" ht="46.5" customHeight="1" x14ac:dyDescent="0.25">
      <c r="A2805" s="1"/>
    </row>
    <row r="2806" spans="1:1" ht="46.5" customHeight="1" x14ac:dyDescent="0.25">
      <c r="A2806" s="1"/>
    </row>
    <row r="2807" spans="1:1" ht="46.5" customHeight="1" x14ac:dyDescent="0.25">
      <c r="A2807" s="1"/>
    </row>
    <row r="2808" spans="1:1" ht="46.5" customHeight="1" x14ac:dyDescent="0.25">
      <c r="A2808" s="1"/>
    </row>
    <row r="2809" spans="1:1" ht="46.5" customHeight="1" x14ac:dyDescent="0.25">
      <c r="A2809" s="1"/>
    </row>
    <row r="2810" spans="1:1" ht="46.5" customHeight="1" x14ac:dyDescent="0.25">
      <c r="A2810" s="1"/>
    </row>
    <row r="2811" spans="1:1" ht="46.5" customHeight="1" x14ac:dyDescent="0.25">
      <c r="A2811" s="1"/>
    </row>
    <row r="2812" spans="1:1" ht="46.5" customHeight="1" x14ac:dyDescent="0.25">
      <c r="A2812" s="1"/>
    </row>
    <row r="2813" spans="1:1" ht="46.5" customHeight="1" x14ac:dyDescent="0.25">
      <c r="A2813" s="1"/>
    </row>
    <row r="2814" spans="1:1" ht="46.5" customHeight="1" x14ac:dyDescent="0.25">
      <c r="A2814" s="1"/>
    </row>
    <row r="2815" spans="1:1" ht="46.5" customHeight="1" x14ac:dyDescent="0.25">
      <c r="A2815" s="1"/>
    </row>
    <row r="2816" spans="1:1" ht="46.5" customHeight="1" x14ac:dyDescent="0.25">
      <c r="A2816" s="1"/>
    </row>
    <row r="2817" spans="1:1" ht="46.5" customHeight="1" x14ac:dyDescent="0.25">
      <c r="A2817" s="1"/>
    </row>
    <row r="2818" spans="1:1" ht="46.5" customHeight="1" x14ac:dyDescent="0.25">
      <c r="A2818" s="1"/>
    </row>
    <row r="2819" spans="1:1" ht="46.5" customHeight="1" x14ac:dyDescent="0.25">
      <c r="A2819" s="1"/>
    </row>
    <row r="2820" spans="1:1" ht="46.5" customHeight="1" x14ac:dyDescent="0.25">
      <c r="A2820" s="1"/>
    </row>
    <row r="2821" spans="1:1" ht="46.5" customHeight="1" x14ac:dyDescent="0.25">
      <c r="A2821" s="1"/>
    </row>
    <row r="2822" spans="1:1" ht="46.5" customHeight="1" x14ac:dyDescent="0.25">
      <c r="A2822" s="1"/>
    </row>
    <row r="2823" spans="1:1" ht="46.5" customHeight="1" x14ac:dyDescent="0.25">
      <c r="A2823" s="1"/>
    </row>
    <row r="2824" spans="1:1" ht="46.5" customHeight="1" x14ac:dyDescent="0.25">
      <c r="A2824" s="1"/>
    </row>
    <row r="2825" spans="1:1" ht="46.5" customHeight="1" x14ac:dyDescent="0.25">
      <c r="A2825" s="1"/>
    </row>
    <row r="2826" spans="1:1" ht="46.5" customHeight="1" x14ac:dyDescent="0.25">
      <c r="A2826" s="1"/>
    </row>
    <row r="2827" spans="1:1" ht="46.5" customHeight="1" x14ac:dyDescent="0.25">
      <c r="A2827" s="1"/>
    </row>
    <row r="2828" spans="1:1" ht="46.5" customHeight="1" x14ac:dyDescent="0.25">
      <c r="A2828" s="1"/>
    </row>
    <row r="2829" spans="1:1" ht="46.5" customHeight="1" x14ac:dyDescent="0.25">
      <c r="A2829" s="1"/>
    </row>
    <row r="2830" spans="1:1" ht="46.5" customHeight="1" x14ac:dyDescent="0.25">
      <c r="A2830" s="1"/>
    </row>
    <row r="2831" spans="1:1" ht="46.5" customHeight="1" x14ac:dyDescent="0.25">
      <c r="A2831" s="1"/>
    </row>
    <row r="2832" spans="1:1" ht="46.5" customHeight="1" x14ac:dyDescent="0.25">
      <c r="A2832" s="1"/>
    </row>
    <row r="2833" spans="1:1" ht="46.5" customHeight="1" x14ac:dyDescent="0.25">
      <c r="A2833" s="1"/>
    </row>
    <row r="2834" spans="1:1" ht="46.5" customHeight="1" x14ac:dyDescent="0.25">
      <c r="A2834" s="1"/>
    </row>
    <row r="2835" spans="1:1" ht="46.5" customHeight="1" x14ac:dyDescent="0.25">
      <c r="A2835" s="1"/>
    </row>
    <row r="2836" spans="1:1" ht="46.5" customHeight="1" x14ac:dyDescent="0.25">
      <c r="A2836" s="1"/>
    </row>
    <row r="2837" spans="1:1" ht="46.5" customHeight="1" x14ac:dyDescent="0.25">
      <c r="A2837" s="1"/>
    </row>
    <row r="2838" spans="1:1" ht="46.5" customHeight="1" x14ac:dyDescent="0.25">
      <c r="A2838" s="1"/>
    </row>
    <row r="2839" spans="1:1" ht="46.5" customHeight="1" x14ac:dyDescent="0.25">
      <c r="A2839" s="1"/>
    </row>
    <row r="2840" spans="1:1" ht="46.5" customHeight="1" x14ac:dyDescent="0.25">
      <c r="A2840" s="1"/>
    </row>
    <row r="2841" spans="1:1" ht="46.5" customHeight="1" x14ac:dyDescent="0.25">
      <c r="A2841" s="1"/>
    </row>
    <row r="2842" spans="1:1" ht="46.5" customHeight="1" x14ac:dyDescent="0.25">
      <c r="A2842" s="1"/>
    </row>
    <row r="2843" spans="1:1" ht="46.5" customHeight="1" x14ac:dyDescent="0.25">
      <c r="A2843" s="1"/>
    </row>
    <row r="2844" spans="1:1" ht="46.5" customHeight="1" x14ac:dyDescent="0.25">
      <c r="A2844" s="1"/>
    </row>
    <row r="2845" spans="1:1" ht="46.5" customHeight="1" x14ac:dyDescent="0.25">
      <c r="A2845" s="1"/>
    </row>
    <row r="2846" spans="1:1" ht="46.5" customHeight="1" x14ac:dyDescent="0.25">
      <c r="A2846" s="1"/>
    </row>
    <row r="2847" spans="1:1" ht="46.5" customHeight="1" x14ac:dyDescent="0.25">
      <c r="A2847" s="1"/>
    </row>
    <row r="2848" spans="1:1" ht="46.5" customHeight="1" x14ac:dyDescent="0.25">
      <c r="A2848" s="1"/>
    </row>
    <row r="2849" spans="1:1" ht="46.5" customHeight="1" x14ac:dyDescent="0.25">
      <c r="A2849" s="1"/>
    </row>
    <row r="2850" spans="1:1" ht="46.5" customHeight="1" x14ac:dyDescent="0.25">
      <c r="A2850" s="1"/>
    </row>
    <row r="2851" spans="1:1" ht="46.5" customHeight="1" x14ac:dyDescent="0.25">
      <c r="A2851" s="1"/>
    </row>
    <row r="2852" spans="1:1" ht="46.5" customHeight="1" x14ac:dyDescent="0.25">
      <c r="A2852" s="1"/>
    </row>
    <row r="2853" spans="1:1" ht="46.5" customHeight="1" x14ac:dyDescent="0.25">
      <c r="A2853" s="1"/>
    </row>
    <row r="2854" spans="1:1" ht="46.5" customHeight="1" x14ac:dyDescent="0.25">
      <c r="A2854" s="1"/>
    </row>
    <row r="2855" spans="1:1" ht="46.5" customHeight="1" x14ac:dyDescent="0.25">
      <c r="A2855" s="1"/>
    </row>
    <row r="2856" spans="1:1" ht="46.5" customHeight="1" x14ac:dyDescent="0.25">
      <c r="A2856" s="1"/>
    </row>
    <row r="2857" spans="1:1" ht="46.5" customHeight="1" x14ac:dyDescent="0.25">
      <c r="A2857" s="1"/>
    </row>
    <row r="2858" spans="1:1" ht="46.5" customHeight="1" x14ac:dyDescent="0.25">
      <c r="A2858" s="1"/>
    </row>
    <row r="2859" spans="1:1" ht="46.5" customHeight="1" x14ac:dyDescent="0.25">
      <c r="A2859" s="1"/>
    </row>
    <row r="2860" spans="1:1" ht="46.5" customHeight="1" x14ac:dyDescent="0.25">
      <c r="A2860" s="1"/>
    </row>
    <row r="2861" spans="1:1" ht="46.5" customHeight="1" x14ac:dyDescent="0.25">
      <c r="A2861" s="1"/>
    </row>
    <row r="2862" spans="1:1" ht="46.5" customHeight="1" x14ac:dyDescent="0.25">
      <c r="A2862" s="1"/>
    </row>
    <row r="2863" spans="1:1" ht="46.5" customHeight="1" x14ac:dyDescent="0.25">
      <c r="A2863" s="1"/>
    </row>
    <row r="2864" spans="1:1" ht="46.5" customHeight="1" x14ac:dyDescent="0.25">
      <c r="A2864" s="1"/>
    </row>
    <row r="2865" spans="1:1" ht="46.5" customHeight="1" x14ac:dyDescent="0.25">
      <c r="A2865" s="1"/>
    </row>
    <row r="2866" spans="1:1" ht="46.5" customHeight="1" x14ac:dyDescent="0.25">
      <c r="A2866" s="1"/>
    </row>
    <row r="2867" spans="1:1" ht="46.5" customHeight="1" x14ac:dyDescent="0.25">
      <c r="A2867" s="1"/>
    </row>
    <row r="2868" spans="1:1" ht="46.5" customHeight="1" x14ac:dyDescent="0.25">
      <c r="A2868" s="1"/>
    </row>
    <row r="2869" spans="1:1" ht="46.5" customHeight="1" x14ac:dyDescent="0.25">
      <c r="A2869" s="1"/>
    </row>
    <row r="2870" spans="1:1" ht="46.5" customHeight="1" x14ac:dyDescent="0.25">
      <c r="A2870" s="1"/>
    </row>
    <row r="2871" spans="1:1" ht="46.5" customHeight="1" x14ac:dyDescent="0.25">
      <c r="A2871" s="1"/>
    </row>
    <row r="2872" spans="1:1" ht="46.5" customHeight="1" x14ac:dyDescent="0.25">
      <c r="A2872" s="1"/>
    </row>
    <row r="2873" spans="1:1" ht="46.5" customHeight="1" x14ac:dyDescent="0.25">
      <c r="A2873" s="1"/>
    </row>
    <row r="2874" spans="1:1" ht="46.5" customHeight="1" x14ac:dyDescent="0.25">
      <c r="A2874" s="1"/>
    </row>
    <row r="2875" spans="1:1" ht="46.5" customHeight="1" x14ac:dyDescent="0.25">
      <c r="A2875" s="1"/>
    </row>
    <row r="2876" spans="1:1" ht="46.5" customHeight="1" x14ac:dyDescent="0.25">
      <c r="A2876" s="1"/>
    </row>
    <row r="2877" spans="1:1" ht="46.5" customHeight="1" x14ac:dyDescent="0.25">
      <c r="A2877" s="1"/>
    </row>
    <row r="2878" spans="1:1" ht="46.5" customHeight="1" x14ac:dyDescent="0.25">
      <c r="A2878" s="1"/>
    </row>
    <row r="2879" spans="1:1" ht="46.5" customHeight="1" x14ac:dyDescent="0.25">
      <c r="A2879" s="1"/>
    </row>
    <row r="2880" spans="1:1" ht="46.5" customHeight="1" x14ac:dyDescent="0.25">
      <c r="A2880" s="1"/>
    </row>
    <row r="2881" spans="1:1" ht="46.5" customHeight="1" x14ac:dyDescent="0.25">
      <c r="A2881" s="1"/>
    </row>
    <row r="2882" spans="1:1" ht="46.5" customHeight="1" x14ac:dyDescent="0.25">
      <c r="A2882" s="1"/>
    </row>
    <row r="2883" spans="1:1" ht="46.5" customHeight="1" x14ac:dyDescent="0.25">
      <c r="A2883" s="1"/>
    </row>
    <row r="2884" spans="1:1" ht="46.5" customHeight="1" x14ac:dyDescent="0.25">
      <c r="A2884" s="1"/>
    </row>
    <row r="2885" spans="1:1" ht="46.5" customHeight="1" x14ac:dyDescent="0.25">
      <c r="A2885" s="1"/>
    </row>
    <row r="2886" spans="1:1" ht="46.5" customHeight="1" x14ac:dyDescent="0.25">
      <c r="A2886" s="1"/>
    </row>
    <row r="2887" spans="1:1" ht="46.5" customHeight="1" x14ac:dyDescent="0.25">
      <c r="A2887" s="1"/>
    </row>
    <row r="2888" spans="1:1" ht="46.5" customHeight="1" x14ac:dyDescent="0.25">
      <c r="A2888" s="1"/>
    </row>
    <row r="2889" spans="1:1" ht="46.5" customHeight="1" x14ac:dyDescent="0.25">
      <c r="A2889" s="1"/>
    </row>
    <row r="2890" spans="1:1" ht="46.5" customHeight="1" x14ac:dyDescent="0.25">
      <c r="A2890" s="1"/>
    </row>
    <row r="2891" spans="1:1" ht="46.5" customHeight="1" x14ac:dyDescent="0.25">
      <c r="A2891" s="1"/>
    </row>
    <row r="2892" spans="1:1" ht="46.5" customHeight="1" x14ac:dyDescent="0.25">
      <c r="A2892" s="1"/>
    </row>
    <row r="2893" spans="1:1" ht="46.5" customHeight="1" x14ac:dyDescent="0.25">
      <c r="A2893" s="1"/>
    </row>
    <row r="2894" spans="1:1" ht="46.5" customHeight="1" x14ac:dyDescent="0.25">
      <c r="A2894" s="1"/>
    </row>
    <row r="2895" spans="1:1" ht="46.5" customHeight="1" x14ac:dyDescent="0.25">
      <c r="A2895" s="1"/>
    </row>
    <row r="2896" spans="1:1" ht="46.5" customHeight="1" x14ac:dyDescent="0.25">
      <c r="A2896" s="1"/>
    </row>
    <row r="2897" spans="1:1" ht="46.5" customHeight="1" x14ac:dyDescent="0.25">
      <c r="A2897" s="1"/>
    </row>
    <row r="2898" spans="1:1" ht="46.5" customHeight="1" x14ac:dyDescent="0.25">
      <c r="A2898" s="1"/>
    </row>
    <row r="2899" spans="1:1" ht="46.5" customHeight="1" x14ac:dyDescent="0.25">
      <c r="A2899" s="1"/>
    </row>
    <row r="2900" spans="1:1" ht="46.5" customHeight="1" x14ac:dyDescent="0.25">
      <c r="A2900" s="1"/>
    </row>
    <row r="2901" spans="1:1" ht="46.5" customHeight="1" x14ac:dyDescent="0.25">
      <c r="A2901" s="1"/>
    </row>
    <row r="2902" spans="1:1" ht="46.5" customHeight="1" x14ac:dyDescent="0.25">
      <c r="A2902" s="1"/>
    </row>
    <row r="2903" spans="1:1" ht="46.5" customHeight="1" x14ac:dyDescent="0.25">
      <c r="A2903" s="1"/>
    </row>
    <row r="2904" spans="1:1" ht="46.5" customHeight="1" x14ac:dyDescent="0.25">
      <c r="A2904" s="1"/>
    </row>
    <row r="2905" spans="1:1" ht="46.5" customHeight="1" x14ac:dyDescent="0.25">
      <c r="A2905" s="1"/>
    </row>
    <row r="2906" spans="1:1" ht="46.5" customHeight="1" x14ac:dyDescent="0.25">
      <c r="A2906" s="1"/>
    </row>
    <row r="2907" spans="1:1" ht="46.5" customHeight="1" x14ac:dyDescent="0.25">
      <c r="A2907" s="1"/>
    </row>
    <row r="2908" spans="1:1" ht="46.5" customHeight="1" x14ac:dyDescent="0.25">
      <c r="A2908" s="1"/>
    </row>
    <row r="2909" spans="1:1" ht="46.5" customHeight="1" x14ac:dyDescent="0.25">
      <c r="A2909" s="1"/>
    </row>
    <row r="2910" spans="1:1" ht="46.5" customHeight="1" x14ac:dyDescent="0.25">
      <c r="A2910" s="1"/>
    </row>
    <row r="2911" spans="1:1" ht="46.5" customHeight="1" x14ac:dyDescent="0.25">
      <c r="A2911" s="1"/>
    </row>
    <row r="2912" spans="1:1" ht="46.5" customHeight="1" x14ac:dyDescent="0.25">
      <c r="A2912" s="1"/>
    </row>
    <row r="2913" spans="1:1" ht="46.5" customHeight="1" x14ac:dyDescent="0.25">
      <c r="A2913" s="1"/>
    </row>
    <row r="2914" spans="1:1" ht="46.5" customHeight="1" x14ac:dyDescent="0.25">
      <c r="A2914" s="1"/>
    </row>
    <row r="2915" spans="1:1" ht="46.5" customHeight="1" x14ac:dyDescent="0.25">
      <c r="A2915" s="1"/>
    </row>
    <row r="2916" spans="1:1" ht="46.5" customHeight="1" x14ac:dyDescent="0.25">
      <c r="A2916" s="1"/>
    </row>
    <row r="2917" spans="1:1" ht="46.5" customHeight="1" x14ac:dyDescent="0.25">
      <c r="A2917" s="1"/>
    </row>
    <row r="2918" spans="1:1" ht="46.5" customHeight="1" x14ac:dyDescent="0.25">
      <c r="A2918" s="1"/>
    </row>
    <row r="2919" spans="1:1" ht="46.5" customHeight="1" x14ac:dyDescent="0.25">
      <c r="A2919" s="1"/>
    </row>
    <row r="2920" spans="1:1" ht="46.5" customHeight="1" x14ac:dyDescent="0.25">
      <c r="A2920" s="1"/>
    </row>
    <row r="2921" spans="1:1" ht="46.5" customHeight="1" x14ac:dyDescent="0.25">
      <c r="A2921" s="1"/>
    </row>
    <row r="2922" spans="1:1" ht="46.5" customHeight="1" x14ac:dyDescent="0.25">
      <c r="A2922" s="1"/>
    </row>
    <row r="2923" spans="1:1" ht="46.5" customHeight="1" x14ac:dyDescent="0.25">
      <c r="A2923" s="1"/>
    </row>
    <row r="2924" spans="1:1" ht="46.5" customHeight="1" x14ac:dyDescent="0.25">
      <c r="A2924" s="1"/>
    </row>
    <row r="2925" spans="1:1" ht="46.5" customHeight="1" x14ac:dyDescent="0.25">
      <c r="A2925" s="1"/>
    </row>
    <row r="2926" spans="1:1" ht="46.5" customHeight="1" x14ac:dyDescent="0.25">
      <c r="A2926" s="1"/>
    </row>
    <row r="2927" spans="1:1" ht="46.5" customHeight="1" x14ac:dyDescent="0.25">
      <c r="A2927" s="1"/>
    </row>
    <row r="2928" spans="1:1" ht="46.5" customHeight="1" x14ac:dyDescent="0.25">
      <c r="A2928" s="1"/>
    </row>
    <row r="2929" spans="1:1" ht="46.5" customHeight="1" x14ac:dyDescent="0.25">
      <c r="A2929" s="1"/>
    </row>
    <row r="2930" spans="1:1" ht="46.5" customHeight="1" x14ac:dyDescent="0.25">
      <c r="A2930" s="1"/>
    </row>
    <row r="2931" spans="1:1" ht="46.5" customHeight="1" x14ac:dyDescent="0.25">
      <c r="A2931" s="1"/>
    </row>
    <row r="2932" spans="1:1" ht="46.5" customHeight="1" x14ac:dyDescent="0.25">
      <c r="A2932" s="1"/>
    </row>
    <row r="2933" spans="1:1" ht="46.5" customHeight="1" x14ac:dyDescent="0.25">
      <c r="A2933" s="1"/>
    </row>
    <row r="2934" spans="1:1" ht="46.5" customHeight="1" x14ac:dyDescent="0.25">
      <c r="A2934" s="1"/>
    </row>
    <row r="2935" spans="1:1" ht="46.5" customHeight="1" x14ac:dyDescent="0.25">
      <c r="A2935" s="1"/>
    </row>
    <row r="2936" spans="1:1" ht="46.5" customHeight="1" x14ac:dyDescent="0.25">
      <c r="A2936" s="1"/>
    </row>
    <row r="2937" spans="1:1" ht="46.5" customHeight="1" x14ac:dyDescent="0.25">
      <c r="A2937" s="1"/>
    </row>
    <row r="2938" spans="1:1" ht="46.5" customHeight="1" x14ac:dyDescent="0.25">
      <c r="A2938" s="1"/>
    </row>
    <row r="2939" spans="1:1" ht="46.5" customHeight="1" x14ac:dyDescent="0.25">
      <c r="A2939" s="1"/>
    </row>
    <row r="2940" spans="1:1" ht="46.5" customHeight="1" x14ac:dyDescent="0.25">
      <c r="A2940" s="1"/>
    </row>
    <row r="2941" spans="1:1" ht="46.5" customHeight="1" x14ac:dyDescent="0.25">
      <c r="A2941" s="1"/>
    </row>
    <row r="2942" spans="1:1" ht="46.5" customHeight="1" x14ac:dyDescent="0.25">
      <c r="A2942" s="1"/>
    </row>
    <row r="2943" spans="1:1" ht="46.5" customHeight="1" x14ac:dyDescent="0.25">
      <c r="A2943" s="1"/>
    </row>
    <row r="2944" spans="1:1" ht="46.5" customHeight="1" x14ac:dyDescent="0.25">
      <c r="A2944" s="1"/>
    </row>
    <row r="2945" spans="1:1" ht="46.5" customHeight="1" x14ac:dyDescent="0.25">
      <c r="A2945" s="1"/>
    </row>
    <row r="2946" spans="1:1" ht="46.5" customHeight="1" x14ac:dyDescent="0.25">
      <c r="A2946" s="1"/>
    </row>
    <row r="2947" spans="1:1" ht="46.5" customHeight="1" x14ac:dyDescent="0.25">
      <c r="A2947" s="1"/>
    </row>
    <row r="2948" spans="1:1" ht="46.5" customHeight="1" x14ac:dyDescent="0.25">
      <c r="A2948" s="1"/>
    </row>
    <row r="2949" spans="1:1" ht="46.5" customHeight="1" x14ac:dyDescent="0.25">
      <c r="A2949" s="1"/>
    </row>
    <row r="2950" spans="1:1" ht="46.5" customHeight="1" x14ac:dyDescent="0.25">
      <c r="A2950" s="1"/>
    </row>
    <row r="2951" spans="1:1" ht="46.5" customHeight="1" x14ac:dyDescent="0.25">
      <c r="A2951" s="1"/>
    </row>
    <row r="2952" spans="1:1" ht="46.5" customHeight="1" x14ac:dyDescent="0.25">
      <c r="A2952" s="1"/>
    </row>
    <row r="2953" spans="1:1" ht="46.5" customHeight="1" x14ac:dyDescent="0.25">
      <c r="A2953" s="1"/>
    </row>
    <row r="2954" spans="1:1" ht="46.5" customHeight="1" x14ac:dyDescent="0.25">
      <c r="A2954" s="1"/>
    </row>
    <row r="2955" spans="1:1" ht="46.5" customHeight="1" x14ac:dyDescent="0.25">
      <c r="A2955" s="1"/>
    </row>
    <row r="2956" spans="1:1" ht="46.5" customHeight="1" x14ac:dyDescent="0.25">
      <c r="A2956" s="1"/>
    </row>
    <row r="2957" spans="1:1" ht="46.5" customHeight="1" x14ac:dyDescent="0.25">
      <c r="A2957" s="1"/>
    </row>
    <row r="2958" spans="1:1" ht="46.5" customHeight="1" x14ac:dyDescent="0.25">
      <c r="A2958" s="1"/>
    </row>
    <row r="2959" spans="1:1" ht="46.5" customHeight="1" x14ac:dyDescent="0.25">
      <c r="A2959" s="1"/>
    </row>
    <row r="2960" spans="1:1" ht="46.5" customHeight="1" x14ac:dyDescent="0.25">
      <c r="A2960" s="1"/>
    </row>
    <row r="2961" spans="1:1" ht="46.5" customHeight="1" x14ac:dyDescent="0.25">
      <c r="A2961" s="1"/>
    </row>
    <row r="2962" spans="1:1" ht="46.5" customHeight="1" x14ac:dyDescent="0.25">
      <c r="A2962" s="1"/>
    </row>
    <row r="2963" spans="1:1" ht="46.5" customHeight="1" x14ac:dyDescent="0.25">
      <c r="A2963" s="1"/>
    </row>
    <row r="2964" spans="1:1" ht="46.5" customHeight="1" x14ac:dyDescent="0.25">
      <c r="A2964" s="1"/>
    </row>
    <row r="2965" spans="1:1" ht="46.5" customHeight="1" x14ac:dyDescent="0.25">
      <c r="A2965" s="1"/>
    </row>
    <row r="2966" spans="1:1" ht="46.5" customHeight="1" x14ac:dyDescent="0.25">
      <c r="A2966" s="1"/>
    </row>
    <row r="2967" spans="1:1" ht="46.5" customHeight="1" x14ac:dyDescent="0.25">
      <c r="A2967" s="1"/>
    </row>
    <row r="2968" spans="1:1" ht="46.5" customHeight="1" x14ac:dyDescent="0.25">
      <c r="A2968" s="1"/>
    </row>
    <row r="2969" spans="1:1" ht="46.5" customHeight="1" x14ac:dyDescent="0.25">
      <c r="A2969" s="1"/>
    </row>
    <row r="2970" spans="1:1" ht="46.5" customHeight="1" x14ac:dyDescent="0.25">
      <c r="A2970" s="1"/>
    </row>
    <row r="2971" spans="1:1" ht="46.5" customHeight="1" x14ac:dyDescent="0.25">
      <c r="A2971" s="1"/>
    </row>
    <row r="2972" spans="1:1" ht="46.5" customHeight="1" x14ac:dyDescent="0.25">
      <c r="A2972" s="1"/>
    </row>
    <row r="2973" spans="1:1" ht="46.5" customHeight="1" x14ac:dyDescent="0.25">
      <c r="A2973" s="1"/>
    </row>
    <row r="2974" spans="1:1" ht="46.5" customHeight="1" x14ac:dyDescent="0.25">
      <c r="A2974" s="1"/>
    </row>
    <row r="2975" spans="1:1" ht="46.5" customHeight="1" x14ac:dyDescent="0.25">
      <c r="A2975" s="1"/>
    </row>
    <row r="2976" spans="1:1" ht="46.5" customHeight="1" x14ac:dyDescent="0.25">
      <c r="A2976" s="1"/>
    </row>
    <row r="2977" spans="1:1" ht="46.5" customHeight="1" x14ac:dyDescent="0.25">
      <c r="A2977" s="1"/>
    </row>
    <row r="2978" spans="1:1" ht="46.5" customHeight="1" x14ac:dyDescent="0.25">
      <c r="A2978" s="1"/>
    </row>
    <row r="2979" spans="1:1" ht="46.5" customHeight="1" x14ac:dyDescent="0.25">
      <c r="A2979" s="1"/>
    </row>
    <row r="2980" spans="1:1" ht="46.5" customHeight="1" x14ac:dyDescent="0.25">
      <c r="A2980" s="1"/>
    </row>
    <row r="2981" spans="1:1" ht="46.5" customHeight="1" x14ac:dyDescent="0.25">
      <c r="A2981" s="1"/>
    </row>
    <row r="2982" spans="1:1" ht="46.5" customHeight="1" x14ac:dyDescent="0.25">
      <c r="A2982" s="1"/>
    </row>
    <row r="2983" spans="1:1" ht="46.5" customHeight="1" x14ac:dyDescent="0.25">
      <c r="A2983" s="1"/>
    </row>
    <row r="2984" spans="1:1" ht="46.5" customHeight="1" x14ac:dyDescent="0.25">
      <c r="A2984" s="1"/>
    </row>
    <row r="2985" spans="1:1" ht="46.5" customHeight="1" x14ac:dyDescent="0.25">
      <c r="A2985" s="1"/>
    </row>
    <row r="2986" spans="1:1" ht="46.5" customHeight="1" x14ac:dyDescent="0.25">
      <c r="A2986" s="1"/>
    </row>
    <row r="2987" spans="1:1" ht="46.5" customHeight="1" x14ac:dyDescent="0.25">
      <c r="A2987" s="1"/>
    </row>
    <row r="2988" spans="1:1" ht="46.5" customHeight="1" x14ac:dyDescent="0.25">
      <c r="A2988" s="1"/>
    </row>
    <row r="2989" spans="1:1" ht="46.5" customHeight="1" x14ac:dyDescent="0.25">
      <c r="A2989" s="1"/>
    </row>
    <row r="2990" spans="1:1" ht="46.5" customHeight="1" x14ac:dyDescent="0.25">
      <c r="A2990" s="1"/>
    </row>
    <row r="2991" spans="1:1" ht="46.5" customHeight="1" x14ac:dyDescent="0.25">
      <c r="A2991" s="1"/>
    </row>
    <row r="2992" spans="1:1" ht="46.5" customHeight="1" x14ac:dyDescent="0.25">
      <c r="A2992" s="1"/>
    </row>
    <row r="2993" spans="1:1" ht="46.5" customHeight="1" x14ac:dyDescent="0.25">
      <c r="A2993" s="1"/>
    </row>
    <row r="2994" spans="1:1" ht="46.5" customHeight="1" x14ac:dyDescent="0.25">
      <c r="A2994" s="1"/>
    </row>
    <row r="2995" spans="1:1" ht="46.5" customHeight="1" x14ac:dyDescent="0.25">
      <c r="A2995" s="1"/>
    </row>
    <row r="2996" spans="1:1" ht="46.5" customHeight="1" x14ac:dyDescent="0.25">
      <c r="A2996" s="1"/>
    </row>
    <row r="2997" spans="1:1" ht="46.5" customHeight="1" x14ac:dyDescent="0.25">
      <c r="A2997" s="1"/>
    </row>
    <row r="2998" spans="1:1" ht="46.5" customHeight="1" x14ac:dyDescent="0.25">
      <c r="A2998" s="1"/>
    </row>
    <row r="2999" spans="1:1" ht="46.5" customHeight="1" x14ac:dyDescent="0.25">
      <c r="A2999" s="1"/>
    </row>
    <row r="3000" spans="1:1" ht="46.5" customHeight="1" x14ac:dyDescent="0.25">
      <c r="A3000" s="1"/>
    </row>
    <row r="3001" spans="1:1" ht="46.5" customHeight="1" x14ac:dyDescent="0.25">
      <c r="A3001" s="1"/>
    </row>
    <row r="3002" spans="1:1" ht="46.5" customHeight="1" x14ac:dyDescent="0.25">
      <c r="A3002" s="1"/>
    </row>
    <row r="3003" spans="1:1" ht="46.5" customHeight="1" x14ac:dyDescent="0.25">
      <c r="A3003" s="1"/>
    </row>
    <row r="3004" spans="1:1" ht="46.5" customHeight="1" x14ac:dyDescent="0.25">
      <c r="A3004" s="1"/>
    </row>
    <row r="3005" spans="1:1" ht="46.5" customHeight="1" x14ac:dyDescent="0.25">
      <c r="A3005" s="1"/>
    </row>
    <row r="3006" spans="1:1" ht="46.5" customHeight="1" x14ac:dyDescent="0.25">
      <c r="A3006" s="1"/>
    </row>
    <row r="3007" spans="1:1" ht="46.5" customHeight="1" x14ac:dyDescent="0.25">
      <c r="A3007" s="1"/>
    </row>
    <row r="3008" spans="1:1" ht="46.5" customHeight="1" x14ac:dyDescent="0.25">
      <c r="A3008" s="1"/>
    </row>
    <row r="3009" spans="1:1" ht="46.5" customHeight="1" x14ac:dyDescent="0.25">
      <c r="A3009" s="1"/>
    </row>
    <row r="3010" spans="1:1" ht="46.5" customHeight="1" x14ac:dyDescent="0.25">
      <c r="A3010" s="1"/>
    </row>
    <row r="3011" spans="1:1" ht="46.5" customHeight="1" x14ac:dyDescent="0.25">
      <c r="A3011" s="1"/>
    </row>
    <row r="3012" spans="1:1" ht="46.5" customHeight="1" x14ac:dyDescent="0.25">
      <c r="A3012" s="1"/>
    </row>
    <row r="3013" spans="1:1" ht="46.5" customHeight="1" x14ac:dyDescent="0.25">
      <c r="A3013" s="1"/>
    </row>
    <row r="3014" spans="1:1" ht="46.5" customHeight="1" x14ac:dyDescent="0.25">
      <c r="A3014" s="1"/>
    </row>
    <row r="3015" spans="1:1" ht="46.5" customHeight="1" x14ac:dyDescent="0.25">
      <c r="A3015" s="1"/>
    </row>
    <row r="3016" spans="1:1" ht="46.5" customHeight="1" x14ac:dyDescent="0.25">
      <c r="A3016" s="1"/>
    </row>
    <row r="3017" spans="1:1" ht="46.5" customHeight="1" x14ac:dyDescent="0.25">
      <c r="A3017" s="1"/>
    </row>
    <row r="3018" spans="1:1" ht="46.5" customHeight="1" x14ac:dyDescent="0.25">
      <c r="A3018" s="1"/>
    </row>
    <row r="3019" spans="1:1" ht="46.5" customHeight="1" x14ac:dyDescent="0.25">
      <c r="A3019" s="1"/>
    </row>
    <row r="3020" spans="1:1" ht="46.5" customHeight="1" x14ac:dyDescent="0.25">
      <c r="A3020" s="1"/>
    </row>
    <row r="3021" spans="1:1" ht="46.5" customHeight="1" x14ac:dyDescent="0.25">
      <c r="A3021" s="1"/>
    </row>
    <row r="3022" spans="1:1" ht="46.5" customHeight="1" x14ac:dyDescent="0.25">
      <c r="A3022" s="1"/>
    </row>
    <row r="3023" spans="1:1" ht="46.5" customHeight="1" x14ac:dyDescent="0.25">
      <c r="A3023" s="1"/>
    </row>
    <row r="3024" spans="1:1" ht="46.5" customHeight="1" x14ac:dyDescent="0.25">
      <c r="A3024" s="1"/>
    </row>
    <row r="3025" spans="1:1" ht="46.5" customHeight="1" x14ac:dyDescent="0.25">
      <c r="A3025" s="1"/>
    </row>
    <row r="3026" spans="1:1" ht="46.5" customHeight="1" x14ac:dyDescent="0.25">
      <c r="A3026" s="1"/>
    </row>
    <row r="3027" spans="1:1" ht="46.5" customHeight="1" x14ac:dyDescent="0.25">
      <c r="A3027" s="1"/>
    </row>
    <row r="3028" spans="1:1" ht="46.5" customHeight="1" x14ac:dyDescent="0.25">
      <c r="A3028" s="1"/>
    </row>
    <row r="3029" spans="1:1" ht="46.5" customHeight="1" x14ac:dyDescent="0.25">
      <c r="A3029" s="1"/>
    </row>
    <row r="3030" spans="1:1" ht="46.5" customHeight="1" x14ac:dyDescent="0.25">
      <c r="A3030" s="1"/>
    </row>
    <row r="3031" spans="1:1" ht="46.5" customHeight="1" x14ac:dyDescent="0.25">
      <c r="A3031" s="1"/>
    </row>
    <row r="3032" spans="1:1" ht="46.5" customHeight="1" x14ac:dyDescent="0.25">
      <c r="A3032" s="1"/>
    </row>
    <row r="3033" spans="1:1" ht="46.5" customHeight="1" x14ac:dyDescent="0.25">
      <c r="A3033" s="1"/>
    </row>
    <row r="3034" spans="1:1" ht="46.5" customHeight="1" x14ac:dyDescent="0.25">
      <c r="A3034" s="1"/>
    </row>
    <row r="3035" spans="1:1" ht="46.5" customHeight="1" x14ac:dyDescent="0.25">
      <c r="A3035" s="1"/>
    </row>
    <row r="3036" spans="1:1" ht="46.5" customHeight="1" x14ac:dyDescent="0.25">
      <c r="A3036" s="1"/>
    </row>
    <row r="3037" spans="1:1" ht="46.5" customHeight="1" x14ac:dyDescent="0.25">
      <c r="A3037" s="1"/>
    </row>
    <row r="3038" spans="1:1" ht="46.5" customHeight="1" x14ac:dyDescent="0.25">
      <c r="A3038" s="1"/>
    </row>
    <row r="3039" spans="1:1" ht="46.5" customHeight="1" x14ac:dyDescent="0.25">
      <c r="A3039" s="1"/>
    </row>
    <row r="3040" spans="1:1" ht="46.5" customHeight="1" x14ac:dyDescent="0.25">
      <c r="A3040" s="1"/>
    </row>
    <row r="3041" spans="1:1" ht="46.5" customHeight="1" x14ac:dyDescent="0.25">
      <c r="A3041" s="1"/>
    </row>
    <row r="3042" spans="1:1" ht="46.5" customHeight="1" x14ac:dyDescent="0.25">
      <c r="A3042" s="1"/>
    </row>
    <row r="3043" spans="1:1" ht="46.5" customHeight="1" x14ac:dyDescent="0.25">
      <c r="A3043" s="1"/>
    </row>
    <row r="3044" spans="1:1" ht="46.5" customHeight="1" x14ac:dyDescent="0.25">
      <c r="A3044" s="1"/>
    </row>
    <row r="3045" spans="1:1" ht="46.5" customHeight="1" x14ac:dyDescent="0.25">
      <c r="A3045" s="1"/>
    </row>
    <row r="3046" spans="1:1" ht="46.5" customHeight="1" x14ac:dyDescent="0.25">
      <c r="A3046" s="1"/>
    </row>
    <row r="3047" spans="1:1" ht="46.5" customHeight="1" x14ac:dyDescent="0.25">
      <c r="A3047" s="1"/>
    </row>
    <row r="3048" spans="1:1" ht="46.5" customHeight="1" x14ac:dyDescent="0.25">
      <c r="A3048" s="1"/>
    </row>
    <row r="3049" spans="1:1" ht="46.5" customHeight="1" x14ac:dyDescent="0.25">
      <c r="A3049" s="1"/>
    </row>
    <row r="3050" spans="1:1" ht="46.5" customHeight="1" x14ac:dyDescent="0.25">
      <c r="A3050" s="1"/>
    </row>
    <row r="3051" spans="1:1" ht="46.5" customHeight="1" x14ac:dyDescent="0.25">
      <c r="A3051" s="1"/>
    </row>
    <row r="3052" spans="1:1" ht="46.5" customHeight="1" x14ac:dyDescent="0.25">
      <c r="A3052" s="1"/>
    </row>
    <row r="3053" spans="1:1" ht="46.5" customHeight="1" x14ac:dyDescent="0.25">
      <c r="A3053" s="1"/>
    </row>
    <row r="3054" spans="1:1" ht="46.5" customHeight="1" x14ac:dyDescent="0.25">
      <c r="A3054" s="1"/>
    </row>
    <row r="3055" spans="1:1" ht="46.5" customHeight="1" x14ac:dyDescent="0.25">
      <c r="A3055" s="1"/>
    </row>
    <row r="3056" spans="1:1" ht="46.5" customHeight="1" x14ac:dyDescent="0.25">
      <c r="A3056" s="1"/>
    </row>
    <row r="3057" spans="1:1" ht="46.5" customHeight="1" x14ac:dyDescent="0.25">
      <c r="A3057" s="1"/>
    </row>
    <row r="3058" spans="1:1" ht="46.5" customHeight="1" x14ac:dyDescent="0.25">
      <c r="A3058" s="1"/>
    </row>
    <row r="3059" spans="1:1" ht="46.5" customHeight="1" x14ac:dyDescent="0.25">
      <c r="A3059" s="1"/>
    </row>
    <row r="3060" spans="1:1" ht="46.5" customHeight="1" x14ac:dyDescent="0.25">
      <c r="A3060" s="1"/>
    </row>
    <row r="3061" spans="1:1" ht="46.5" customHeight="1" x14ac:dyDescent="0.25">
      <c r="A3061" s="1"/>
    </row>
    <row r="3062" spans="1:1" ht="46.5" customHeight="1" x14ac:dyDescent="0.25">
      <c r="A3062" s="1"/>
    </row>
    <row r="3063" spans="1:1" ht="46.5" customHeight="1" x14ac:dyDescent="0.25">
      <c r="A3063" s="1"/>
    </row>
    <row r="3064" spans="1:1" ht="46.5" customHeight="1" x14ac:dyDescent="0.25">
      <c r="A3064" s="1"/>
    </row>
    <row r="3065" spans="1:1" ht="46.5" customHeight="1" x14ac:dyDescent="0.25">
      <c r="A3065" s="1"/>
    </row>
    <row r="3066" spans="1:1" ht="46.5" customHeight="1" x14ac:dyDescent="0.25">
      <c r="A3066" s="1"/>
    </row>
    <row r="3067" spans="1:1" ht="46.5" customHeight="1" x14ac:dyDescent="0.25">
      <c r="A3067" s="1"/>
    </row>
    <row r="3068" spans="1:1" ht="46.5" customHeight="1" x14ac:dyDescent="0.25">
      <c r="A3068" s="1"/>
    </row>
    <row r="3069" spans="1:1" ht="46.5" customHeight="1" x14ac:dyDescent="0.25">
      <c r="A3069" s="1"/>
    </row>
    <row r="3070" spans="1:1" ht="46.5" customHeight="1" x14ac:dyDescent="0.25">
      <c r="A3070" s="1"/>
    </row>
    <row r="3071" spans="1:1" ht="46.5" customHeight="1" x14ac:dyDescent="0.25">
      <c r="A3071" s="1"/>
    </row>
    <row r="3072" spans="1:1" ht="46.5" customHeight="1" x14ac:dyDescent="0.25">
      <c r="A3072" s="1"/>
    </row>
    <row r="3073" spans="1:1" ht="46.5" customHeight="1" x14ac:dyDescent="0.25">
      <c r="A3073" s="1"/>
    </row>
    <row r="3074" spans="1:1" ht="46.5" customHeight="1" x14ac:dyDescent="0.25">
      <c r="A3074" s="1"/>
    </row>
    <row r="3075" spans="1:1" ht="46.5" customHeight="1" x14ac:dyDescent="0.25">
      <c r="A3075" s="1"/>
    </row>
    <row r="3076" spans="1:1" ht="46.5" customHeight="1" x14ac:dyDescent="0.25">
      <c r="A3076" s="1"/>
    </row>
    <row r="3077" spans="1:1" ht="46.5" customHeight="1" x14ac:dyDescent="0.25">
      <c r="A3077" s="1"/>
    </row>
    <row r="3078" spans="1:1" ht="46.5" customHeight="1" x14ac:dyDescent="0.25">
      <c r="A3078" s="1"/>
    </row>
    <row r="3079" spans="1:1" ht="46.5" customHeight="1" x14ac:dyDescent="0.25">
      <c r="A3079" s="1"/>
    </row>
    <row r="3080" spans="1:1" ht="46.5" customHeight="1" x14ac:dyDescent="0.25">
      <c r="A3080" s="1"/>
    </row>
    <row r="3081" spans="1:1" ht="46.5" customHeight="1" x14ac:dyDescent="0.25">
      <c r="A3081" s="1"/>
    </row>
    <row r="3082" spans="1:1" ht="46.5" customHeight="1" x14ac:dyDescent="0.25">
      <c r="A3082" s="1"/>
    </row>
    <row r="3083" spans="1:1" ht="46.5" customHeight="1" x14ac:dyDescent="0.25">
      <c r="A3083" s="1"/>
    </row>
    <row r="3084" spans="1:1" ht="46.5" customHeight="1" x14ac:dyDescent="0.25">
      <c r="A3084" s="1"/>
    </row>
    <row r="3085" spans="1:1" ht="46.5" customHeight="1" x14ac:dyDescent="0.25">
      <c r="A3085" s="1"/>
    </row>
    <row r="3086" spans="1:1" ht="46.5" customHeight="1" x14ac:dyDescent="0.25">
      <c r="A3086" s="1"/>
    </row>
    <row r="3087" spans="1:1" ht="46.5" customHeight="1" x14ac:dyDescent="0.25">
      <c r="A3087" s="1"/>
    </row>
    <row r="3088" spans="1:1" ht="46.5" customHeight="1" x14ac:dyDescent="0.25">
      <c r="A3088" s="1"/>
    </row>
    <row r="3089" spans="1:1" ht="46.5" customHeight="1" x14ac:dyDescent="0.25">
      <c r="A3089" s="1"/>
    </row>
    <row r="3090" spans="1:1" ht="46.5" customHeight="1" x14ac:dyDescent="0.25">
      <c r="A3090" s="1"/>
    </row>
    <row r="3091" spans="1:1" ht="46.5" customHeight="1" x14ac:dyDescent="0.25">
      <c r="A3091" s="1"/>
    </row>
    <row r="3092" spans="1:1" ht="46.5" customHeight="1" x14ac:dyDescent="0.25">
      <c r="A3092" s="1"/>
    </row>
    <row r="3093" spans="1:1" ht="46.5" customHeight="1" x14ac:dyDescent="0.25">
      <c r="A3093" s="1"/>
    </row>
    <row r="3094" spans="1:1" ht="46.5" customHeight="1" x14ac:dyDescent="0.25">
      <c r="A3094" s="1"/>
    </row>
    <row r="3095" spans="1:1" ht="46.5" customHeight="1" x14ac:dyDescent="0.25">
      <c r="A3095" s="1"/>
    </row>
    <row r="3096" spans="1:1" ht="46.5" customHeight="1" x14ac:dyDescent="0.25">
      <c r="A3096" s="1"/>
    </row>
    <row r="3097" spans="1:1" ht="46.5" customHeight="1" x14ac:dyDescent="0.25">
      <c r="A3097" s="1"/>
    </row>
    <row r="3098" spans="1:1" ht="46.5" customHeight="1" x14ac:dyDescent="0.25">
      <c r="A3098" s="1"/>
    </row>
    <row r="3099" spans="1:1" ht="46.5" customHeight="1" x14ac:dyDescent="0.25">
      <c r="A3099" s="1"/>
    </row>
    <row r="3100" spans="1:1" ht="46.5" customHeight="1" x14ac:dyDescent="0.25">
      <c r="A3100" s="1"/>
    </row>
    <row r="3101" spans="1:1" ht="46.5" customHeight="1" x14ac:dyDescent="0.25">
      <c r="A3101" s="1"/>
    </row>
    <row r="3102" spans="1:1" ht="46.5" customHeight="1" x14ac:dyDescent="0.25">
      <c r="A3102" s="1"/>
    </row>
    <row r="3103" spans="1:1" ht="46.5" customHeight="1" x14ac:dyDescent="0.25">
      <c r="A3103" s="1"/>
    </row>
    <row r="3104" spans="1:1" ht="46.5" customHeight="1" x14ac:dyDescent="0.25">
      <c r="A3104" s="1"/>
    </row>
    <row r="3105" spans="1:1" ht="46.5" customHeight="1" x14ac:dyDescent="0.25">
      <c r="A3105" s="1"/>
    </row>
    <row r="3106" spans="1:1" ht="46.5" customHeight="1" x14ac:dyDescent="0.25">
      <c r="A3106" s="1"/>
    </row>
    <row r="3107" spans="1:1" ht="46.5" customHeight="1" x14ac:dyDescent="0.25">
      <c r="A3107" s="1"/>
    </row>
    <row r="3108" spans="1:1" ht="46.5" customHeight="1" x14ac:dyDescent="0.25">
      <c r="A3108" s="1"/>
    </row>
    <row r="3109" spans="1:1" ht="46.5" customHeight="1" x14ac:dyDescent="0.25">
      <c r="A3109" s="1"/>
    </row>
    <row r="3110" spans="1:1" ht="46.5" customHeight="1" x14ac:dyDescent="0.25">
      <c r="A3110" s="1"/>
    </row>
    <row r="3111" spans="1:1" ht="46.5" customHeight="1" x14ac:dyDescent="0.25">
      <c r="A3111" s="1"/>
    </row>
    <row r="3112" spans="1:1" ht="46.5" customHeight="1" x14ac:dyDescent="0.25">
      <c r="A3112" s="1"/>
    </row>
    <row r="3113" spans="1:1" ht="46.5" customHeight="1" x14ac:dyDescent="0.25">
      <c r="A3113" s="1"/>
    </row>
    <row r="3114" spans="1:1" ht="46.5" customHeight="1" x14ac:dyDescent="0.25">
      <c r="A3114" s="1"/>
    </row>
    <row r="3115" spans="1:1" ht="46.5" customHeight="1" x14ac:dyDescent="0.25">
      <c r="A3115" s="1"/>
    </row>
    <row r="3116" spans="1:1" ht="46.5" customHeight="1" x14ac:dyDescent="0.25">
      <c r="A3116" s="1"/>
    </row>
    <row r="3117" spans="1:1" ht="46.5" customHeight="1" x14ac:dyDescent="0.25">
      <c r="A3117" s="1"/>
    </row>
    <row r="3118" spans="1:1" ht="46.5" customHeight="1" x14ac:dyDescent="0.25">
      <c r="A3118" s="1"/>
    </row>
    <row r="3119" spans="1:1" ht="46.5" customHeight="1" x14ac:dyDescent="0.25">
      <c r="A3119" s="1"/>
    </row>
    <row r="3120" spans="1:1" ht="46.5" customHeight="1" x14ac:dyDescent="0.25">
      <c r="A3120" s="1"/>
    </row>
    <row r="3121" spans="1:1" ht="46.5" customHeight="1" x14ac:dyDescent="0.25">
      <c r="A3121" s="1"/>
    </row>
    <row r="3122" spans="1:1" ht="46.5" customHeight="1" x14ac:dyDescent="0.25">
      <c r="A3122" s="1"/>
    </row>
    <row r="3123" spans="1:1" ht="46.5" customHeight="1" x14ac:dyDescent="0.25">
      <c r="A3123" s="1"/>
    </row>
    <row r="3124" spans="1:1" ht="46.5" customHeight="1" x14ac:dyDescent="0.25">
      <c r="A3124" s="1"/>
    </row>
    <row r="3125" spans="1:1" ht="46.5" customHeight="1" x14ac:dyDescent="0.25">
      <c r="A3125" s="1"/>
    </row>
    <row r="3126" spans="1:1" ht="46.5" customHeight="1" x14ac:dyDescent="0.25">
      <c r="A3126" s="1"/>
    </row>
    <row r="3127" spans="1:1" ht="46.5" customHeight="1" x14ac:dyDescent="0.25">
      <c r="A3127" s="1"/>
    </row>
    <row r="3128" spans="1:1" ht="46.5" customHeight="1" x14ac:dyDescent="0.25">
      <c r="A3128" s="1"/>
    </row>
    <row r="3129" spans="1:1" ht="46.5" customHeight="1" x14ac:dyDescent="0.25">
      <c r="A3129" s="1"/>
    </row>
    <row r="3130" spans="1:1" ht="46.5" customHeight="1" x14ac:dyDescent="0.25">
      <c r="A3130" s="1"/>
    </row>
    <row r="3131" spans="1:1" ht="46.5" customHeight="1" x14ac:dyDescent="0.25">
      <c r="A3131" s="1"/>
    </row>
    <row r="3132" spans="1:1" ht="46.5" customHeight="1" x14ac:dyDescent="0.25">
      <c r="A3132" s="1"/>
    </row>
    <row r="3133" spans="1:1" ht="46.5" customHeight="1" x14ac:dyDescent="0.25">
      <c r="A3133" s="1"/>
    </row>
    <row r="3134" spans="1:1" ht="46.5" customHeight="1" x14ac:dyDescent="0.25">
      <c r="A3134" s="1"/>
    </row>
    <row r="3135" spans="1:1" ht="46.5" customHeight="1" x14ac:dyDescent="0.25">
      <c r="A3135" s="1"/>
    </row>
    <row r="3136" spans="1:1" ht="46.5" customHeight="1" x14ac:dyDescent="0.25">
      <c r="A3136" s="1"/>
    </row>
    <row r="3137" spans="1:1" ht="46.5" customHeight="1" x14ac:dyDescent="0.25">
      <c r="A3137" s="1"/>
    </row>
    <row r="3138" spans="1:1" ht="46.5" customHeight="1" x14ac:dyDescent="0.25">
      <c r="A3138" s="1"/>
    </row>
    <row r="3139" spans="1:1" ht="46.5" customHeight="1" x14ac:dyDescent="0.25">
      <c r="A3139" s="1"/>
    </row>
    <row r="3140" spans="1:1" ht="46.5" customHeight="1" x14ac:dyDescent="0.25">
      <c r="A3140" s="1"/>
    </row>
    <row r="3141" spans="1:1" ht="46.5" customHeight="1" x14ac:dyDescent="0.25">
      <c r="A3141" s="1"/>
    </row>
    <row r="3142" spans="1:1" ht="46.5" customHeight="1" x14ac:dyDescent="0.25">
      <c r="A3142" s="1"/>
    </row>
    <row r="3143" spans="1:1" ht="46.5" customHeight="1" x14ac:dyDescent="0.25">
      <c r="A3143" s="1"/>
    </row>
    <row r="3144" spans="1:1" ht="46.5" customHeight="1" x14ac:dyDescent="0.25">
      <c r="A3144" s="1"/>
    </row>
    <row r="3145" spans="1:1" ht="46.5" customHeight="1" x14ac:dyDescent="0.25">
      <c r="A3145" s="1"/>
    </row>
    <row r="3146" spans="1:1" ht="46.5" customHeight="1" x14ac:dyDescent="0.25">
      <c r="A3146" s="1"/>
    </row>
    <row r="3147" spans="1:1" ht="46.5" customHeight="1" x14ac:dyDescent="0.25">
      <c r="A3147" s="1"/>
    </row>
    <row r="3148" spans="1:1" ht="46.5" customHeight="1" x14ac:dyDescent="0.25">
      <c r="A3148" s="1"/>
    </row>
    <row r="3149" spans="1:1" ht="46.5" customHeight="1" x14ac:dyDescent="0.25">
      <c r="A3149" s="1"/>
    </row>
    <row r="3150" spans="1:1" ht="46.5" customHeight="1" x14ac:dyDescent="0.25">
      <c r="A3150" s="1"/>
    </row>
    <row r="3151" spans="1:1" ht="46.5" customHeight="1" x14ac:dyDescent="0.25">
      <c r="A3151" s="1"/>
    </row>
    <row r="3152" spans="1:1" ht="46.5" customHeight="1" x14ac:dyDescent="0.25">
      <c r="A3152" s="1"/>
    </row>
    <row r="3153" spans="1:1" ht="46.5" customHeight="1" x14ac:dyDescent="0.25">
      <c r="A3153" s="1"/>
    </row>
    <row r="3154" spans="1:1" ht="46.5" customHeight="1" x14ac:dyDescent="0.25">
      <c r="A3154" s="1"/>
    </row>
    <row r="3155" spans="1:1" ht="46.5" customHeight="1" x14ac:dyDescent="0.25">
      <c r="A3155" s="1"/>
    </row>
    <row r="3156" spans="1:1" ht="46.5" customHeight="1" x14ac:dyDescent="0.25">
      <c r="A3156" s="1"/>
    </row>
    <row r="3157" spans="1:1" ht="46.5" customHeight="1" x14ac:dyDescent="0.25">
      <c r="A3157" s="1"/>
    </row>
    <row r="3158" spans="1:1" ht="46.5" customHeight="1" x14ac:dyDescent="0.25">
      <c r="A3158" s="1"/>
    </row>
    <row r="3159" spans="1:1" ht="46.5" customHeight="1" x14ac:dyDescent="0.25">
      <c r="A3159" s="1"/>
    </row>
    <row r="3160" spans="1:1" ht="46.5" customHeight="1" x14ac:dyDescent="0.25">
      <c r="A3160" s="1"/>
    </row>
    <row r="3161" spans="1:1" ht="46.5" customHeight="1" x14ac:dyDescent="0.25">
      <c r="A3161" s="1"/>
    </row>
    <row r="3162" spans="1:1" ht="46.5" customHeight="1" x14ac:dyDescent="0.25">
      <c r="A3162" s="1"/>
    </row>
    <row r="3163" spans="1:1" ht="46.5" customHeight="1" x14ac:dyDescent="0.25">
      <c r="A3163" s="1"/>
    </row>
    <row r="3164" spans="1:1" ht="46.5" customHeight="1" x14ac:dyDescent="0.25">
      <c r="A3164" s="1"/>
    </row>
    <row r="3165" spans="1:1" ht="46.5" customHeight="1" x14ac:dyDescent="0.25">
      <c r="A3165" s="1"/>
    </row>
    <row r="3166" spans="1:1" ht="46.5" customHeight="1" x14ac:dyDescent="0.25">
      <c r="A3166" s="1"/>
    </row>
    <row r="3167" spans="1:1" ht="46.5" customHeight="1" x14ac:dyDescent="0.25">
      <c r="A3167" s="1"/>
    </row>
    <row r="3168" spans="1:1" ht="46.5" customHeight="1" x14ac:dyDescent="0.25">
      <c r="A3168" s="1"/>
    </row>
    <row r="3169" spans="1:1" ht="46.5" customHeight="1" x14ac:dyDescent="0.25">
      <c r="A3169" s="1"/>
    </row>
    <row r="3170" spans="1:1" ht="46.5" customHeight="1" x14ac:dyDescent="0.25">
      <c r="A3170" s="1"/>
    </row>
    <row r="3171" spans="1:1" ht="46.5" customHeight="1" x14ac:dyDescent="0.25">
      <c r="A3171" s="1"/>
    </row>
    <row r="3172" spans="1:1" ht="46.5" customHeight="1" x14ac:dyDescent="0.25">
      <c r="A3172" s="1"/>
    </row>
    <row r="3173" spans="1:1" ht="46.5" customHeight="1" x14ac:dyDescent="0.25">
      <c r="A3173" s="1"/>
    </row>
    <row r="3174" spans="1:1" ht="46.5" customHeight="1" x14ac:dyDescent="0.25">
      <c r="A3174" s="1"/>
    </row>
    <row r="3175" spans="1:1" ht="46.5" customHeight="1" x14ac:dyDescent="0.25">
      <c r="A3175" s="1"/>
    </row>
    <row r="3176" spans="1:1" ht="46.5" customHeight="1" x14ac:dyDescent="0.25">
      <c r="A3176" s="1"/>
    </row>
    <row r="3177" spans="1:1" ht="46.5" customHeight="1" x14ac:dyDescent="0.25">
      <c r="A3177" s="1"/>
    </row>
    <row r="3178" spans="1:1" ht="46.5" customHeight="1" x14ac:dyDescent="0.25">
      <c r="A3178" s="1"/>
    </row>
    <row r="3179" spans="1:1" ht="46.5" customHeight="1" x14ac:dyDescent="0.25">
      <c r="A3179" s="1"/>
    </row>
    <row r="3180" spans="1:1" ht="46.5" customHeight="1" x14ac:dyDescent="0.25">
      <c r="A3180" s="1"/>
    </row>
    <row r="3181" spans="1:1" ht="46.5" customHeight="1" x14ac:dyDescent="0.25">
      <c r="A3181" s="1"/>
    </row>
    <row r="3182" spans="1:1" ht="46.5" customHeight="1" x14ac:dyDescent="0.25">
      <c r="A3182" s="1"/>
    </row>
    <row r="3183" spans="1:1" ht="46.5" customHeight="1" x14ac:dyDescent="0.25">
      <c r="A3183" s="1"/>
    </row>
    <row r="3184" spans="1:1" ht="46.5" customHeight="1" x14ac:dyDescent="0.25">
      <c r="A3184" s="1"/>
    </row>
    <row r="3185" spans="1:1" ht="46.5" customHeight="1" x14ac:dyDescent="0.25">
      <c r="A3185" s="1"/>
    </row>
    <row r="3186" spans="1:1" ht="46.5" customHeight="1" x14ac:dyDescent="0.25">
      <c r="A3186" s="1"/>
    </row>
    <row r="3187" spans="1:1" ht="46.5" customHeight="1" x14ac:dyDescent="0.25">
      <c r="A3187" s="1"/>
    </row>
    <row r="3188" spans="1:1" ht="46.5" customHeight="1" x14ac:dyDescent="0.25">
      <c r="A3188" s="1"/>
    </row>
    <row r="3189" spans="1:1" ht="46.5" customHeight="1" x14ac:dyDescent="0.25">
      <c r="A3189" s="1"/>
    </row>
    <row r="3190" spans="1:1" ht="46.5" customHeight="1" x14ac:dyDescent="0.25">
      <c r="A3190" s="1"/>
    </row>
    <row r="3191" spans="1:1" ht="46.5" customHeight="1" x14ac:dyDescent="0.25">
      <c r="A3191" s="1"/>
    </row>
    <row r="3192" spans="1:1" ht="46.5" customHeight="1" x14ac:dyDescent="0.25">
      <c r="A3192" s="1"/>
    </row>
    <row r="3193" spans="1:1" ht="46.5" customHeight="1" x14ac:dyDescent="0.25">
      <c r="A3193" s="1"/>
    </row>
    <row r="3194" spans="1:1" ht="46.5" customHeight="1" x14ac:dyDescent="0.25">
      <c r="A3194" s="1"/>
    </row>
    <row r="3195" spans="1:1" ht="46.5" customHeight="1" x14ac:dyDescent="0.25">
      <c r="A3195" s="1"/>
    </row>
    <row r="3196" spans="1:1" ht="46.5" customHeight="1" x14ac:dyDescent="0.25">
      <c r="A3196" s="1"/>
    </row>
    <row r="3197" spans="1:1" ht="46.5" customHeight="1" x14ac:dyDescent="0.25">
      <c r="A3197" s="1"/>
    </row>
    <row r="3198" spans="1:1" ht="46.5" customHeight="1" x14ac:dyDescent="0.25">
      <c r="A3198" s="1"/>
    </row>
    <row r="3199" spans="1:1" ht="46.5" customHeight="1" x14ac:dyDescent="0.25">
      <c r="A3199" s="1"/>
    </row>
    <row r="3200" spans="1:1" ht="46.5" customHeight="1" x14ac:dyDescent="0.25">
      <c r="A3200" s="1"/>
    </row>
    <row r="3201" spans="1:1" ht="46.5" customHeight="1" x14ac:dyDescent="0.25">
      <c r="A3201" s="1"/>
    </row>
    <row r="3202" spans="1:1" ht="46.5" customHeight="1" x14ac:dyDescent="0.25">
      <c r="A3202" s="1"/>
    </row>
    <row r="3203" spans="1:1" ht="46.5" customHeight="1" x14ac:dyDescent="0.25">
      <c r="A3203" s="1"/>
    </row>
    <row r="3204" spans="1:1" ht="46.5" customHeight="1" x14ac:dyDescent="0.25">
      <c r="A3204" s="1"/>
    </row>
    <row r="3205" spans="1:1" ht="46.5" customHeight="1" x14ac:dyDescent="0.25">
      <c r="A3205" s="1"/>
    </row>
    <row r="3206" spans="1:1" ht="46.5" customHeight="1" x14ac:dyDescent="0.25">
      <c r="A3206" s="1"/>
    </row>
    <row r="3207" spans="1:1" ht="46.5" customHeight="1" x14ac:dyDescent="0.25">
      <c r="A3207" s="1"/>
    </row>
    <row r="3208" spans="1:1" ht="46.5" customHeight="1" x14ac:dyDescent="0.25">
      <c r="A3208" s="1"/>
    </row>
    <row r="3209" spans="1:1" ht="46.5" customHeight="1" x14ac:dyDescent="0.25">
      <c r="A3209" s="1"/>
    </row>
    <row r="3210" spans="1:1" ht="46.5" customHeight="1" x14ac:dyDescent="0.25">
      <c r="A3210" s="1"/>
    </row>
    <row r="3211" spans="1:1" ht="46.5" customHeight="1" x14ac:dyDescent="0.25">
      <c r="A3211" s="1"/>
    </row>
    <row r="3212" spans="1:1" ht="46.5" customHeight="1" x14ac:dyDescent="0.25">
      <c r="A3212" s="1"/>
    </row>
    <row r="3213" spans="1:1" ht="46.5" customHeight="1" x14ac:dyDescent="0.25">
      <c r="A3213" s="1"/>
    </row>
    <row r="3214" spans="1:1" ht="46.5" customHeight="1" x14ac:dyDescent="0.25">
      <c r="A3214" s="1"/>
    </row>
    <row r="3215" spans="1:1" ht="46.5" customHeight="1" x14ac:dyDescent="0.25">
      <c r="A3215" s="1"/>
    </row>
    <row r="3216" spans="1:1" ht="46.5" customHeight="1" x14ac:dyDescent="0.25">
      <c r="A3216" s="1"/>
    </row>
    <row r="3217" spans="1:1" ht="46.5" customHeight="1" x14ac:dyDescent="0.25">
      <c r="A3217" s="1"/>
    </row>
    <row r="3218" spans="1:1" ht="46.5" customHeight="1" x14ac:dyDescent="0.25">
      <c r="A3218" s="1"/>
    </row>
    <row r="3219" spans="1:1" ht="46.5" customHeight="1" x14ac:dyDescent="0.25">
      <c r="A3219" s="1"/>
    </row>
    <row r="3220" spans="1:1" ht="46.5" customHeight="1" x14ac:dyDescent="0.25">
      <c r="A3220" s="1"/>
    </row>
    <row r="3221" spans="1:1" ht="46.5" customHeight="1" x14ac:dyDescent="0.25">
      <c r="A3221" s="1"/>
    </row>
    <row r="3222" spans="1:1" ht="46.5" customHeight="1" x14ac:dyDescent="0.25">
      <c r="A3222" s="1"/>
    </row>
    <row r="3223" spans="1:1" ht="46.5" customHeight="1" x14ac:dyDescent="0.25">
      <c r="A3223" s="1"/>
    </row>
    <row r="3224" spans="1:1" ht="46.5" customHeight="1" x14ac:dyDescent="0.25">
      <c r="A3224" s="1"/>
    </row>
    <row r="3225" spans="1:1" ht="46.5" customHeight="1" x14ac:dyDescent="0.25">
      <c r="A3225" s="1"/>
    </row>
    <row r="3226" spans="1:1" ht="46.5" customHeight="1" x14ac:dyDescent="0.25">
      <c r="A3226" s="1"/>
    </row>
    <row r="3227" spans="1:1" ht="46.5" customHeight="1" x14ac:dyDescent="0.25">
      <c r="A3227" s="1"/>
    </row>
    <row r="3228" spans="1:1" ht="46.5" customHeight="1" x14ac:dyDescent="0.25">
      <c r="A3228" s="1"/>
    </row>
    <row r="3229" spans="1:1" ht="46.5" customHeight="1" x14ac:dyDescent="0.25">
      <c r="A3229" s="1"/>
    </row>
    <row r="3230" spans="1:1" ht="46.5" customHeight="1" x14ac:dyDescent="0.25">
      <c r="A3230" s="1"/>
    </row>
    <row r="3231" spans="1:1" ht="46.5" customHeight="1" x14ac:dyDescent="0.25">
      <c r="A3231" s="1"/>
    </row>
    <row r="3232" spans="1:1" ht="46.5" customHeight="1" x14ac:dyDescent="0.25">
      <c r="A3232" s="1"/>
    </row>
    <row r="3233" spans="1:1" ht="46.5" customHeight="1" x14ac:dyDescent="0.25">
      <c r="A3233" s="1"/>
    </row>
    <row r="3234" spans="1:1" ht="46.5" customHeight="1" x14ac:dyDescent="0.25">
      <c r="A3234" s="1"/>
    </row>
    <row r="3235" spans="1:1" ht="46.5" customHeight="1" x14ac:dyDescent="0.25">
      <c r="A3235" s="1"/>
    </row>
    <row r="3236" spans="1:1" ht="46.5" customHeight="1" x14ac:dyDescent="0.25">
      <c r="A3236" s="1"/>
    </row>
    <row r="3237" spans="1:1" ht="46.5" customHeight="1" x14ac:dyDescent="0.25">
      <c r="A3237" s="1"/>
    </row>
    <row r="3238" spans="1:1" ht="46.5" customHeight="1" x14ac:dyDescent="0.25">
      <c r="A3238" s="1"/>
    </row>
    <row r="3239" spans="1:1" ht="46.5" customHeight="1" x14ac:dyDescent="0.25">
      <c r="A3239" s="1"/>
    </row>
    <row r="3240" spans="1:1" ht="46.5" customHeight="1" x14ac:dyDescent="0.25">
      <c r="A3240" s="1"/>
    </row>
    <row r="3241" spans="1:1" ht="46.5" customHeight="1" x14ac:dyDescent="0.25">
      <c r="A3241" s="1"/>
    </row>
    <row r="3242" spans="1:1" ht="46.5" customHeight="1" x14ac:dyDescent="0.25">
      <c r="A3242" s="1"/>
    </row>
    <row r="3243" spans="1:1" ht="46.5" customHeight="1" x14ac:dyDescent="0.25">
      <c r="A3243" s="1"/>
    </row>
    <row r="3244" spans="1:1" ht="46.5" customHeight="1" x14ac:dyDescent="0.25">
      <c r="A3244" s="1"/>
    </row>
    <row r="3245" spans="1:1" ht="46.5" customHeight="1" x14ac:dyDescent="0.25">
      <c r="A3245" s="1"/>
    </row>
    <row r="3246" spans="1:1" ht="46.5" customHeight="1" x14ac:dyDescent="0.25">
      <c r="A3246" s="1"/>
    </row>
    <row r="3247" spans="1:1" ht="46.5" customHeight="1" x14ac:dyDescent="0.25">
      <c r="A3247" s="1"/>
    </row>
    <row r="3248" spans="1:1" ht="46.5" customHeight="1" x14ac:dyDescent="0.25">
      <c r="A3248" s="1"/>
    </row>
    <row r="3249" spans="1:1" ht="46.5" customHeight="1" x14ac:dyDescent="0.25">
      <c r="A3249" s="1"/>
    </row>
    <row r="3250" spans="1:1" ht="46.5" customHeight="1" x14ac:dyDescent="0.25">
      <c r="A3250" s="1"/>
    </row>
    <row r="3251" spans="1:1" ht="46.5" customHeight="1" x14ac:dyDescent="0.25">
      <c r="A3251" s="1"/>
    </row>
    <row r="3252" spans="1:1" ht="46.5" customHeight="1" x14ac:dyDescent="0.25">
      <c r="A3252" s="1"/>
    </row>
    <row r="3253" spans="1:1" ht="46.5" customHeight="1" x14ac:dyDescent="0.25">
      <c r="A3253" s="1"/>
    </row>
    <row r="3254" spans="1:1" ht="46.5" customHeight="1" x14ac:dyDescent="0.25">
      <c r="A3254" s="1"/>
    </row>
    <row r="3255" spans="1:1" ht="46.5" customHeight="1" x14ac:dyDescent="0.25">
      <c r="A3255" s="1"/>
    </row>
    <row r="3256" spans="1:1" ht="46.5" customHeight="1" x14ac:dyDescent="0.25">
      <c r="A3256" s="1"/>
    </row>
    <row r="3257" spans="1:1" ht="46.5" customHeight="1" x14ac:dyDescent="0.25">
      <c r="A3257" s="1"/>
    </row>
    <row r="3258" spans="1:1" ht="46.5" customHeight="1" x14ac:dyDescent="0.25">
      <c r="A3258" s="1"/>
    </row>
    <row r="3259" spans="1:1" ht="46.5" customHeight="1" x14ac:dyDescent="0.25">
      <c r="A3259" s="1"/>
    </row>
    <row r="3260" spans="1:1" ht="46.5" customHeight="1" x14ac:dyDescent="0.25">
      <c r="A3260" s="1"/>
    </row>
    <row r="3261" spans="1:1" ht="46.5" customHeight="1" x14ac:dyDescent="0.25">
      <c r="A3261" s="1"/>
    </row>
    <row r="3262" spans="1:1" ht="46.5" customHeight="1" x14ac:dyDescent="0.25">
      <c r="A3262" s="1"/>
    </row>
    <row r="3263" spans="1:1" ht="46.5" customHeight="1" x14ac:dyDescent="0.25">
      <c r="A3263" s="1"/>
    </row>
    <row r="3264" spans="1:1" ht="46.5" customHeight="1" x14ac:dyDescent="0.25">
      <c r="A3264" s="1"/>
    </row>
    <row r="3265" spans="1:1" ht="46.5" customHeight="1" x14ac:dyDescent="0.25">
      <c r="A3265" s="1"/>
    </row>
    <row r="3266" spans="1:1" ht="46.5" customHeight="1" x14ac:dyDescent="0.25">
      <c r="A3266" s="1"/>
    </row>
    <row r="3267" spans="1:1" ht="46.5" customHeight="1" x14ac:dyDescent="0.25">
      <c r="A3267" s="1"/>
    </row>
    <row r="3268" spans="1:1" ht="46.5" customHeight="1" x14ac:dyDescent="0.25">
      <c r="A3268" s="1"/>
    </row>
    <row r="3269" spans="1:1" ht="46.5" customHeight="1" x14ac:dyDescent="0.25">
      <c r="A3269" s="1"/>
    </row>
    <row r="3270" spans="1:1" ht="46.5" customHeight="1" x14ac:dyDescent="0.25">
      <c r="A3270" s="1"/>
    </row>
    <row r="3271" spans="1:1" ht="46.5" customHeight="1" x14ac:dyDescent="0.25">
      <c r="A3271" s="1"/>
    </row>
    <row r="3272" spans="1:1" ht="46.5" customHeight="1" x14ac:dyDescent="0.25">
      <c r="A3272" s="1"/>
    </row>
    <row r="3273" spans="1:1" ht="46.5" customHeight="1" x14ac:dyDescent="0.25">
      <c r="A3273" s="1"/>
    </row>
    <row r="3274" spans="1:1" ht="46.5" customHeight="1" x14ac:dyDescent="0.25">
      <c r="A3274" s="1"/>
    </row>
    <row r="3275" spans="1:1" ht="46.5" customHeight="1" x14ac:dyDescent="0.25">
      <c r="A3275" s="1"/>
    </row>
    <row r="3276" spans="1:1" ht="46.5" customHeight="1" x14ac:dyDescent="0.25">
      <c r="A3276" s="1"/>
    </row>
    <row r="3277" spans="1:1" ht="46.5" customHeight="1" x14ac:dyDescent="0.25">
      <c r="A3277" s="1"/>
    </row>
    <row r="3278" spans="1:1" ht="46.5" customHeight="1" x14ac:dyDescent="0.25">
      <c r="A3278" s="1"/>
    </row>
    <row r="3279" spans="1:1" ht="46.5" customHeight="1" x14ac:dyDescent="0.25">
      <c r="A3279" s="1"/>
    </row>
    <row r="3280" spans="1:1" ht="46.5" customHeight="1" x14ac:dyDescent="0.25">
      <c r="A3280" s="1"/>
    </row>
    <row r="3281" spans="1:1" ht="46.5" customHeight="1" x14ac:dyDescent="0.25">
      <c r="A3281" s="1"/>
    </row>
    <row r="3282" spans="1:1" ht="46.5" customHeight="1" x14ac:dyDescent="0.25">
      <c r="A3282" s="1"/>
    </row>
    <row r="3283" spans="1:1" ht="46.5" customHeight="1" x14ac:dyDescent="0.25">
      <c r="A3283" s="1"/>
    </row>
    <row r="3284" spans="1:1" ht="46.5" customHeight="1" x14ac:dyDescent="0.25">
      <c r="A3284" s="1"/>
    </row>
    <row r="3285" spans="1:1" ht="46.5" customHeight="1" x14ac:dyDescent="0.25">
      <c r="A3285" s="1"/>
    </row>
    <row r="3286" spans="1:1" ht="46.5" customHeight="1" x14ac:dyDescent="0.25">
      <c r="A3286" s="1"/>
    </row>
    <row r="3287" spans="1:1" ht="46.5" customHeight="1" x14ac:dyDescent="0.25">
      <c r="A3287" s="1"/>
    </row>
    <row r="3288" spans="1:1" ht="46.5" customHeight="1" x14ac:dyDescent="0.25">
      <c r="A3288" s="1"/>
    </row>
    <row r="3289" spans="1:1" ht="46.5" customHeight="1" x14ac:dyDescent="0.25">
      <c r="A3289" s="1"/>
    </row>
    <row r="3290" spans="1:1" ht="46.5" customHeight="1" x14ac:dyDescent="0.25">
      <c r="A3290" s="1"/>
    </row>
    <row r="3291" spans="1:1" ht="46.5" customHeight="1" x14ac:dyDescent="0.25">
      <c r="A3291" s="1"/>
    </row>
    <row r="3292" spans="1:1" ht="46.5" customHeight="1" x14ac:dyDescent="0.25">
      <c r="A3292" s="1"/>
    </row>
    <row r="3293" spans="1:1" ht="46.5" customHeight="1" x14ac:dyDescent="0.25">
      <c r="A3293" s="1"/>
    </row>
    <row r="3294" spans="1:1" ht="46.5" customHeight="1" x14ac:dyDescent="0.25">
      <c r="A3294" s="1"/>
    </row>
    <row r="3295" spans="1:1" ht="46.5" customHeight="1" x14ac:dyDescent="0.25">
      <c r="A3295" s="1"/>
    </row>
    <row r="3296" spans="1:1" ht="46.5" customHeight="1" x14ac:dyDescent="0.25">
      <c r="A3296" s="1"/>
    </row>
    <row r="3297" spans="1:1" ht="46.5" customHeight="1" x14ac:dyDescent="0.25">
      <c r="A3297" s="1"/>
    </row>
    <row r="3298" spans="1:1" ht="46.5" customHeight="1" x14ac:dyDescent="0.25">
      <c r="A3298" s="1"/>
    </row>
    <row r="3299" spans="1:1" ht="46.5" customHeight="1" x14ac:dyDescent="0.25">
      <c r="A3299" s="1"/>
    </row>
    <row r="3300" spans="1:1" ht="46.5" customHeight="1" x14ac:dyDescent="0.25">
      <c r="A3300" s="1"/>
    </row>
    <row r="3301" spans="1:1" ht="46.5" customHeight="1" x14ac:dyDescent="0.25">
      <c r="A3301" s="1"/>
    </row>
    <row r="3302" spans="1:1" ht="46.5" customHeight="1" x14ac:dyDescent="0.25">
      <c r="A3302" s="1"/>
    </row>
    <row r="3303" spans="1:1" ht="46.5" customHeight="1" x14ac:dyDescent="0.25">
      <c r="A3303" s="1"/>
    </row>
    <row r="3304" spans="1:1" ht="46.5" customHeight="1" x14ac:dyDescent="0.25">
      <c r="A3304" s="1"/>
    </row>
    <row r="3305" spans="1:1" ht="46.5" customHeight="1" x14ac:dyDescent="0.25">
      <c r="A3305" s="1"/>
    </row>
    <row r="3306" spans="1:1" ht="46.5" customHeight="1" x14ac:dyDescent="0.25">
      <c r="A3306" s="1"/>
    </row>
    <row r="3307" spans="1:1" ht="46.5" customHeight="1" x14ac:dyDescent="0.25">
      <c r="A3307" s="1"/>
    </row>
    <row r="3308" spans="1:1" ht="46.5" customHeight="1" x14ac:dyDescent="0.25">
      <c r="A3308" s="1"/>
    </row>
    <row r="3309" spans="1:1" ht="46.5" customHeight="1" x14ac:dyDescent="0.25">
      <c r="A3309" s="1"/>
    </row>
    <row r="3310" spans="1:1" ht="46.5" customHeight="1" x14ac:dyDescent="0.25">
      <c r="A3310" s="1"/>
    </row>
    <row r="3311" spans="1:1" ht="46.5" customHeight="1" x14ac:dyDescent="0.25">
      <c r="A3311" s="1"/>
    </row>
    <row r="3312" spans="1:1" ht="46.5" customHeight="1" x14ac:dyDescent="0.25">
      <c r="A3312" s="1"/>
    </row>
    <row r="3313" spans="1:1" ht="46.5" customHeight="1" x14ac:dyDescent="0.25">
      <c r="A3313" s="1"/>
    </row>
    <row r="3314" spans="1:1" ht="46.5" customHeight="1" x14ac:dyDescent="0.25">
      <c r="A3314" s="1"/>
    </row>
    <row r="3315" spans="1:1" ht="46.5" customHeight="1" x14ac:dyDescent="0.25">
      <c r="A3315" s="1"/>
    </row>
    <row r="3316" spans="1:1" ht="46.5" customHeight="1" x14ac:dyDescent="0.25">
      <c r="A3316" s="1"/>
    </row>
    <row r="3317" spans="1:1" ht="46.5" customHeight="1" x14ac:dyDescent="0.25">
      <c r="A3317" s="1"/>
    </row>
    <row r="3318" spans="1:1" ht="46.5" customHeight="1" x14ac:dyDescent="0.25">
      <c r="A3318" s="1"/>
    </row>
    <row r="3319" spans="1:1" ht="46.5" customHeight="1" x14ac:dyDescent="0.25">
      <c r="A3319" s="1"/>
    </row>
    <row r="3320" spans="1:1" ht="46.5" customHeight="1" x14ac:dyDescent="0.25">
      <c r="A3320" s="1"/>
    </row>
    <row r="3321" spans="1:1" ht="46.5" customHeight="1" x14ac:dyDescent="0.25">
      <c r="A3321" s="1"/>
    </row>
    <row r="3322" spans="1:1" ht="46.5" customHeight="1" x14ac:dyDescent="0.25">
      <c r="A3322" s="1"/>
    </row>
    <row r="3323" spans="1:1" ht="46.5" customHeight="1" x14ac:dyDescent="0.25">
      <c r="A3323" s="1"/>
    </row>
    <row r="3324" spans="1:1" ht="46.5" customHeight="1" x14ac:dyDescent="0.25">
      <c r="A3324" s="1"/>
    </row>
    <row r="3325" spans="1:1" ht="46.5" customHeight="1" x14ac:dyDescent="0.25">
      <c r="A3325" s="1"/>
    </row>
    <row r="3326" spans="1:1" ht="46.5" customHeight="1" x14ac:dyDescent="0.25">
      <c r="A3326" s="1"/>
    </row>
    <row r="3327" spans="1:1" ht="46.5" customHeight="1" x14ac:dyDescent="0.25">
      <c r="A3327" s="1"/>
    </row>
    <row r="3328" spans="1:1" ht="46.5" customHeight="1" x14ac:dyDescent="0.25">
      <c r="A3328" s="1"/>
    </row>
    <row r="3329" spans="1:1" ht="46.5" customHeight="1" x14ac:dyDescent="0.25">
      <c r="A3329" s="1"/>
    </row>
    <row r="3330" spans="1:1" ht="46.5" customHeight="1" x14ac:dyDescent="0.25">
      <c r="A3330" s="1"/>
    </row>
    <row r="3331" spans="1:1" ht="46.5" customHeight="1" x14ac:dyDescent="0.25">
      <c r="A3331" s="1"/>
    </row>
    <row r="3332" spans="1:1" ht="46.5" customHeight="1" x14ac:dyDescent="0.25">
      <c r="A3332" s="1"/>
    </row>
    <row r="3333" spans="1:1" ht="46.5" customHeight="1" x14ac:dyDescent="0.25">
      <c r="A3333" s="1"/>
    </row>
    <row r="3334" spans="1:1" ht="46.5" customHeight="1" x14ac:dyDescent="0.25">
      <c r="A3334" s="1"/>
    </row>
    <row r="3335" spans="1:1" ht="46.5" customHeight="1" x14ac:dyDescent="0.25">
      <c r="A3335" s="1"/>
    </row>
    <row r="3336" spans="1:1" ht="46.5" customHeight="1" x14ac:dyDescent="0.25">
      <c r="A3336" s="1"/>
    </row>
    <row r="3337" spans="1:1" ht="46.5" customHeight="1" x14ac:dyDescent="0.25">
      <c r="A3337" s="1"/>
    </row>
    <row r="3338" spans="1:1" ht="46.5" customHeight="1" x14ac:dyDescent="0.25">
      <c r="A3338" s="1"/>
    </row>
    <row r="3339" spans="1:1" ht="46.5" customHeight="1" x14ac:dyDescent="0.25">
      <c r="A3339" s="1"/>
    </row>
    <row r="3340" spans="1:1" ht="46.5" customHeight="1" x14ac:dyDescent="0.25">
      <c r="A3340" s="1"/>
    </row>
    <row r="3341" spans="1:1" ht="46.5" customHeight="1" x14ac:dyDescent="0.25">
      <c r="A3341" s="1"/>
    </row>
    <row r="3342" spans="1:1" ht="46.5" customHeight="1" x14ac:dyDescent="0.25">
      <c r="A3342" s="1"/>
    </row>
    <row r="3343" spans="1:1" ht="46.5" customHeight="1" x14ac:dyDescent="0.25">
      <c r="A3343" s="1"/>
    </row>
    <row r="3344" spans="1:1" ht="46.5" customHeight="1" x14ac:dyDescent="0.25">
      <c r="A3344" s="1"/>
    </row>
    <row r="3345" spans="1:1" ht="46.5" customHeight="1" x14ac:dyDescent="0.25">
      <c r="A3345" s="1"/>
    </row>
    <row r="3346" spans="1:1" ht="46.5" customHeight="1" x14ac:dyDescent="0.25">
      <c r="A3346" s="1"/>
    </row>
    <row r="3347" spans="1:1" ht="46.5" customHeight="1" x14ac:dyDescent="0.25">
      <c r="A3347" s="1"/>
    </row>
    <row r="3348" spans="1:1" ht="46.5" customHeight="1" x14ac:dyDescent="0.25">
      <c r="A3348" s="1"/>
    </row>
    <row r="3349" spans="1:1" ht="46.5" customHeight="1" x14ac:dyDescent="0.25">
      <c r="A3349" s="1"/>
    </row>
    <row r="3350" spans="1:1" ht="46.5" customHeight="1" x14ac:dyDescent="0.25">
      <c r="A3350" s="1"/>
    </row>
    <row r="3351" spans="1:1" ht="46.5" customHeight="1" x14ac:dyDescent="0.25">
      <c r="A3351" s="1"/>
    </row>
    <row r="3352" spans="1:1" ht="46.5" customHeight="1" x14ac:dyDescent="0.25">
      <c r="A3352" s="1"/>
    </row>
    <row r="3353" spans="1:1" ht="46.5" customHeight="1" x14ac:dyDescent="0.25">
      <c r="A3353" s="1"/>
    </row>
    <row r="3354" spans="1:1" ht="46.5" customHeight="1" x14ac:dyDescent="0.25">
      <c r="A3354" s="1"/>
    </row>
    <row r="3355" spans="1:1" ht="46.5" customHeight="1" x14ac:dyDescent="0.25">
      <c r="A3355" s="1"/>
    </row>
    <row r="3356" spans="1:1" ht="46.5" customHeight="1" x14ac:dyDescent="0.25">
      <c r="A3356" s="1"/>
    </row>
    <row r="3357" spans="1:1" ht="46.5" customHeight="1" x14ac:dyDescent="0.25">
      <c r="A3357" s="1"/>
    </row>
    <row r="3358" spans="1:1" ht="46.5" customHeight="1" x14ac:dyDescent="0.25">
      <c r="A3358" s="1"/>
    </row>
    <row r="3359" spans="1:1" ht="46.5" customHeight="1" x14ac:dyDescent="0.25">
      <c r="A3359" s="1"/>
    </row>
    <row r="3360" spans="1:1" ht="46.5" customHeight="1" x14ac:dyDescent="0.25">
      <c r="A3360" s="1"/>
    </row>
    <row r="3361" spans="1:1" ht="46.5" customHeight="1" x14ac:dyDescent="0.25">
      <c r="A3361" s="1"/>
    </row>
    <row r="3362" spans="1:1" ht="46.5" customHeight="1" x14ac:dyDescent="0.25">
      <c r="A3362" s="1"/>
    </row>
    <row r="3363" spans="1:1" ht="46.5" customHeight="1" x14ac:dyDescent="0.25">
      <c r="A3363" s="1"/>
    </row>
    <row r="3364" spans="1:1" ht="46.5" customHeight="1" x14ac:dyDescent="0.25">
      <c r="A3364" s="1"/>
    </row>
    <row r="3365" spans="1:1" ht="46.5" customHeight="1" x14ac:dyDescent="0.25">
      <c r="A3365" s="1"/>
    </row>
    <row r="3366" spans="1:1" ht="46.5" customHeight="1" x14ac:dyDescent="0.25">
      <c r="A3366" s="1"/>
    </row>
    <row r="3367" spans="1:1" ht="46.5" customHeight="1" x14ac:dyDescent="0.25">
      <c r="A3367" s="1"/>
    </row>
    <row r="3368" spans="1:1" ht="46.5" customHeight="1" x14ac:dyDescent="0.25">
      <c r="A3368" s="1"/>
    </row>
    <row r="3369" spans="1:1" ht="46.5" customHeight="1" x14ac:dyDescent="0.25">
      <c r="A3369" s="1"/>
    </row>
    <row r="3370" spans="1:1" ht="46.5" customHeight="1" x14ac:dyDescent="0.25">
      <c r="A3370" s="1"/>
    </row>
    <row r="3371" spans="1:1" ht="46.5" customHeight="1" x14ac:dyDescent="0.25">
      <c r="A3371" s="1"/>
    </row>
    <row r="3372" spans="1:1" ht="46.5" customHeight="1" x14ac:dyDescent="0.25">
      <c r="A3372" s="1"/>
    </row>
    <row r="3373" spans="1:1" ht="46.5" customHeight="1" x14ac:dyDescent="0.25">
      <c r="A3373" s="1"/>
    </row>
    <row r="3374" spans="1:1" ht="46.5" customHeight="1" x14ac:dyDescent="0.25">
      <c r="A3374" s="1"/>
    </row>
    <row r="3375" spans="1:1" ht="46.5" customHeight="1" x14ac:dyDescent="0.25">
      <c r="A3375" s="1"/>
    </row>
    <row r="3376" spans="1:1" ht="46.5" customHeight="1" x14ac:dyDescent="0.25">
      <c r="A3376" s="1"/>
    </row>
    <row r="3377" spans="1:1" ht="46.5" customHeight="1" x14ac:dyDescent="0.25">
      <c r="A3377" s="1"/>
    </row>
    <row r="3378" spans="1:1" ht="46.5" customHeight="1" x14ac:dyDescent="0.25">
      <c r="A3378" s="1"/>
    </row>
    <row r="3379" spans="1:1" ht="46.5" customHeight="1" x14ac:dyDescent="0.25">
      <c r="A3379" s="1"/>
    </row>
    <row r="3380" spans="1:1" ht="46.5" customHeight="1" x14ac:dyDescent="0.25">
      <c r="A3380" s="1"/>
    </row>
    <row r="3381" spans="1:1" ht="46.5" customHeight="1" x14ac:dyDescent="0.25">
      <c r="A3381" s="1"/>
    </row>
    <row r="3382" spans="1:1" ht="46.5" customHeight="1" x14ac:dyDescent="0.25">
      <c r="A3382" s="1"/>
    </row>
    <row r="3383" spans="1:1" ht="46.5" customHeight="1" x14ac:dyDescent="0.25">
      <c r="A3383" s="1"/>
    </row>
    <row r="3384" spans="1:1" ht="46.5" customHeight="1" x14ac:dyDescent="0.25">
      <c r="A3384" s="1"/>
    </row>
    <row r="3385" spans="1:1" ht="46.5" customHeight="1" x14ac:dyDescent="0.25">
      <c r="A3385" s="1"/>
    </row>
    <row r="3386" spans="1:1" ht="46.5" customHeight="1" x14ac:dyDescent="0.25">
      <c r="A3386" s="1"/>
    </row>
    <row r="3387" spans="1:1" ht="46.5" customHeight="1" x14ac:dyDescent="0.25">
      <c r="A3387" s="1"/>
    </row>
    <row r="3388" spans="1:1" ht="46.5" customHeight="1" x14ac:dyDescent="0.25">
      <c r="A3388" s="1"/>
    </row>
    <row r="3389" spans="1:1" ht="46.5" customHeight="1" x14ac:dyDescent="0.25">
      <c r="A3389" s="1"/>
    </row>
    <row r="3390" spans="1:1" ht="46.5" customHeight="1" x14ac:dyDescent="0.25">
      <c r="A3390" s="1"/>
    </row>
    <row r="3391" spans="1:1" ht="46.5" customHeight="1" x14ac:dyDescent="0.25">
      <c r="A3391" s="1"/>
    </row>
    <row r="3392" spans="1:1" ht="46.5" customHeight="1" x14ac:dyDescent="0.25">
      <c r="A3392" s="1"/>
    </row>
    <row r="3393" spans="1:1" ht="46.5" customHeight="1" x14ac:dyDescent="0.25">
      <c r="A3393" s="1"/>
    </row>
    <row r="3394" spans="1:1" ht="46.5" customHeight="1" x14ac:dyDescent="0.25">
      <c r="A3394" s="1"/>
    </row>
    <row r="3395" spans="1:1" ht="46.5" customHeight="1" x14ac:dyDescent="0.25">
      <c r="A3395" s="1"/>
    </row>
    <row r="3396" spans="1:1" ht="46.5" customHeight="1" x14ac:dyDescent="0.25">
      <c r="A3396" s="1"/>
    </row>
    <row r="3397" spans="1:1" ht="46.5" customHeight="1" x14ac:dyDescent="0.25">
      <c r="A3397" s="1"/>
    </row>
    <row r="3398" spans="1:1" ht="46.5" customHeight="1" x14ac:dyDescent="0.25">
      <c r="A3398" s="1"/>
    </row>
    <row r="3399" spans="1:1" ht="46.5" customHeight="1" x14ac:dyDescent="0.25">
      <c r="A3399" s="1"/>
    </row>
    <row r="3400" spans="1:1" ht="46.5" customHeight="1" x14ac:dyDescent="0.25">
      <c r="A3400" s="1"/>
    </row>
    <row r="3401" spans="1:1" ht="46.5" customHeight="1" x14ac:dyDescent="0.25">
      <c r="A3401" s="1"/>
    </row>
    <row r="3402" spans="1:1" ht="46.5" customHeight="1" x14ac:dyDescent="0.25">
      <c r="A3402" s="1"/>
    </row>
    <row r="3403" spans="1:1" ht="46.5" customHeight="1" x14ac:dyDescent="0.25">
      <c r="A3403" s="1"/>
    </row>
    <row r="3404" spans="1:1" ht="46.5" customHeight="1" x14ac:dyDescent="0.25">
      <c r="A3404" s="1"/>
    </row>
    <row r="3405" spans="1:1" ht="46.5" customHeight="1" x14ac:dyDescent="0.25">
      <c r="A3405" s="1"/>
    </row>
    <row r="3406" spans="1:1" ht="46.5" customHeight="1" x14ac:dyDescent="0.25">
      <c r="A3406" s="1"/>
    </row>
    <row r="3407" spans="1:1" ht="46.5" customHeight="1" x14ac:dyDescent="0.25">
      <c r="A3407" s="1"/>
    </row>
    <row r="3408" spans="1:1" ht="46.5" customHeight="1" x14ac:dyDescent="0.25">
      <c r="A3408" s="1"/>
    </row>
    <row r="3409" spans="1:1" ht="46.5" customHeight="1" x14ac:dyDescent="0.25">
      <c r="A3409" s="1"/>
    </row>
    <row r="3410" spans="1:1" ht="46.5" customHeight="1" x14ac:dyDescent="0.25">
      <c r="A3410" s="1"/>
    </row>
    <row r="3411" spans="1:1" ht="46.5" customHeight="1" x14ac:dyDescent="0.25">
      <c r="A3411" s="1"/>
    </row>
    <row r="3412" spans="1:1" ht="46.5" customHeight="1" x14ac:dyDescent="0.25">
      <c r="A3412" s="1"/>
    </row>
    <row r="3413" spans="1:1" ht="46.5" customHeight="1" x14ac:dyDescent="0.25">
      <c r="A3413" s="1"/>
    </row>
    <row r="3414" spans="1:1" ht="46.5" customHeight="1" x14ac:dyDescent="0.25">
      <c r="A3414" s="1"/>
    </row>
    <row r="3415" spans="1:1" ht="46.5" customHeight="1" x14ac:dyDescent="0.25">
      <c r="A3415" s="1"/>
    </row>
    <row r="3416" spans="1:1" ht="46.5" customHeight="1" x14ac:dyDescent="0.25">
      <c r="A3416" s="1"/>
    </row>
    <row r="3417" spans="1:1" ht="46.5" customHeight="1" x14ac:dyDescent="0.25">
      <c r="A3417" s="1"/>
    </row>
    <row r="3418" spans="1:1" ht="46.5" customHeight="1" x14ac:dyDescent="0.25">
      <c r="A3418" s="1"/>
    </row>
    <row r="3419" spans="1:1" ht="46.5" customHeight="1" x14ac:dyDescent="0.25">
      <c r="A3419" s="1"/>
    </row>
    <row r="3420" spans="1:1" ht="46.5" customHeight="1" x14ac:dyDescent="0.25">
      <c r="A3420" s="1"/>
    </row>
    <row r="3421" spans="1:1" ht="46.5" customHeight="1" x14ac:dyDescent="0.25">
      <c r="A3421" s="1"/>
    </row>
    <row r="3422" spans="1:1" ht="46.5" customHeight="1" x14ac:dyDescent="0.25">
      <c r="A3422" s="1"/>
    </row>
    <row r="3423" spans="1:1" ht="46.5" customHeight="1" x14ac:dyDescent="0.25">
      <c r="A3423" s="1"/>
    </row>
    <row r="3424" spans="1:1" ht="46.5" customHeight="1" x14ac:dyDescent="0.25">
      <c r="A3424" s="1"/>
    </row>
    <row r="3425" spans="1:1" ht="46.5" customHeight="1" x14ac:dyDescent="0.25">
      <c r="A3425" s="1"/>
    </row>
    <row r="3426" spans="1:1" ht="46.5" customHeight="1" x14ac:dyDescent="0.25">
      <c r="A3426" s="1"/>
    </row>
    <row r="3427" spans="1:1" ht="46.5" customHeight="1" x14ac:dyDescent="0.25">
      <c r="A3427" s="1"/>
    </row>
    <row r="3428" spans="1:1" ht="46.5" customHeight="1" x14ac:dyDescent="0.25">
      <c r="A3428" s="1"/>
    </row>
    <row r="3429" spans="1:1" ht="46.5" customHeight="1" x14ac:dyDescent="0.25">
      <c r="A3429" s="1"/>
    </row>
    <row r="3430" spans="1:1" ht="46.5" customHeight="1" x14ac:dyDescent="0.25">
      <c r="A3430" s="1"/>
    </row>
    <row r="3431" spans="1:1" ht="46.5" customHeight="1" x14ac:dyDescent="0.25">
      <c r="A3431" s="1"/>
    </row>
    <row r="3432" spans="1:1" ht="46.5" customHeight="1" x14ac:dyDescent="0.25">
      <c r="A3432" s="1"/>
    </row>
    <row r="3433" spans="1:1" ht="46.5" customHeight="1" x14ac:dyDescent="0.25">
      <c r="A3433" s="1"/>
    </row>
    <row r="3434" spans="1:1" ht="46.5" customHeight="1" x14ac:dyDescent="0.25">
      <c r="A3434" s="1"/>
    </row>
    <row r="3435" spans="1:1" ht="46.5" customHeight="1" x14ac:dyDescent="0.25">
      <c r="A3435" s="1"/>
    </row>
    <row r="3436" spans="1:1" ht="46.5" customHeight="1" x14ac:dyDescent="0.25">
      <c r="A3436" s="1"/>
    </row>
    <row r="3437" spans="1:1" ht="46.5" customHeight="1" x14ac:dyDescent="0.25">
      <c r="A3437" s="1"/>
    </row>
    <row r="3438" spans="1:1" ht="46.5" customHeight="1" x14ac:dyDescent="0.25">
      <c r="A3438" s="1"/>
    </row>
    <row r="3439" spans="1:1" ht="46.5" customHeight="1" x14ac:dyDescent="0.25">
      <c r="A3439" s="1"/>
    </row>
    <row r="3440" spans="1:1" ht="46.5" customHeight="1" x14ac:dyDescent="0.25">
      <c r="A3440" s="1"/>
    </row>
    <row r="3441" spans="1:1" ht="46.5" customHeight="1" x14ac:dyDescent="0.25">
      <c r="A3441" s="1"/>
    </row>
    <row r="3442" spans="1:1" ht="46.5" customHeight="1" x14ac:dyDescent="0.25">
      <c r="A3442" s="1"/>
    </row>
    <row r="3443" spans="1:1" ht="46.5" customHeight="1" x14ac:dyDescent="0.25">
      <c r="A3443" s="1"/>
    </row>
    <row r="3444" spans="1:1" ht="46.5" customHeight="1" x14ac:dyDescent="0.25">
      <c r="A3444" s="1"/>
    </row>
    <row r="3445" spans="1:1" ht="46.5" customHeight="1" x14ac:dyDescent="0.25">
      <c r="A3445" s="1"/>
    </row>
    <row r="3446" spans="1:1" ht="46.5" customHeight="1" x14ac:dyDescent="0.25">
      <c r="A3446" s="1"/>
    </row>
    <row r="3447" spans="1:1" ht="46.5" customHeight="1" x14ac:dyDescent="0.25">
      <c r="A3447" s="1"/>
    </row>
    <row r="3448" spans="1:1" ht="46.5" customHeight="1" x14ac:dyDescent="0.25">
      <c r="A3448" s="1"/>
    </row>
    <row r="3449" spans="1:1" ht="46.5" customHeight="1" x14ac:dyDescent="0.25">
      <c r="A3449" s="1"/>
    </row>
    <row r="3450" spans="1:1" ht="46.5" customHeight="1" x14ac:dyDescent="0.25">
      <c r="A3450" s="1"/>
    </row>
    <row r="3451" spans="1:1" ht="46.5" customHeight="1" x14ac:dyDescent="0.25">
      <c r="A3451" s="1"/>
    </row>
    <row r="3452" spans="1:1" ht="46.5" customHeight="1" x14ac:dyDescent="0.25">
      <c r="A3452" s="1"/>
    </row>
    <row r="3453" spans="1:1" ht="46.5" customHeight="1" x14ac:dyDescent="0.25">
      <c r="A3453" s="1"/>
    </row>
    <row r="3454" spans="1:1" ht="46.5" customHeight="1" x14ac:dyDescent="0.25">
      <c r="A3454" s="1"/>
    </row>
    <row r="3455" spans="1:1" ht="46.5" customHeight="1" x14ac:dyDescent="0.25">
      <c r="A3455" s="1"/>
    </row>
    <row r="3456" spans="1:1" ht="46.5" customHeight="1" x14ac:dyDescent="0.25">
      <c r="A3456" s="1"/>
    </row>
    <row r="3457" spans="1:1" ht="46.5" customHeight="1" x14ac:dyDescent="0.25">
      <c r="A3457" s="1"/>
    </row>
    <row r="3458" spans="1:1" ht="46.5" customHeight="1" x14ac:dyDescent="0.25">
      <c r="A3458" s="1"/>
    </row>
    <row r="3459" spans="1:1" ht="46.5" customHeight="1" x14ac:dyDescent="0.25">
      <c r="A3459" s="1"/>
    </row>
    <row r="3460" spans="1:1" ht="46.5" customHeight="1" x14ac:dyDescent="0.25">
      <c r="A3460" s="1"/>
    </row>
    <row r="3461" spans="1:1" ht="46.5" customHeight="1" x14ac:dyDescent="0.25">
      <c r="A3461" s="1"/>
    </row>
    <row r="3462" spans="1:1" ht="46.5" customHeight="1" x14ac:dyDescent="0.25">
      <c r="A3462" s="1"/>
    </row>
    <row r="3463" spans="1:1" ht="46.5" customHeight="1" x14ac:dyDescent="0.25">
      <c r="A3463" s="1"/>
    </row>
    <row r="3464" spans="1:1" ht="46.5" customHeight="1" x14ac:dyDescent="0.25">
      <c r="A3464" s="1"/>
    </row>
    <row r="3465" spans="1:1" ht="46.5" customHeight="1" x14ac:dyDescent="0.25">
      <c r="A3465" s="1"/>
    </row>
    <row r="3466" spans="1:1" ht="46.5" customHeight="1" x14ac:dyDescent="0.25">
      <c r="A3466" s="1"/>
    </row>
    <row r="3467" spans="1:1" ht="46.5" customHeight="1" x14ac:dyDescent="0.25">
      <c r="A3467" s="1"/>
    </row>
    <row r="3468" spans="1:1" ht="46.5" customHeight="1" x14ac:dyDescent="0.25">
      <c r="A3468" s="1"/>
    </row>
    <row r="3469" spans="1:1" ht="46.5" customHeight="1" x14ac:dyDescent="0.25">
      <c r="A3469" s="1"/>
    </row>
    <row r="3470" spans="1:1" ht="46.5" customHeight="1" x14ac:dyDescent="0.25">
      <c r="A3470" s="1"/>
    </row>
    <row r="3471" spans="1:1" ht="46.5" customHeight="1" x14ac:dyDescent="0.25">
      <c r="A3471" s="1"/>
    </row>
    <row r="3472" spans="1:1" ht="46.5" customHeight="1" x14ac:dyDescent="0.25">
      <c r="A3472" s="1"/>
    </row>
    <row r="3473" spans="1:1" ht="46.5" customHeight="1" x14ac:dyDescent="0.25">
      <c r="A3473" s="1"/>
    </row>
    <row r="3474" spans="1:1" ht="46.5" customHeight="1" x14ac:dyDescent="0.25">
      <c r="A3474" s="1"/>
    </row>
    <row r="3475" spans="1:1" ht="46.5" customHeight="1" x14ac:dyDescent="0.25">
      <c r="A3475" s="1"/>
    </row>
    <row r="3476" spans="1:1" ht="46.5" customHeight="1" x14ac:dyDescent="0.25">
      <c r="A3476" s="1"/>
    </row>
    <row r="3477" spans="1:1" ht="46.5" customHeight="1" x14ac:dyDescent="0.25">
      <c r="A3477" s="1"/>
    </row>
    <row r="3478" spans="1:1" ht="46.5" customHeight="1" x14ac:dyDescent="0.25">
      <c r="A3478" s="1"/>
    </row>
    <row r="3479" spans="1:1" ht="46.5" customHeight="1" x14ac:dyDescent="0.25">
      <c r="A3479" s="1"/>
    </row>
    <row r="3480" spans="1:1" ht="46.5" customHeight="1" x14ac:dyDescent="0.25">
      <c r="A3480" s="1"/>
    </row>
    <row r="3481" spans="1:1" ht="46.5" customHeight="1" x14ac:dyDescent="0.25">
      <c r="A3481" s="1"/>
    </row>
    <row r="3482" spans="1:1" ht="46.5" customHeight="1" x14ac:dyDescent="0.25">
      <c r="A3482" s="1"/>
    </row>
    <row r="3483" spans="1:1" ht="46.5" customHeight="1" x14ac:dyDescent="0.25">
      <c r="A3483" s="1"/>
    </row>
    <row r="3484" spans="1:1" ht="46.5" customHeight="1" x14ac:dyDescent="0.25">
      <c r="A3484" s="1"/>
    </row>
    <row r="3485" spans="1:1" ht="46.5" customHeight="1" x14ac:dyDescent="0.25">
      <c r="A3485" s="1"/>
    </row>
    <row r="3486" spans="1:1" ht="46.5" customHeight="1" x14ac:dyDescent="0.25">
      <c r="A3486" s="1"/>
    </row>
    <row r="3487" spans="1:1" ht="46.5" customHeight="1" x14ac:dyDescent="0.25">
      <c r="A3487" s="1"/>
    </row>
    <row r="3488" spans="1:1" ht="46.5" customHeight="1" x14ac:dyDescent="0.25">
      <c r="A3488" s="1"/>
    </row>
    <row r="3489" spans="1:1" ht="46.5" customHeight="1" x14ac:dyDescent="0.25">
      <c r="A3489" s="1"/>
    </row>
    <row r="3490" spans="1:1" ht="46.5" customHeight="1" x14ac:dyDescent="0.25">
      <c r="A3490" s="1"/>
    </row>
    <row r="3491" spans="1:1" ht="46.5" customHeight="1" x14ac:dyDescent="0.25">
      <c r="A3491" s="1"/>
    </row>
    <row r="3492" spans="1:1" ht="46.5" customHeight="1" x14ac:dyDescent="0.25">
      <c r="A3492" s="1"/>
    </row>
    <row r="3493" spans="1:1" ht="46.5" customHeight="1" x14ac:dyDescent="0.25">
      <c r="A3493" s="1"/>
    </row>
    <row r="3494" spans="1:1" ht="46.5" customHeight="1" x14ac:dyDescent="0.25">
      <c r="A3494" s="1"/>
    </row>
    <row r="3495" spans="1:1" ht="46.5" customHeight="1" x14ac:dyDescent="0.25">
      <c r="A3495" s="1"/>
    </row>
    <row r="3496" spans="1:1" ht="46.5" customHeight="1" x14ac:dyDescent="0.25">
      <c r="A3496" s="1"/>
    </row>
    <row r="3497" spans="1:1" ht="46.5" customHeight="1" x14ac:dyDescent="0.25">
      <c r="A3497" s="1"/>
    </row>
    <row r="3498" spans="1:1" ht="46.5" customHeight="1" x14ac:dyDescent="0.25">
      <c r="A3498" s="1"/>
    </row>
    <row r="3499" spans="1:1" ht="46.5" customHeight="1" x14ac:dyDescent="0.25">
      <c r="A3499" s="1"/>
    </row>
    <row r="3500" spans="1:1" ht="46.5" customHeight="1" x14ac:dyDescent="0.25">
      <c r="A3500" s="1"/>
    </row>
    <row r="3501" spans="1:1" ht="46.5" customHeight="1" x14ac:dyDescent="0.25">
      <c r="A3501" s="1"/>
    </row>
    <row r="3502" spans="1:1" ht="46.5" customHeight="1" x14ac:dyDescent="0.25">
      <c r="A3502" s="1"/>
    </row>
    <row r="3503" spans="1:1" ht="46.5" customHeight="1" x14ac:dyDescent="0.25">
      <c r="A3503" s="1"/>
    </row>
    <row r="3504" spans="1:1" ht="46.5" customHeight="1" x14ac:dyDescent="0.25">
      <c r="A3504" s="1"/>
    </row>
    <row r="3505" spans="1:1" ht="46.5" customHeight="1" x14ac:dyDescent="0.25">
      <c r="A3505" s="1"/>
    </row>
    <row r="3506" spans="1:1" ht="46.5" customHeight="1" x14ac:dyDescent="0.25">
      <c r="A3506" s="1"/>
    </row>
    <row r="3507" spans="1:1" ht="46.5" customHeight="1" x14ac:dyDescent="0.25">
      <c r="A3507" s="1"/>
    </row>
    <row r="3508" spans="1:1" ht="46.5" customHeight="1" x14ac:dyDescent="0.25">
      <c r="A3508" s="1"/>
    </row>
    <row r="3509" spans="1:1" ht="46.5" customHeight="1" x14ac:dyDescent="0.25">
      <c r="A3509" s="1"/>
    </row>
    <row r="3510" spans="1:1" ht="46.5" customHeight="1" x14ac:dyDescent="0.25">
      <c r="A3510" s="1"/>
    </row>
    <row r="3511" spans="1:1" ht="46.5" customHeight="1" x14ac:dyDescent="0.25">
      <c r="A3511" s="1"/>
    </row>
    <row r="3512" spans="1:1" ht="46.5" customHeight="1" x14ac:dyDescent="0.25">
      <c r="A3512" s="1"/>
    </row>
    <row r="3513" spans="1:1" ht="46.5" customHeight="1" x14ac:dyDescent="0.25">
      <c r="A3513" s="1"/>
    </row>
    <row r="3514" spans="1:1" ht="46.5" customHeight="1" x14ac:dyDescent="0.25">
      <c r="A3514" s="1"/>
    </row>
    <row r="3515" spans="1:1" ht="46.5" customHeight="1" x14ac:dyDescent="0.25">
      <c r="A3515" s="1"/>
    </row>
    <row r="3516" spans="1:1" ht="46.5" customHeight="1" x14ac:dyDescent="0.25">
      <c r="A3516" s="1"/>
    </row>
    <row r="3517" spans="1:1" ht="46.5" customHeight="1" x14ac:dyDescent="0.25">
      <c r="A3517" s="1"/>
    </row>
    <row r="3518" spans="1:1" ht="46.5" customHeight="1" x14ac:dyDescent="0.25">
      <c r="A3518" s="1"/>
    </row>
    <row r="3519" spans="1:1" ht="46.5" customHeight="1" x14ac:dyDescent="0.25">
      <c r="A3519" s="1"/>
    </row>
    <row r="3520" spans="1:1" ht="46.5" customHeight="1" x14ac:dyDescent="0.25">
      <c r="A3520" s="1"/>
    </row>
    <row r="3521" spans="1:1" ht="46.5" customHeight="1" x14ac:dyDescent="0.25">
      <c r="A3521" s="1"/>
    </row>
    <row r="3522" spans="1:1" ht="46.5" customHeight="1" x14ac:dyDescent="0.25">
      <c r="A3522" s="1"/>
    </row>
    <row r="3523" spans="1:1" ht="46.5" customHeight="1" x14ac:dyDescent="0.25">
      <c r="A3523" s="1"/>
    </row>
    <row r="3524" spans="1:1" ht="46.5" customHeight="1" x14ac:dyDescent="0.25">
      <c r="A3524" s="1"/>
    </row>
    <row r="3525" spans="1:1" ht="46.5" customHeight="1" x14ac:dyDescent="0.25">
      <c r="A3525" s="1"/>
    </row>
    <row r="3526" spans="1:1" ht="46.5" customHeight="1" x14ac:dyDescent="0.25">
      <c r="A3526" s="1"/>
    </row>
    <row r="3527" spans="1:1" ht="46.5" customHeight="1" x14ac:dyDescent="0.25">
      <c r="A3527" s="1"/>
    </row>
    <row r="3528" spans="1:1" ht="46.5" customHeight="1" x14ac:dyDescent="0.25">
      <c r="A3528" s="1"/>
    </row>
    <row r="3529" spans="1:1" ht="46.5" customHeight="1" x14ac:dyDescent="0.25">
      <c r="A3529" s="1"/>
    </row>
    <row r="3530" spans="1:1" ht="46.5" customHeight="1" x14ac:dyDescent="0.25">
      <c r="A3530" s="1"/>
    </row>
    <row r="3531" spans="1:1" ht="46.5" customHeight="1" x14ac:dyDescent="0.25">
      <c r="A3531" s="1"/>
    </row>
    <row r="3532" spans="1:1" ht="46.5" customHeight="1" x14ac:dyDescent="0.25">
      <c r="A3532" s="1"/>
    </row>
    <row r="3533" spans="1:1" ht="46.5" customHeight="1" x14ac:dyDescent="0.25">
      <c r="A3533" s="1"/>
    </row>
    <row r="3534" spans="1:1" ht="46.5" customHeight="1" x14ac:dyDescent="0.25">
      <c r="A3534" s="1"/>
    </row>
    <row r="3535" spans="1:1" ht="46.5" customHeight="1" x14ac:dyDescent="0.25">
      <c r="A3535" s="1"/>
    </row>
    <row r="3536" spans="1:1" ht="46.5" customHeight="1" x14ac:dyDescent="0.25">
      <c r="A3536" s="1"/>
    </row>
    <row r="3537" spans="1:1" ht="46.5" customHeight="1" x14ac:dyDescent="0.25">
      <c r="A3537" s="1"/>
    </row>
    <row r="3538" spans="1:1" ht="46.5" customHeight="1" x14ac:dyDescent="0.25">
      <c r="A3538" s="1"/>
    </row>
    <row r="3539" spans="1:1" ht="46.5" customHeight="1" x14ac:dyDescent="0.25">
      <c r="A3539" s="1"/>
    </row>
    <row r="3540" spans="1:1" ht="46.5" customHeight="1" x14ac:dyDescent="0.25">
      <c r="A3540" s="1"/>
    </row>
    <row r="3541" spans="1:1" ht="46.5" customHeight="1" x14ac:dyDescent="0.25">
      <c r="A3541" s="1"/>
    </row>
    <row r="3542" spans="1:1" ht="46.5" customHeight="1" x14ac:dyDescent="0.25">
      <c r="A3542" s="1"/>
    </row>
    <row r="3543" spans="1:1" ht="46.5" customHeight="1" x14ac:dyDescent="0.25">
      <c r="A3543" s="1"/>
    </row>
    <row r="3544" spans="1:1" ht="46.5" customHeight="1" x14ac:dyDescent="0.25">
      <c r="A3544" s="1"/>
    </row>
    <row r="3545" spans="1:1" ht="46.5" customHeight="1" x14ac:dyDescent="0.25">
      <c r="A3545" s="1"/>
    </row>
    <row r="3546" spans="1:1" ht="46.5" customHeight="1" x14ac:dyDescent="0.25">
      <c r="A3546" s="1"/>
    </row>
    <row r="3547" spans="1:1" ht="46.5" customHeight="1" x14ac:dyDescent="0.25">
      <c r="A3547" s="1"/>
    </row>
    <row r="3548" spans="1:1" ht="46.5" customHeight="1" x14ac:dyDescent="0.25">
      <c r="A3548" s="1"/>
    </row>
    <row r="3549" spans="1:1" ht="46.5" customHeight="1" x14ac:dyDescent="0.25">
      <c r="A3549" s="1"/>
    </row>
    <row r="3550" spans="1:1" ht="46.5" customHeight="1" x14ac:dyDescent="0.25">
      <c r="A3550" s="1"/>
    </row>
    <row r="3551" spans="1:1" ht="46.5" customHeight="1" x14ac:dyDescent="0.25">
      <c r="A3551" s="1"/>
    </row>
    <row r="3552" spans="1:1" ht="46.5" customHeight="1" x14ac:dyDescent="0.25">
      <c r="A3552" s="1"/>
    </row>
    <row r="3553" spans="1:1" ht="46.5" customHeight="1" x14ac:dyDescent="0.25">
      <c r="A3553" s="1"/>
    </row>
    <row r="3554" spans="1:1" ht="46.5" customHeight="1" x14ac:dyDescent="0.25">
      <c r="A3554" s="1"/>
    </row>
    <row r="3555" spans="1:1" ht="46.5" customHeight="1" x14ac:dyDescent="0.25">
      <c r="A3555" s="1"/>
    </row>
    <row r="3556" spans="1:1" ht="46.5" customHeight="1" x14ac:dyDescent="0.25">
      <c r="A3556" s="1"/>
    </row>
    <row r="3557" spans="1:1" ht="46.5" customHeight="1" x14ac:dyDescent="0.25">
      <c r="A3557" s="1"/>
    </row>
    <row r="3558" spans="1:1" ht="46.5" customHeight="1" x14ac:dyDescent="0.25">
      <c r="A3558" s="1"/>
    </row>
    <row r="3559" spans="1:1" ht="46.5" customHeight="1" x14ac:dyDescent="0.25">
      <c r="A3559" s="1"/>
    </row>
    <row r="3560" spans="1:1" ht="46.5" customHeight="1" x14ac:dyDescent="0.25">
      <c r="A3560" s="1"/>
    </row>
    <row r="3561" spans="1:1" ht="46.5" customHeight="1" x14ac:dyDescent="0.25">
      <c r="A3561" s="1"/>
    </row>
    <row r="3562" spans="1:1" ht="46.5" customHeight="1" x14ac:dyDescent="0.25">
      <c r="A3562" s="1"/>
    </row>
    <row r="3563" spans="1:1" ht="46.5" customHeight="1" x14ac:dyDescent="0.25">
      <c r="A3563" s="1"/>
    </row>
    <row r="3564" spans="1:1" ht="46.5" customHeight="1" x14ac:dyDescent="0.25">
      <c r="A3564" s="1"/>
    </row>
    <row r="3565" spans="1:1" ht="46.5" customHeight="1" x14ac:dyDescent="0.25">
      <c r="A3565" s="1"/>
    </row>
    <row r="3566" spans="1:1" ht="46.5" customHeight="1" x14ac:dyDescent="0.25">
      <c r="A3566" s="1"/>
    </row>
    <row r="3567" spans="1:1" ht="46.5" customHeight="1" x14ac:dyDescent="0.25">
      <c r="A3567" s="1"/>
    </row>
    <row r="3568" spans="1:1" ht="46.5" customHeight="1" x14ac:dyDescent="0.25">
      <c r="A3568" s="1"/>
    </row>
    <row r="3569" spans="1:1" ht="46.5" customHeight="1" x14ac:dyDescent="0.25">
      <c r="A3569" s="1"/>
    </row>
    <row r="3570" spans="1:1" ht="46.5" customHeight="1" x14ac:dyDescent="0.25">
      <c r="A3570" s="1"/>
    </row>
    <row r="3571" spans="1:1" ht="46.5" customHeight="1" x14ac:dyDescent="0.25">
      <c r="A3571" s="1"/>
    </row>
    <row r="3572" spans="1:1" ht="46.5" customHeight="1" x14ac:dyDescent="0.25">
      <c r="A3572" s="1"/>
    </row>
    <row r="3573" spans="1:1" ht="46.5" customHeight="1" x14ac:dyDescent="0.25">
      <c r="A3573" s="1"/>
    </row>
    <row r="3574" spans="1:1" ht="46.5" customHeight="1" x14ac:dyDescent="0.25">
      <c r="A3574" s="1"/>
    </row>
    <row r="3575" spans="1:1" ht="46.5" customHeight="1" x14ac:dyDescent="0.25">
      <c r="A3575" s="1"/>
    </row>
    <row r="3576" spans="1:1" ht="46.5" customHeight="1" x14ac:dyDescent="0.25">
      <c r="A3576" s="1"/>
    </row>
    <row r="3577" spans="1:1" ht="46.5" customHeight="1" x14ac:dyDescent="0.25">
      <c r="A3577" s="1"/>
    </row>
    <row r="3578" spans="1:1" ht="46.5" customHeight="1" x14ac:dyDescent="0.25">
      <c r="A3578" s="1"/>
    </row>
    <row r="3579" spans="1:1" ht="46.5" customHeight="1" x14ac:dyDescent="0.25">
      <c r="A3579" s="1"/>
    </row>
    <row r="3580" spans="1:1" ht="46.5" customHeight="1" x14ac:dyDescent="0.25">
      <c r="A3580" s="1"/>
    </row>
    <row r="3581" spans="1:1" ht="46.5" customHeight="1" x14ac:dyDescent="0.25">
      <c r="A3581" s="1"/>
    </row>
    <row r="3582" spans="1:1" ht="46.5" customHeight="1" x14ac:dyDescent="0.25">
      <c r="A3582" s="1"/>
    </row>
    <row r="3583" spans="1:1" ht="46.5" customHeight="1" x14ac:dyDescent="0.25">
      <c r="A3583" s="1"/>
    </row>
    <row r="3584" spans="1:1" ht="46.5" customHeight="1" x14ac:dyDescent="0.25">
      <c r="A3584" s="1"/>
    </row>
    <row r="3585" spans="1:1" ht="46.5" customHeight="1" x14ac:dyDescent="0.25">
      <c r="A3585" s="1"/>
    </row>
    <row r="3586" spans="1:1" ht="46.5" customHeight="1" x14ac:dyDescent="0.25">
      <c r="A3586" s="1"/>
    </row>
    <row r="3587" spans="1:1" ht="46.5" customHeight="1" x14ac:dyDescent="0.25">
      <c r="A3587" s="1"/>
    </row>
    <row r="3588" spans="1:1" ht="46.5" customHeight="1" x14ac:dyDescent="0.25">
      <c r="A3588" s="1"/>
    </row>
    <row r="3589" spans="1:1" ht="46.5" customHeight="1" x14ac:dyDescent="0.25">
      <c r="A3589" s="1"/>
    </row>
    <row r="3590" spans="1:1" ht="46.5" customHeight="1" x14ac:dyDescent="0.25">
      <c r="A3590" s="1"/>
    </row>
    <row r="3591" spans="1:1" ht="46.5" customHeight="1" x14ac:dyDescent="0.25">
      <c r="A3591" s="1"/>
    </row>
    <row r="3592" spans="1:1" ht="46.5" customHeight="1" x14ac:dyDescent="0.25">
      <c r="A3592" s="1"/>
    </row>
    <row r="3593" spans="1:1" ht="46.5" customHeight="1" x14ac:dyDescent="0.25">
      <c r="A3593" s="1"/>
    </row>
    <row r="3594" spans="1:1" ht="46.5" customHeight="1" x14ac:dyDescent="0.25">
      <c r="A3594" s="1"/>
    </row>
    <row r="3595" spans="1:1" ht="46.5" customHeight="1" x14ac:dyDescent="0.25">
      <c r="A3595" s="1"/>
    </row>
    <row r="3596" spans="1:1" ht="46.5" customHeight="1" x14ac:dyDescent="0.25">
      <c r="A3596" s="1"/>
    </row>
    <row r="3597" spans="1:1" ht="46.5" customHeight="1" x14ac:dyDescent="0.25">
      <c r="A3597" s="1"/>
    </row>
    <row r="3598" spans="1:1" ht="46.5" customHeight="1" x14ac:dyDescent="0.25">
      <c r="A3598" s="1"/>
    </row>
    <row r="3599" spans="1:1" ht="46.5" customHeight="1" x14ac:dyDescent="0.25">
      <c r="A3599" s="1"/>
    </row>
    <row r="3600" spans="1:1" ht="46.5" customHeight="1" x14ac:dyDescent="0.25">
      <c r="A3600" s="1"/>
    </row>
    <row r="3601" spans="1:1" ht="46.5" customHeight="1" x14ac:dyDescent="0.25">
      <c r="A3601" s="1"/>
    </row>
    <row r="3602" spans="1:1" ht="46.5" customHeight="1" x14ac:dyDescent="0.25">
      <c r="A3602" s="1"/>
    </row>
    <row r="3603" spans="1:1" ht="46.5" customHeight="1" x14ac:dyDescent="0.25">
      <c r="A3603" s="1"/>
    </row>
    <row r="3604" spans="1:1" ht="46.5" customHeight="1" x14ac:dyDescent="0.25">
      <c r="A3604" s="1"/>
    </row>
    <row r="3605" spans="1:1" ht="46.5" customHeight="1" x14ac:dyDescent="0.25">
      <c r="A3605" s="1"/>
    </row>
    <row r="3606" spans="1:1" ht="46.5" customHeight="1" x14ac:dyDescent="0.25">
      <c r="A3606" s="1"/>
    </row>
    <row r="3607" spans="1:1" ht="46.5" customHeight="1" x14ac:dyDescent="0.25">
      <c r="A3607" s="1"/>
    </row>
    <row r="3608" spans="1:1" ht="46.5" customHeight="1" x14ac:dyDescent="0.25">
      <c r="A3608" s="1"/>
    </row>
    <row r="3609" spans="1:1" ht="46.5" customHeight="1" x14ac:dyDescent="0.25">
      <c r="A3609" s="1"/>
    </row>
    <row r="3610" spans="1:1" ht="46.5" customHeight="1" x14ac:dyDescent="0.25">
      <c r="A3610" s="1"/>
    </row>
    <row r="3611" spans="1:1" ht="46.5" customHeight="1" x14ac:dyDescent="0.25">
      <c r="A3611" s="1"/>
    </row>
    <row r="3612" spans="1:1" ht="46.5" customHeight="1" x14ac:dyDescent="0.25">
      <c r="A3612" s="1"/>
    </row>
    <row r="3613" spans="1:1" ht="46.5" customHeight="1" x14ac:dyDescent="0.25">
      <c r="A3613" s="1"/>
    </row>
    <row r="3614" spans="1:1" ht="46.5" customHeight="1" x14ac:dyDescent="0.25">
      <c r="A3614" s="1"/>
    </row>
    <row r="3615" spans="1:1" ht="46.5" customHeight="1" x14ac:dyDescent="0.25">
      <c r="A3615" s="1"/>
    </row>
    <row r="3616" spans="1:1" ht="46.5" customHeight="1" x14ac:dyDescent="0.25">
      <c r="A3616" s="1"/>
    </row>
    <row r="3617" spans="1:1" ht="46.5" customHeight="1" x14ac:dyDescent="0.25">
      <c r="A3617" s="1"/>
    </row>
    <row r="3618" spans="1:1" ht="46.5" customHeight="1" x14ac:dyDescent="0.25">
      <c r="A3618" s="1"/>
    </row>
    <row r="3619" spans="1:1" ht="46.5" customHeight="1" x14ac:dyDescent="0.25">
      <c r="A3619" s="1"/>
    </row>
    <row r="3620" spans="1:1" ht="46.5" customHeight="1" x14ac:dyDescent="0.25">
      <c r="A3620" s="1"/>
    </row>
    <row r="3621" spans="1:1" ht="46.5" customHeight="1" x14ac:dyDescent="0.25">
      <c r="A3621" s="1"/>
    </row>
    <row r="3622" spans="1:1" ht="46.5" customHeight="1" x14ac:dyDescent="0.25">
      <c r="A3622" s="1"/>
    </row>
    <row r="3623" spans="1:1" ht="46.5" customHeight="1" x14ac:dyDescent="0.25">
      <c r="A3623" s="1"/>
    </row>
    <row r="3624" spans="1:1" ht="46.5" customHeight="1" x14ac:dyDescent="0.25">
      <c r="A3624" s="1"/>
    </row>
    <row r="3625" spans="1:1" ht="46.5" customHeight="1" x14ac:dyDescent="0.25">
      <c r="A3625" s="1"/>
    </row>
    <row r="3626" spans="1:1" ht="46.5" customHeight="1" x14ac:dyDescent="0.25">
      <c r="A3626" s="1"/>
    </row>
    <row r="3627" spans="1:1" ht="46.5" customHeight="1" x14ac:dyDescent="0.25">
      <c r="A3627" s="1"/>
    </row>
    <row r="3628" spans="1:1" ht="46.5" customHeight="1" x14ac:dyDescent="0.25">
      <c r="A3628" s="1"/>
    </row>
    <row r="3629" spans="1:1" ht="46.5" customHeight="1" x14ac:dyDescent="0.25">
      <c r="A3629" s="1"/>
    </row>
    <row r="3630" spans="1:1" ht="46.5" customHeight="1" x14ac:dyDescent="0.25">
      <c r="A3630" s="1"/>
    </row>
    <row r="3631" spans="1:1" ht="46.5" customHeight="1" x14ac:dyDescent="0.25">
      <c r="A3631" s="1"/>
    </row>
    <row r="3632" spans="1:1" ht="46.5" customHeight="1" x14ac:dyDescent="0.25">
      <c r="A3632" s="1"/>
    </row>
    <row r="3633" spans="1:1" ht="46.5" customHeight="1" x14ac:dyDescent="0.25">
      <c r="A3633" s="1"/>
    </row>
    <row r="3634" spans="1:1" ht="46.5" customHeight="1" x14ac:dyDescent="0.25">
      <c r="A3634" s="1"/>
    </row>
    <row r="3635" spans="1:1" ht="46.5" customHeight="1" x14ac:dyDescent="0.25">
      <c r="A3635" s="1"/>
    </row>
    <row r="3636" spans="1:1" ht="46.5" customHeight="1" x14ac:dyDescent="0.25">
      <c r="A3636" s="1"/>
    </row>
    <row r="3637" spans="1:1" ht="46.5" customHeight="1" x14ac:dyDescent="0.25">
      <c r="A3637" s="1"/>
    </row>
    <row r="3638" spans="1:1" ht="46.5" customHeight="1" x14ac:dyDescent="0.25">
      <c r="A3638" s="1"/>
    </row>
    <row r="3639" spans="1:1" ht="46.5" customHeight="1" x14ac:dyDescent="0.25">
      <c r="A3639" s="1"/>
    </row>
    <row r="3640" spans="1:1" ht="46.5" customHeight="1" x14ac:dyDescent="0.25">
      <c r="A3640" s="1"/>
    </row>
    <row r="3641" spans="1:1" ht="46.5" customHeight="1" x14ac:dyDescent="0.25">
      <c r="A3641" s="1"/>
    </row>
    <row r="3642" spans="1:1" ht="46.5" customHeight="1" x14ac:dyDescent="0.25">
      <c r="A3642" s="1"/>
    </row>
    <row r="3643" spans="1:1" ht="46.5" customHeight="1" x14ac:dyDescent="0.25">
      <c r="A3643" s="1"/>
    </row>
    <row r="3644" spans="1:1" ht="46.5" customHeight="1" x14ac:dyDescent="0.25">
      <c r="A3644" s="1"/>
    </row>
    <row r="3645" spans="1:1" ht="46.5" customHeight="1" x14ac:dyDescent="0.25">
      <c r="A3645" s="1"/>
    </row>
    <row r="3646" spans="1:1" ht="46.5" customHeight="1" x14ac:dyDescent="0.25">
      <c r="A3646" s="1"/>
    </row>
    <row r="3647" spans="1:1" ht="46.5" customHeight="1" x14ac:dyDescent="0.25">
      <c r="A3647" s="1"/>
    </row>
    <row r="3648" spans="1:1" ht="46.5" customHeight="1" x14ac:dyDescent="0.25">
      <c r="A3648" s="1"/>
    </row>
    <row r="3649" spans="1:1" ht="46.5" customHeight="1" x14ac:dyDescent="0.25">
      <c r="A3649" s="1"/>
    </row>
    <row r="3650" spans="1:1" ht="46.5" customHeight="1" x14ac:dyDescent="0.25">
      <c r="A3650" s="1"/>
    </row>
    <row r="3651" spans="1:1" ht="46.5" customHeight="1" x14ac:dyDescent="0.25">
      <c r="A3651" s="1"/>
    </row>
    <row r="3652" spans="1:1" ht="46.5" customHeight="1" x14ac:dyDescent="0.25">
      <c r="A3652" s="1"/>
    </row>
    <row r="3653" spans="1:1" ht="46.5" customHeight="1" x14ac:dyDescent="0.25">
      <c r="A3653" s="1"/>
    </row>
    <row r="3654" spans="1:1" ht="46.5" customHeight="1" x14ac:dyDescent="0.25">
      <c r="A3654" s="1"/>
    </row>
    <row r="3655" spans="1:1" ht="46.5" customHeight="1" x14ac:dyDescent="0.25">
      <c r="A3655" s="1"/>
    </row>
    <row r="3656" spans="1:1" ht="46.5" customHeight="1" x14ac:dyDescent="0.25">
      <c r="A3656" s="1"/>
    </row>
    <row r="3657" spans="1:1" ht="46.5" customHeight="1" x14ac:dyDescent="0.25">
      <c r="A3657" s="1"/>
    </row>
    <row r="3658" spans="1:1" ht="46.5" customHeight="1" x14ac:dyDescent="0.25">
      <c r="A3658" s="1"/>
    </row>
    <row r="3659" spans="1:1" ht="46.5" customHeight="1" x14ac:dyDescent="0.25">
      <c r="A3659" s="1"/>
    </row>
    <row r="3660" spans="1:1" ht="46.5" customHeight="1" x14ac:dyDescent="0.25">
      <c r="A3660" s="1"/>
    </row>
    <row r="3661" spans="1:1" ht="46.5" customHeight="1" x14ac:dyDescent="0.25">
      <c r="A3661" s="1"/>
    </row>
    <row r="3662" spans="1:1" ht="46.5" customHeight="1" x14ac:dyDescent="0.25">
      <c r="A3662" s="1"/>
    </row>
    <row r="3663" spans="1:1" ht="46.5" customHeight="1" x14ac:dyDescent="0.25">
      <c r="A3663" s="1"/>
    </row>
    <row r="3664" spans="1:1" ht="46.5" customHeight="1" x14ac:dyDescent="0.25">
      <c r="A3664" s="1"/>
    </row>
    <row r="3665" spans="1:1" ht="46.5" customHeight="1" x14ac:dyDescent="0.25">
      <c r="A3665" s="1"/>
    </row>
    <row r="3666" spans="1:1" ht="46.5" customHeight="1" x14ac:dyDescent="0.25">
      <c r="A3666" s="1"/>
    </row>
    <row r="3667" spans="1:1" ht="46.5" customHeight="1" x14ac:dyDescent="0.25">
      <c r="A3667" s="1"/>
    </row>
    <row r="3668" spans="1:1" ht="46.5" customHeight="1" x14ac:dyDescent="0.25">
      <c r="A3668" s="1"/>
    </row>
    <row r="3669" spans="1:1" ht="46.5" customHeight="1" x14ac:dyDescent="0.25">
      <c r="A3669" s="1"/>
    </row>
    <row r="3670" spans="1:1" ht="46.5" customHeight="1" x14ac:dyDescent="0.25">
      <c r="A3670" s="1"/>
    </row>
    <row r="3671" spans="1:1" ht="46.5" customHeight="1" x14ac:dyDescent="0.25">
      <c r="A3671" s="1"/>
    </row>
    <row r="3672" spans="1:1" ht="46.5" customHeight="1" x14ac:dyDescent="0.25">
      <c r="A3672" s="1"/>
    </row>
    <row r="3673" spans="1:1" ht="46.5" customHeight="1" x14ac:dyDescent="0.25">
      <c r="A3673" s="1"/>
    </row>
    <row r="3674" spans="1:1" ht="46.5" customHeight="1" x14ac:dyDescent="0.25">
      <c r="A3674" s="1"/>
    </row>
    <row r="3675" spans="1:1" ht="46.5" customHeight="1" x14ac:dyDescent="0.25">
      <c r="A3675" s="1"/>
    </row>
    <row r="3676" spans="1:1" ht="46.5" customHeight="1" x14ac:dyDescent="0.25">
      <c r="A3676" s="1"/>
    </row>
    <row r="3677" spans="1:1" ht="46.5" customHeight="1" x14ac:dyDescent="0.25">
      <c r="A3677" s="1"/>
    </row>
    <row r="3678" spans="1:1" ht="46.5" customHeight="1" x14ac:dyDescent="0.25">
      <c r="A3678" s="1"/>
    </row>
    <row r="3679" spans="1:1" ht="46.5" customHeight="1" x14ac:dyDescent="0.25">
      <c r="A3679" s="1"/>
    </row>
    <row r="3680" spans="1:1" ht="46.5" customHeight="1" x14ac:dyDescent="0.25">
      <c r="A3680" s="1"/>
    </row>
    <row r="3681" spans="1:1" ht="46.5" customHeight="1" x14ac:dyDescent="0.25">
      <c r="A3681" s="1"/>
    </row>
    <row r="3682" spans="1:1" ht="46.5" customHeight="1" x14ac:dyDescent="0.25">
      <c r="A3682" s="1"/>
    </row>
    <row r="3683" spans="1:1" ht="46.5" customHeight="1" x14ac:dyDescent="0.25">
      <c r="A3683" s="1"/>
    </row>
    <row r="3684" spans="1:1" ht="46.5" customHeight="1" x14ac:dyDescent="0.25">
      <c r="A3684" s="1"/>
    </row>
    <row r="3685" spans="1:1" ht="46.5" customHeight="1" x14ac:dyDescent="0.25">
      <c r="A3685" s="1"/>
    </row>
    <row r="3686" spans="1:1" ht="46.5" customHeight="1" x14ac:dyDescent="0.25">
      <c r="A3686" s="1"/>
    </row>
    <row r="3687" spans="1:1" ht="46.5" customHeight="1" x14ac:dyDescent="0.25">
      <c r="A3687" s="1"/>
    </row>
    <row r="3688" spans="1:1" ht="46.5" customHeight="1" x14ac:dyDescent="0.25">
      <c r="A3688" s="1"/>
    </row>
    <row r="3689" spans="1:1" ht="46.5" customHeight="1" x14ac:dyDescent="0.25">
      <c r="A3689" s="1"/>
    </row>
    <row r="3690" spans="1:1" ht="46.5" customHeight="1" x14ac:dyDescent="0.25">
      <c r="A3690" s="1"/>
    </row>
    <row r="3691" spans="1:1" ht="46.5" customHeight="1" x14ac:dyDescent="0.25">
      <c r="A3691" s="1"/>
    </row>
    <row r="3692" spans="1:1" ht="46.5" customHeight="1" x14ac:dyDescent="0.25">
      <c r="A3692" s="1"/>
    </row>
    <row r="3693" spans="1:1" ht="46.5" customHeight="1" x14ac:dyDescent="0.25">
      <c r="A3693" s="1"/>
    </row>
    <row r="3694" spans="1:1" ht="46.5" customHeight="1" x14ac:dyDescent="0.25">
      <c r="A3694" s="1"/>
    </row>
    <row r="3695" spans="1:1" ht="46.5" customHeight="1" x14ac:dyDescent="0.25">
      <c r="A3695" s="1"/>
    </row>
    <row r="3696" spans="1:1" ht="46.5" customHeight="1" x14ac:dyDescent="0.25">
      <c r="A3696" s="1"/>
    </row>
    <row r="3697" spans="1:1" ht="46.5" customHeight="1" x14ac:dyDescent="0.25">
      <c r="A3697" s="1"/>
    </row>
    <row r="3698" spans="1:1" ht="46.5" customHeight="1" x14ac:dyDescent="0.25">
      <c r="A3698" s="1"/>
    </row>
    <row r="3699" spans="1:1" ht="46.5" customHeight="1" x14ac:dyDescent="0.25">
      <c r="A3699" s="1"/>
    </row>
    <row r="3700" spans="1:1" ht="46.5" customHeight="1" x14ac:dyDescent="0.25">
      <c r="A3700" s="1"/>
    </row>
    <row r="3701" spans="1:1" ht="46.5" customHeight="1" x14ac:dyDescent="0.25">
      <c r="A3701" s="1"/>
    </row>
    <row r="3702" spans="1:1" ht="46.5" customHeight="1" x14ac:dyDescent="0.25">
      <c r="A3702" s="1"/>
    </row>
    <row r="3703" spans="1:1" ht="46.5" customHeight="1" x14ac:dyDescent="0.25">
      <c r="A3703" s="1"/>
    </row>
    <row r="3704" spans="1:1" ht="46.5" customHeight="1" x14ac:dyDescent="0.25">
      <c r="A3704" s="1"/>
    </row>
    <row r="3705" spans="1:1" ht="46.5" customHeight="1" x14ac:dyDescent="0.25">
      <c r="A3705" s="1"/>
    </row>
    <row r="3706" spans="1:1" ht="46.5" customHeight="1" x14ac:dyDescent="0.25">
      <c r="A3706" s="1"/>
    </row>
    <row r="3707" spans="1:1" ht="46.5" customHeight="1" x14ac:dyDescent="0.25">
      <c r="A3707" s="1"/>
    </row>
    <row r="3708" spans="1:1" ht="46.5" customHeight="1" x14ac:dyDescent="0.25">
      <c r="A3708" s="1"/>
    </row>
    <row r="3709" spans="1:1" ht="46.5" customHeight="1" x14ac:dyDescent="0.25">
      <c r="A3709" s="1"/>
    </row>
    <row r="3710" spans="1:1" ht="46.5" customHeight="1" x14ac:dyDescent="0.25">
      <c r="A3710" s="1"/>
    </row>
    <row r="3711" spans="1:1" ht="46.5" customHeight="1" x14ac:dyDescent="0.25">
      <c r="A3711" s="1"/>
    </row>
    <row r="3712" spans="1:1" ht="46.5" customHeight="1" x14ac:dyDescent="0.25">
      <c r="A3712" s="1"/>
    </row>
    <row r="3713" spans="1:1" ht="46.5" customHeight="1" x14ac:dyDescent="0.25">
      <c r="A3713" s="1"/>
    </row>
    <row r="3714" spans="1:1" ht="46.5" customHeight="1" x14ac:dyDescent="0.25">
      <c r="A3714" s="1"/>
    </row>
    <row r="3715" spans="1:1" ht="46.5" customHeight="1" x14ac:dyDescent="0.25">
      <c r="A3715" s="1"/>
    </row>
    <row r="3716" spans="1:1" ht="46.5" customHeight="1" x14ac:dyDescent="0.25">
      <c r="A3716" s="1"/>
    </row>
    <row r="3717" spans="1:1" ht="46.5" customHeight="1" x14ac:dyDescent="0.25">
      <c r="A3717" s="1"/>
    </row>
    <row r="3718" spans="1:1" ht="46.5" customHeight="1" x14ac:dyDescent="0.25">
      <c r="A3718" s="1"/>
    </row>
    <row r="3719" spans="1:1" ht="46.5" customHeight="1" x14ac:dyDescent="0.25">
      <c r="A3719" s="1"/>
    </row>
    <row r="3720" spans="1:1" ht="46.5" customHeight="1" x14ac:dyDescent="0.25">
      <c r="A3720" s="1"/>
    </row>
    <row r="3721" spans="1:1" ht="46.5" customHeight="1" x14ac:dyDescent="0.25">
      <c r="A3721" s="1"/>
    </row>
    <row r="3722" spans="1:1" ht="46.5" customHeight="1" x14ac:dyDescent="0.25">
      <c r="A3722" s="1"/>
    </row>
    <row r="3723" spans="1:1" ht="46.5" customHeight="1" x14ac:dyDescent="0.25">
      <c r="A3723" s="1"/>
    </row>
    <row r="3724" spans="1:1" ht="46.5" customHeight="1" x14ac:dyDescent="0.25">
      <c r="A3724" s="1"/>
    </row>
    <row r="3725" spans="1:1" ht="46.5" customHeight="1" x14ac:dyDescent="0.25">
      <c r="A3725" s="1"/>
    </row>
    <row r="3726" spans="1:1" ht="46.5" customHeight="1" x14ac:dyDescent="0.25">
      <c r="A3726" s="1"/>
    </row>
    <row r="3727" spans="1:1" ht="46.5" customHeight="1" x14ac:dyDescent="0.25">
      <c r="A3727" s="1"/>
    </row>
    <row r="3728" spans="1:1" ht="46.5" customHeight="1" x14ac:dyDescent="0.25">
      <c r="A3728" s="1"/>
    </row>
    <row r="3729" spans="1:1" ht="46.5" customHeight="1" x14ac:dyDescent="0.25">
      <c r="A3729" s="1"/>
    </row>
    <row r="3730" spans="1:1" ht="46.5" customHeight="1" x14ac:dyDescent="0.25">
      <c r="A3730" s="1"/>
    </row>
    <row r="3731" spans="1:1" ht="46.5" customHeight="1" x14ac:dyDescent="0.25">
      <c r="A3731" s="1"/>
    </row>
    <row r="3732" spans="1:1" ht="46.5" customHeight="1" x14ac:dyDescent="0.25">
      <c r="A3732" s="1"/>
    </row>
    <row r="3733" spans="1:1" ht="46.5" customHeight="1" x14ac:dyDescent="0.25">
      <c r="A3733" s="1"/>
    </row>
    <row r="3734" spans="1:1" ht="46.5" customHeight="1" x14ac:dyDescent="0.25">
      <c r="A3734" s="1"/>
    </row>
    <row r="3735" spans="1:1" ht="46.5" customHeight="1" x14ac:dyDescent="0.25">
      <c r="A3735" s="1"/>
    </row>
    <row r="3736" spans="1:1" ht="46.5" customHeight="1" x14ac:dyDescent="0.25">
      <c r="A3736" s="1"/>
    </row>
    <row r="3737" spans="1:1" ht="46.5" customHeight="1" x14ac:dyDescent="0.25">
      <c r="A3737" s="1"/>
    </row>
    <row r="3738" spans="1:1" ht="46.5" customHeight="1" x14ac:dyDescent="0.25">
      <c r="A3738" s="1"/>
    </row>
    <row r="3739" spans="1:1" ht="46.5" customHeight="1" x14ac:dyDescent="0.25">
      <c r="A3739" s="1"/>
    </row>
    <row r="3740" spans="1:1" ht="46.5" customHeight="1" x14ac:dyDescent="0.25">
      <c r="A3740" s="1"/>
    </row>
    <row r="3741" spans="1:1" ht="46.5" customHeight="1" x14ac:dyDescent="0.25">
      <c r="A3741" s="1"/>
    </row>
    <row r="3742" spans="1:1" ht="46.5" customHeight="1" x14ac:dyDescent="0.25">
      <c r="A3742" s="1"/>
    </row>
    <row r="3743" spans="1:1" ht="46.5" customHeight="1" x14ac:dyDescent="0.25">
      <c r="A3743" s="1"/>
    </row>
    <row r="3744" spans="1:1" ht="46.5" customHeight="1" x14ac:dyDescent="0.25">
      <c r="A3744" s="1"/>
    </row>
    <row r="3745" spans="1:1" ht="46.5" customHeight="1" x14ac:dyDescent="0.25">
      <c r="A3745" s="1"/>
    </row>
    <row r="3746" spans="1:1" ht="46.5" customHeight="1" x14ac:dyDescent="0.25">
      <c r="A3746" s="1"/>
    </row>
    <row r="3747" spans="1:1" ht="46.5" customHeight="1" x14ac:dyDescent="0.25">
      <c r="A3747" s="1"/>
    </row>
    <row r="3748" spans="1:1" ht="46.5" customHeight="1" x14ac:dyDescent="0.25">
      <c r="A3748" s="1"/>
    </row>
    <row r="3749" spans="1:1" ht="46.5" customHeight="1" x14ac:dyDescent="0.25">
      <c r="A3749" s="1"/>
    </row>
    <row r="3750" spans="1:1" ht="46.5" customHeight="1" x14ac:dyDescent="0.25">
      <c r="A3750" s="1"/>
    </row>
    <row r="3751" spans="1:1" ht="46.5" customHeight="1" x14ac:dyDescent="0.25">
      <c r="A3751" s="1"/>
    </row>
    <row r="3752" spans="1:1" ht="46.5" customHeight="1" x14ac:dyDescent="0.25">
      <c r="A3752" s="1"/>
    </row>
    <row r="3753" spans="1:1" ht="46.5" customHeight="1" x14ac:dyDescent="0.25">
      <c r="A3753" s="1"/>
    </row>
    <row r="3754" spans="1:1" ht="46.5" customHeight="1" x14ac:dyDescent="0.25">
      <c r="A3754" s="1"/>
    </row>
    <row r="3755" spans="1:1" ht="46.5" customHeight="1" x14ac:dyDescent="0.25">
      <c r="A3755" s="1"/>
    </row>
    <row r="3756" spans="1:1" ht="46.5" customHeight="1" x14ac:dyDescent="0.25">
      <c r="A3756" s="1"/>
    </row>
    <row r="3757" spans="1:1" ht="46.5" customHeight="1" x14ac:dyDescent="0.25">
      <c r="A3757" s="1"/>
    </row>
    <row r="3758" spans="1:1" ht="46.5" customHeight="1" x14ac:dyDescent="0.25">
      <c r="A3758" s="1"/>
    </row>
    <row r="3759" spans="1:1" ht="46.5" customHeight="1" x14ac:dyDescent="0.25">
      <c r="A3759" s="1"/>
    </row>
    <row r="3760" spans="1:1" ht="46.5" customHeight="1" x14ac:dyDescent="0.25">
      <c r="A3760" s="1"/>
    </row>
    <row r="3761" spans="1:1" ht="46.5" customHeight="1" x14ac:dyDescent="0.25">
      <c r="A3761" s="1"/>
    </row>
    <row r="3762" spans="1:1" ht="46.5" customHeight="1" x14ac:dyDescent="0.25">
      <c r="A3762" s="1"/>
    </row>
    <row r="3763" spans="1:1" ht="46.5" customHeight="1" x14ac:dyDescent="0.25">
      <c r="A3763" s="1"/>
    </row>
    <row r="3764" spans="1:1" ht="46.5" customHeight="1" x14ac:dyDescent="0.25">
      <c r="A3764" s="1"/>
    </row>
    <row r="3765" spans="1:1" ht="46.5" customHeight="1" x14ac:dyDescent="0.25">
      <c r="A3765" s="1"/>
    </row>
    <row r="3766" spans="1:1" ht="46.5" customHeight="1" x14ac:dyDescent="0.25">
      <c r="A3766" s="1"/>
    </row>
    <row r="3767" spans="1:1" ht="46.5" customHeight="1" x14ac:dyDescent="0.25">
      <c r="A3767" s="1"/>
    </row>
    <row r="3768" spans="1:1" ht="46.5" customHeight="1" x14ac:dyDescent="0.25">
      <c r="A3768" s="1"/>
    </row>
    <row r="3769" spans="1:1" ht="46.5" customHeight="1" x14ac:dyDescent="0.25">
      <c r="A3769" s="1"/>
    </row>
    <row r="3770" spans="1:1" ht="46.5" customHeight="1" x14ac:dyDescent="0.25">
      <c r="A3770" s="1"/>
    </row>
    <row r="3771" spans="1:1" ht="46.5" customHeight="1" x14ac:dyDescent="0.25">
      <c r="A3771" s="1"/>
    </row>
    <row r="3772" spans="1:1" ht="46.5" customHeight="1" x14ac:dyDescent="0.25">
      <c r="A3772" s="1"/>
    </row>
    <row r="3773" spans="1:1" ht="46.5" customHeight="1" x14ac:dyDescent="0.25">
      <c r="A3773" s="1"/>
    </row>
    <row r="3774" spans="1:1" ht="46.5" customHeight="1" x14ac:dyDescent="0.25">
      <c r="A3774" s="1"/>
    </row>
    <row r="3775" spans="1:1" ht="46.5" customHeight="1" x14ac:dyDescent="0.25">
      <c r="A3775" s="1"/>
    </row>
    <row r="3776" spans="1:1" ht="46.5" customHeight="1" x14ac:dyDescent="0.25">
      <c r="A3776" s="1"/>
    </row>
    <row r="3777" spans="1:1" ht="46.5" customHeight="1" x14ac:dyDescent="0.25">
      <c r="A3777" s="1"/>
    </row>
    <row r="3778" spans="1:1" ht="46.5" customHeight="1" x14ac:dyDescent="0.25">
      <c r="A3778" s="1"/>
    </row>
    <row r="3779" spans="1:1" ht="46.5" customHeight="1" x14ac:dyDescent="0.25">
      <c r="A3779" s="1"/>
    </row>
    <row r="3780" spans="1:1" ht="46.5" customHeight="1" x14ac:dyDescent="0.25">
      <c r="A3780" s="1"/>
    </row>
    <row r="3781" spans="1:1" ht="46.5" customHeight="1" x14ac:dyDescent="0.25">
      <c r="A3781" s="1"/>
    </row>
    <row r="3782" spans="1:1" ht="46.5" customHeight="1" x14ac:dyDescent="0.25">
      <c r="A3782" s="1"/>
    </row>
    <row r="3783" spans="1:1" ht="46.5" customHeight="1" x14ac:dyDescent="0.25">
      <c r="A3783" s="1"/>
    </row>
    <row r="3784" spans="1:1" ht="46.5" customHeight="1" x14ac:dyDescent="0.25">
      <c r="A3784" s="1"/>
    </row>
    <row r="3785" spans="1:1" ht="46.5" customHeight="1" x14ac:dyDescent="0.25">
      <c r="A3785" s="1"/>
    </row>
    <row r="3786" spans="1:1" ht="46.5" customHeight="1" x14ac:dyDescent="0.25">
      <c r="A3786" s="1"/>
    </row>
    <row r="3787" spans="1:1" ht="46.5" customHeight="1" x14ac:dyDescent="0.25">
      <c r="A3787" s="1"/>
    </row>
    <row r="3788" spans="1:1" ht="46.5" customHeight="1" x14ac:dyDescent="0.25">
      <c r="A3788" s="1"/>
    </row>
    <row r="3789" spans="1:1" ht="46.5" customHeight="1" x14ac:dyDescent="0.25">
      <c r="A3789" s="1"/>
    </row>
    <row r="3790" spans="1:1" ht="46.5" customHeight="1" x14ac:dyDescent="0.25">
      <c r="A3790" s="1"/>
    </row>
    <row r="3791" spans="1:1" ht="46.5" customHeight="1" x14ac:dyDescent="0.25">
      <c r="A3791" s="1"/>
    </row>
    <row r="3792" spans="1:1" ht="46.5" customHeight="1" x14ac:dyDescent="0.25">
      <c r="A3792" s="1"/>
    </row>
    <row r="3793" spans="1:1" ht="46.5" customHeight="1" x14ac:dyDescent="0.25">
      <c r="A3793" s="1"/>
    </row>
    <row r="3794" spans="1:1" ht="46.5" customHeight="1" x14ac:dyDescent="0.25">
      <c r="A3794" s="1"/>
    </row>
    <row r="3795" spans="1:1" ht="46.5" customHeight="1" x14ac:dyDescent="0.25">
      <c r="A3795" s="1"/>
    </row>
    <row r="3796" spans="1:1" ht="46.5" customHeight="1" x14ac:dyDescent="0.25">
      <c r="A3796" s="1"/>
    </row>
    <row r="3797" spans="1:1" ht="46.5" customHeight="1" x14ac:dyDescent="0.25">
      <c r="A3797" s="1"/>
    </row>
    <row r="3798" spans="1:1" ht="46.5" customHeight="1" x14ac:dyDescent="0.25">
      <c r="A3798" s="1"/>
    </row>
    <row r="3799" spans="1:1" ht="46.5" customHeight="1" x14ac:dyDescent="0.25">
      <c r="A3799" s="1"/>
    </row>
    <row r="3800" spans="1:1" ht="46.5" customHeight="1" x14ac:dyDescent="0.25">
      <c r="A3800" s="1"/>
    </row>
    <row r="3801" spans="1:1" ht="46.5" customHeight="1" x14ac:dyDescent="0.25">
      <c r="A3801" s="1"/>
    </row>
    <row r="3802" spans="1:1" ht="46.5" customHeight="1" x14ac:dyDescent="0.25">
      <c r="A3802" s="1"/>
    </row>
    <row r="3803" spans="1:1" ht="46.5" customHeight="1" x14ac:dyDescent="0.25">
      <c r="A3803" s="1"/>
    </row>
    <row r="3804" spans="1:1" ht="46.5" customHeight="1" x14ac:dyDescent="0.25">
      <c r="A3804" s="1"/>
    </row>
    <row r="3805" spans="1:1" ht="46.5" customHeight="1" x14ac:dyDescent="0.25">
      <c r="A3805" s="1"/>
    </row>
    <row r="3806" spans="1:1" ht="46.5" customHeight="1" x14ac:dyDescent="0.25">
      <c r="A3806" s="1"/>
    </row>
    <row r="3807" spans="1:1" ht="46.5" customHeight="1" x14ac:dyDescent="0.25">
      <c r="A3807" s="1"/>
    </row>
    <row r="3808" spans="1:1" ht="46.5" customHeight="1" x14ac:dyDescent="0.25">
      <c r="A3808" s="1"/>
    </row>
    <row r="3809" spans="1:1" ht="46.5" customHeight="1" x14ac:dyDescent="0.25">
      <c r="A3809" s="1"/>
    </row>
    <row r="3810" spans="1:1" ht="46.5" customHeight="1" x14ac:dyDescent="0.25">
      <c r="A3810" s="1"/>
    </row>
    <row r="3811" spans="1:1" ht="46.5" customHeight="1" x14ac:dyDescent="0.25">
      <c r="A3811" s="1"/>
    </row>
    <row r="3812" spans="1:1" ht="46.5" customHeight="1" x14ac:dyDescent="0.25">
      <c r="A3812" s="1"/>
    </row>
    <row r="3813" spans="1:1" ht="46.5" customHeight="1" x14ac:dyDescent="0.25">
      <c r="A3813" s="1"/>
    </row>
    <row r="3814" spans="1:1" ht="46.5" customHeight="1" x14ac:dyDescent="0.25">
      <c r="A3814" s="1"/>
    </row>
    <row r="3815" spans="1:1" ht="46.5" customHeight="1" x14ac:dyDescent="0.25">
      <c r="A3815" s="1"/>
    </row>
    <row r="3816" spans="1:1" ht="46.5" customHeight="1" x14ac:dyDescent="0.25">
      <c r="A3816" s="1"/>
    </row>
    <row r="3817" spans="1:1" ht="46.5" customHeight="1" x14ac:dyDescent="0.25">
      <c r="A3817" s="1"/>
    </row>
    <row r="3818" spans="1:1" ht="46.5" customHeight="1" x14ac:dyDescent="0.25">
      <c r="A3818" s="1"/>
    </row>
    <row r="3819" spans="1:1" ht="46.5" customHeight="1" x14ac:dyDescent="0.25">
      <c r="A3819" s="1"/>
    </row>
    <row r="3820" spans="1:1" ht="46.5" customHeight="1" x14ac:dyDescent="0.25">
      <c r="A3820" s="1"/>
    </row>
    <row r="3821" spans="1:1" ht="46.5" customHeight="1" x14ac:dyDescent="0.25">
      <c r="A3821" s="1"/>
    </row>
    <row r="3822" spans="1:1" ht="46.5" customHeight="1" x14ac:dyDescent="0.25">
      <c r="A3822" s="1"/>
    </row>
    <row r="3823" spans="1:1" ht="46.5" customHeight="1" x14ac:dyDescent="0.25">
      <c r="A3823" s="1"/>
    </row>
    <row r="3824" spans="1:1" ht="46.5" customHeight="1" x14ac:dyDescent="0.25">
      <c r="A3824" s="1"/>
    </row>
    <row r="3825" spans="1:1" ht="46.5" customHeight="1" x14ac:dyDescent="0.25">
      <c r="A3825" s="1"/>
    </row>
    <row r="3826" spans="1:1" ht="46.5" customHeight="1" x14ac:dyDescent="0.25">
      <c r="A3826" s="1"/>
    </row>
    <row r="3827" spans="1:1" ht="46.5" customHeight="1" x14ac:dyDescent="0.25">
      <c r="A3827" s="1"/>
    </row>
    <row r="3828" spans="1:1" ht="46.5" customHeight="1" x14ac:dyDescent="0.25">
      <c r="A3828" s="1"/>
    </row>
    <row r="3829" spans="1:1" ht="46.5" customHeight="1" x14ac:dyDescent="0.25">
      <c r="A3829" s="1"/>
    </row>
    <row r="3830" spans="1:1" ht="46.5" customHeight="1" x14ac:dyDescent="0.25">
      <c r="A3830" s="1"/>
    </row>
    <row r="3831" spans="1:1" ht="46.5" customHeight="1" x14ac:dyDescent="0.25">
      <c r="A3831" s="1"/>
    </row>
    <row r="3832" spans="1:1" ht="46.5" customHeight="1" x14ac:dyDescent="0.25">
      <c r="A3832" s="1"/>
    </row>
    <row r="3833" spans="1:1" ht="46.5" customHeight="1" x14ac:dyDescent="0.25">
      <c r="A3833" s="1"/>
    </row>
    <row r="3834" spans="1:1" ht="46.5" customHeight="1" x14ac:dyDescent="0.25">
      <c r="A3834" s="1"/>
    </row>
    <row r="3835" spans="1:1" ht="46.5" customHeight="1" x14ac:dyDescent="0.25">
      <c r="A3835" s="1"/>
    </row>
    <row r="3836" spans="1:1" ht="46.5" customHeight="1" x14ac:dyDescent="0.25">
      <c r="A3836" s="1"/>
    </row>
    <row r="3837" spans="1:1" ht="46.5" customHeight="1" x14ac:dyDescent="0.25">
      <c r="A3837" s="1"/>
    </row>
    <row r="3838" spans="1:1" ht="46.5" customHeight="1" x14ac:dyDescent="0.25">
      <c r="A3838" s="1"/>
    </row>
    <row r="3839" spans="1:1" ht="46.5" customHeight="1" x14ac:dyDescent="0.25">
      <c r="A3839" s="1"/>
    </row>
    <row r="3840" spans="1:1" ht="46.5" customHeight="1" x14ac:dyDescent="0.25">
      <c r="A3840" s="1"/>
    </row>
    <row r="3841" spans="1:1" ht="46.5" customHeight="1" x14ac:dyDescent="0.25">
      <c r="A3841" s="1"/>
    </row>
    <row r="3842" spans="1:1" ht="46.5" customHeight="1" x14ac:dyDescent="0.25">
      <c r="A3842" s="1"/>
    </row>
    <row r="3843" spans="1:1" ht="46.5" customHeight="1" x14ac:dyDescent="0.25">
      <c r="A3843" s="1"/>
    </row>
    <row r="3844" spans="1:1" ht="46.5" customHeight="1" x14ac:dyDescent="0.25">
      <c r="A3844" s="1"/>
    </row>
    <row r="3845" spans="1:1" ht="46.5" customHeight="1" x14ac:dyDescent="0.25">
      <c r="A3845" s="1"/>
    </row>
    <row r="3846" spans="1:1" ht="46.5" customHeight="1" x14ac:dyDescent="0.25">
      <c r="A3846" s="1"/>
    </row>
    <row r="3847" spans="1:1" ht="46.5" customHeight="1" x14ac:dyDescent="0.25">
      <c r="A3847" s="1"/>
    </row>
    <row r="3848" spans="1:1" ht="46.5" customHeight="1" x14ac:dyDescent="0.25">
      <c r="A3848" s="1"/>
    </row>
    <row r="3849" spans="1:1" ht="46.5" customHeight="1" x14ac:dyDescent="0.25">
      <c r="A3849" s="1"/>
    </row>
    <row r="3850" spans="1:1" ht="46.5" customHeight="1" x14ac:dyDescent="0.25">
      <c r="A3850" s="1"/>
    </row>
    <row r="3851" spans="1:1" ht="46.5" customHeight="1" x14ac:dyDescent="0.25">
      <c r="A3851" s="1"/>
    </row>
    <row r="3852" spans="1:1" ht="46.5" customHeight="1" x14ac:dyDescent="0.25">
      <c r="A3852" s="1"/>
    </row>
    <row r="3853" spans="1:1" ht="46.5" customHeight="1" x14ac:dyDescent="0.25">
      <c r="A3853" s="1"/>
    </row>
    <row r="3854" spans="1:1" ht="46.5" customHeight="1" x14ac:dyDescent="0.25">
      <c r="A3854" s="1"/>
    </row>
    <row r="3855" spans="1:1" ht="46.5" customHeight="1" x14ac:dyDescent="0.25">
      <c r="A3855" s="1"/>
    </row>
    <row r="3856" spans="1:1" ht="46.5" customHeight="1" x14ac:dyDescent="0.25">
      <c r="A3856" s="1"/>
    </row>
    <row r="3857" spans="1:1" ht="46.5" customHeight="1" x14ac:dyDescent="0.25">
      <c r="A3857" s="1"/>
    </row>
    <row r="3858" spans="1:1" ht="46.5" customHeight="1" x14ac:dyDescent="0.25">
      <c r="A3858" s="1"/>
    </row>
    <row r="3859" spans="1:1" ht="46.5" customHeight="1" x14ac:dyDescent="0.25">
      <c r="A3859" s="1"/>
    </row>
    <row r="3860" spans="1:1" ht="46.5" customHeight="1" x14ac:dyDescent="0.25">
      <c r="A3860" s="1"/>
    </row>
    <row r="3861" spans="1:1" ht="46.5" customHeight="1" x14ac:dyDescent="0.25">
      <c r="A3861" s="1"/>
    </row>
    <row r="3862" spans="1:1" ht="46.5" customHeight="1" x14ac:dyDescent="0.25">
      <c r="A3862" s="1"/>
    </row>
    <row r="3863" spans="1:1" ht="46.5" customHeight="1" x14ac:dyDescent="0.25">
      <c r="A3863" s="1"/>
    </row>
    <row r="3864" spans="1:1" ht="46.5" customHeight="1" x14ac:dyDescent="0.25">
      <c r="A3864" s="1"/>
    </row>
    <row r="3865" spans="1:1" ht="46.5" customHeight="1" x14ac:dyDescent="0.25">
      <c r="A3865" s="1"/>
    </row>
    <row r="3866" spans="1:1" ht="46.5" customHeight="1" x14ac:dyDescent="0.25">
      <c r="A3866" s="1"/>
    </row>
    <row r="3867" spans="1:1" ht="46.5" customHeight="1" x14ac:dyDescent="0.25">
      <c r="A3867" s="1"/>
    </row>
    <row r="3868" spans="1:1" ht="46.5" customHeight="1" x14ac:dyDescent="0.25">
      <c r="A3868" s="1"/>
    </row>
    <row r="3869" spans="1:1" ht="46.5" customHeight="1" x14ac:dyDescent="0.25">
      <c r="A3869" s="1"/>
    </row>
    <row r="3870" spans="1:1" ht="46.5" customHeight="1" x14ac:dyDescent="0.25">
      <c r="A3870" s="1"/>
    </row>
    <row r="3871" spans="1:1" ht="46.5" customHeight="1" x14ac:dyDescent="0.25">
      <c r="A3871" s="1"/>
    </row>
    <row r="3872" spans="1:1" ht="46.5" customHeight="1" x14ac:dyDescent="0.25">
      <c r="A3872" s="1"/>
    </row>
    <row r="3873" spans="1:1" ht="46.5" customHeight="1" x14ac:dyDescent="0.25">
      <c r="A3873" s="1"/>
    </row>
    <row r="3874" spans="1:1" ht="46.5" customHeight="1" x14ac:dyDescent="0.25">
      <c r="A3874" s="1"/>
    </row>
    <row r="3875" spans="1:1" ht="46.5" customHeight="1" x14ac:dyDescent="0.25">
      <c r="A3875" s="1"/>
    </row>
    <row r="3876" spans="1:1" ht="46.5" customHeight="1" x14ac:dyDescent="0.25">
      <c r="A3876" s="1"/>
    </row>
    <row r="3877" spans="1:1" ht="46.5" customHeight="1" x14ac:dyDescent="0.25">
      <c r="A3877" s="1"/>
    </row>
    <row r="3878" spans="1:1" ht="46.5" customHeight="1" x14ac:dyDescent="0.25">
      <c r="A3878" s="1"/>
    </row>
    <row r="3879" spans="1:1" ht="46.5" customHeight="1" x14ac:dyDescent="0.25">
      <c r="A3879" s="1"/>
    </row>
    <row r="3880" spans="1:1" ht="46.5" customHeight="1" x14ac:dyDescent="0.25">
      <c r="A3880" s="1"/>
    </row>
    <row r="3881" spans="1:1" ht="46.5" customHeight="1" x14ac:dyDescent="0.25">
      <c r="A3881" s="1"/>
    </row>
    <row r="3882" spans="1:1" ht="46.5" customHeight="1" x14ac:dyDescent="0.25">
      <c r="A3882" s="1"/>
    </row>
    <row r="3883" spans="1:1" ht="46.5" customHeight="1" x14ac:dyDescent="0.25">
      <c r="A3883" s="1"/>
    </row>
    <row r="3884" spans="1:1" ht="46.5" customHeight="1" x14ac:dyDescent="0.25">
      <c r="A3884" s="1"/>
    </row>
    <row r="3885" spans="1:1" ht="46.5" customHeight="1" x14ac:dyDescent="0.25">
      <c r="A3885" s="1"/>
    </row>
    <row r="3886" spans="1:1" ht="46.5" customHeight="1" x14ac:dyDescent="0.25">
      <c r="A3886" s="1"/>
    </row>
    <row r="3887" spans="1:1" ht="46.5" customHeight="1" x14ac:dyDescent="0.25">
      <c r="A3887" s="1"/>
    </row>
    <row r="3888" spans="1:1" ht="46.5" customHeight="1" x14ac:dyDescent="0.25">
      <c r="A3888" s="1"/>
    </row>
    <row r="3889" spans="1:1" ht="46.5" customHeight="1" x14ac:dyDescent="0.25">
      <c r="A3889" s="1"/>
    </row>
    <row r="3890" spans="1:1" ht="46.5" customHeight="1" x14ac:dyDescent="0.25">
      <c r="A3890" s="1"/>
    </row>
    <row r="3891" spans="1:1" ht="46.5" customHeight="1" x14ac:dyDescent="0.25">
      <c r="A3891" s="1"/>
    </row>
    <row r="3892" spans="1:1" ht="46.5" customHeight="1" x14ac:dyDescent="0.25">
      <c r="A3892" s="1"/>
    </row>
    <row r="3893" spans="1:1" ht="46.5" customHeight="1" x14ac:dyDescent="0.25">
      <c r="A3893" s="1"/>
    </row>
    <row r="3894" spans="1:1" ht="46.5" customHeight="1" x14ac:dyDescent="0.25">
      <c r="A3894" s="1"/>
    </row>
    <row r="3895" spans="1:1" ht="46.5" customHeight="1" x14ac:dyDescent="0.25">
      <c r="A3895" s="1"/>
    </row>
    <row r="3896" spans="1:1" ht="46.5" customHeight="1" x14ac:dyDescent="0.25">
      <c r="A3896" s="1"/>
    </row>
    <row r="3897" spans="1:1" ht="46.5" customHeight="1" x14ac:dyDescent="0.25">
      <c r="A3897" s="1"/>
    </row>
    <row r="3898" spans="1:1" ht="46.5" customHeight="1" x14ac:dyDescent="0.25">
      <c r="A3898" s="1"/>
    </row>
    <row r="3899" spans="1:1" ht="46.5" customHeight="1" x14ac:dyDescent="0.25">
      <c r="A3899" s="1"/>
    </row>
    <row r="3900" spans="1:1" ht="46.5" customHeight="1" x14ac:dyDescent="0.25">
      <c r="A3900" s="1"/>
    </row>
    <row r="3901" spans="1:1" ht="46.5" customHeight="1" x14ac:dyDescent="0.25">
      <c r="A3901" s="1"/>
    </row>
    <row r="3902" spans="1:1" ht="46.5" customHeight="1" x14ac:dyDescent="0.25">
      <c r="A3902" s="1"/>
    </row>
    <row r="3903" spans="1:1" ht="46.5" customHeight="1" x14ac:dyDescent="0.25">
      <c r="A3903" s="1"/>
    </row>
    <row r="3904" spans="1:1" ht="46.5" customHeight="1" x14ac:dyDescent="0.25">
      <c r="A3904" s="1"/>
    </row>
    <row r="3905" spans="1:1" ht="46.5" customHeight="1" x14ac:dyDescent="0.25">
      <c r="A3905" s="1"/>
    </row>
    <row r="3906" spans="1:1" ht="46.5" customHeight="1" x14ac:dyDescent="0.25">
      <c r="A3906" s="1"/>
    </row>
    <row r="3907" spans="1:1" ht="46.5" customHeight="1" x14ac:dyDescent="0.25">
      <c r="A3907" s="1"/>
    </row>
    <row r="3908" spans="1:1" ht="46.5" customHeight="1" x14ac:dyDescent="0.25">
      <c r="A3908" s="1"/>
    </row>
    <row r="3909" spans="1:1" ht="46.5" customHeight="1" x14ac:dyDescent="0.25">
      <c r="A3909" s="1"/>
    </row>
    <row r="3910" spans="1:1" ht="46.5" customHeight="1" x14ac:dyDescent="0.25">
      <c r="A3910" s="1"/>
    </row>
    <row r="3911" spans="1:1" ht="46.5" customHeight="1" x14ac:dyDescent="0.25">
      <c r="A3911" s="1"/>
    </row>
    <row r="3912" spans="1:1" ht="46.5" customHeight="1" x14ac:dyDescent="0.25">
      <c r="A3912" s="1"/>
    </row>
    <row r="3913" spans="1:1" ht="46.5" customHeight="1" x14ac:dyDescent="0.25">
      <c r="A3913" s="1"/>
    </row>
    <row r="3914" spans="1:1" ht="46.5" customHeight="1" x14ac:dyDescent="0.25">
      <c r="A3914" s="1"/>
    </row>
    <row r="3915" spans="1:1" ht="46.5" customHeight="1" x14ac:dyDescent="0.25">
      <c r="A3915" s="1"/>
    </row>
    <row r="3916" spans="1:1" ht="46.5" customHeight="1" x14ac:dyDescent="0.25">
      <c r="A3916" s="1"/>
    </row>
    <row r="3917" spans="1:1" ht="46.5" customHeight="1" x14ac:dyDescent="0.25">
      <c r="A3917" s="1"/>
    </row>
    <row r="3918" spans="1:1" ht="46.5" customHeight="1" x14ac:dyDescent="0.25">
      <c r="A3918" s="1"/>
    </row>
    <row r="3919" spans="1:1" ht="46.5" customHeight="1" x14ac:dyDescent="0.25">
      <c r="A3919" s="1"/>
    </row>
    <row r="3920" spans="1:1" ht="46.5" customHeight="1" x14ac:dyDescent="0.25">
      <c r="A3920" s="1"/>
    </row>
    <row r="3921" spans="1:1" ht="46.5" customHeight="1" x14ac:dyDescent="0.25">
      <c r="A3921" s="1"/>
    </row>
    <row r="3922" spans="1:1" ht="46.5" customHeight="1" x14ac:dyDescent="0.25">
      <c r="A3922" s="1"/>
    </row>
    <row r="3923" spans="1:1" ht="46.5" customHeight="1" x14ac:dyDescent="0.25">
      <c r="A3923" s="1"/>
    </row>
    <row r="3924" spans="1:1" ht="46.5" customHeight="1" x14ac:dyDescent="0.25">
      <c r="A3924" s="1"/>
    </row>
    <row r="3925" spans="1:1" ht="46.5" customHeight="1" x14ac:dyDescent="0.25">
      <c r="A3925" s="1"/>
    </row>
    <row r="3926" spans="1:1" ht="46.5" customHeight="1" x14ac:dyDescent="0.25">
      <c r="A3926" s="1"/>
    </row>
    <row r="3927" spans="1:1" ht="46.5" customHeight="1" x14ac:dyDescent="0.25">
      <c r="A3927" s="1"/>
    </row>
    <row r="3928" spans="1:1" ht="46.5" customHeight="1" x14ac:dyDescent="0.25">
      <c r="A3928" s="1"/>
    </row>
    <row r="3929" spans="1:1" ht="46.5" customHeight="1" x14ac:dyDescent="0.25">
      <c r="A3929" s="1"/>
    </row>
    <row r="3930" spans="1:1" ht="46.5" customHeight="1" x14ac:dyDescent="0.25">
      <c r="A3930" s="1"/>
    </row>
    <row r="3931" spans="1:1" ht="46.5" customHeight="1" x14ac:dyDescent="0.25">
      <c r="A3931" s="1"/>
    </row>
    <row r="3932" spans="1:1" ht="46.5" customHeight="1" x14ac:dyDescent="0.25">
      <c r="A3932" s="1"/>
    </row>
    <row r="3933" spans="1:1" ht="46.5" customHeight="1" x14ac:dyDescent="0.25">
      <c r="A3933" s="1"/>
    </row>
    <row r="3934" spans="1:1" ht="46.5" customHeight="1" x14ac:dyDescent="0.25">
      <c r="A3934" s="1"/>
    </row>
    <row r="3935" spans="1:1" ht="46.5" customHeight="1" x14ac:dyDescent="0.25">
      <c r="A3935" s="1"/>
    </row>
    <row r="3936" spans="1:1" ht="46.5" customHeight="1" x14ac:dyDescent="0.25">
      <c r="A3936" s="1"/>
    </row>
    <row r="3937" spans="1:1" ht="46.5" customHeight="1" x14ac:dyDescent="0.25">
      <c r="A3937" s="1"/>
    </row>
    <row r="3938" spans="1:1" ht="46.5" customHeight="1" x14ac:dyDescent="0.25">
      <c r="A3938" s="1"/>
    </row>
    <row r="3939" spans="1:1" ht="46.5" customHeight="1" x14ac:dyDescent="0.25">
      <c r="A3939" s="1"/>
    </row>
    <row r="3940" spans="1:1" ht="46.5" customHeight="1" x14ac:dyDescent="0.25">
      <c r="A3940" s="1"/>
    </row>
    <row r="3941" spans="1:1" ht="46.5" customHeight="1" x14ac:dyDescent="0.25">
      <c r="A3941" s="1"/>
    </row>
    <row r="3942" spans="1:1" ht="46.5" customHeight="1" x14ac:dyDescent="0.25">
      <c r="A3942" s="1"/>
    </row>
    <row r="3943" spans="1:1" ht="46.5" customHeight="1" x14ac:dyDescent="0.25">
      <c r="A3943" s="1"/>
    </row>
    <row r="3944" spans="1:1" ht="46.5" customHeight="1" x14ac:dyDescent="0.25">
      <c r="A3944" s="1"/>
    </row>
    <row r="3945" spans="1:1" ht="46.5" customHeight="1" x14ac:dyDescent="0.25">
      <c r="A3945" s="1"/>
    </row>
    <row r="3946" spans="1:1" ht="46.5" customHeight="1" x14ac:dyDescent="0.25">
      <c r="A3946" s="1"/>
    </row>
    <row r="3947" spans="1:1" ht="46.5" customHeight="1" x14ac:dyDescent="0.25">
      <c r="A3947" s="1"/>
    </row>
    <row r="3948" spans="1:1" ht="46.5" customHeight="1" x14ac:dyDescent="0.25">
      <c r="A3948" s="1"/>
    </row>
    <row r="3949" spans="1:1" ht="46.5" customHeight="1" x14ac:dyDescent="0.25">
      <c r="A3949" s="1"/>
    </row>
    <row r="3950" spans="1:1" ht="46.5" customHeight="1" x14ac:dyDescent="0.25">
      <c r="A3950" s="1"/>
    </row>
    <row r="3951" spans="1:1" ht="46.5" customHeight="1" x14ac:dyDescent="0.25">
      <c r="A3951" s="1"/>
    </row>
    <row r="3952" spans="1:1" ht="46.5" customHeight="1" x14ac:dyDescent="0.25">
      <c r="A3952" s="1"/>
    </row>
    <row r="3953" spans="1:1" ht="46.5" customHeight="1" x14ac:dyDescent="0.25">
      <c r="A3953" s="1"/>
    </row>
    <row r="3954" spans="1:1" ht="46.5" customHeight="1" x14ac:dyDescent="0.25">
      <c r="A3954" s="1"/>
    </row>
    <row r="3955" spans="1:1" ht="46.5" customHeight="1" x14ac:dyDescent="0.25">
      <c r="A3955" s="1"/>
    </row>
    <row r="3956" spans="1:1" ht="46.5" customHeight="1" x14ac:dyDescent="0.25">
      <c r="A3956" s="1"/>
    </row>
    <row r="3957" spans="1:1" ht="46.5" customHeight="1" x14ac:dyDescent="0.25">
      <c r="A3957" s="1"/>
    </row>
    <row r="3958" spans="1:1" ht="46.5" customHeight="1" x14ac:dyDescent="0.25">
      <c r="A3958" s="1"/>
    </row>
    <row r="3959" spans="1:1" ht="46.5" customHeight="1" x14ac:dyDescent="0.25">
      <c r="A3959" s="1"/>
    </row>
    <row r="3960" spans="1:1" ht="46.5" customHeight="1" x14ac:dyDescent="0.25">
      <c r="A3960" s="1"/>
    </row>
    <row r="3961" spans="1:1" ht="46.5" customHeight="1" x14ac:dyDescent="0.25">
      <c r="A3961" s="1"/>
    </row>
    <row r="3962" spans="1:1" ht="46.5" customHeight="1" x14ac:dyDescent="0.25">
      <c r="A3962" s="1"/>
    </row>
    <row r="3963" spans="1:1" ht="46.5" customHeight="1" x14ac:dyDescent="0.25">
      <c r="A3963" s="1"/>
    </row>
    <row r="3964" spans="1:1" ht="46.5" customHeight="1" x14ac:dyDescent="0.25">
      <c r="A3964" s="1"/>
    </row>
    <row r="3965" spans="1:1" ht="46.5" customHeight="1" x14ac:dyDescent="0.25">
      <c r="A3965" s="1"/>
    </row>
    <row r="3966" spans="1:1" ht="46.5" customHeight="1" x14ac:dyDescent="0.25">
      <c r="A3966" s="1"/>
    </row>
    <row r="3967" spans="1:1" ht="46.5" customHeight="1" x14ac:dyDescent="0.25">
      <c r="A3967" s="1"/>
    </row>
    <row r="3968" spans="1:1" ht="46.5" customHeight="1" x14ac:dyDescent="0.25">
      <c r="A3968" s="1"/>
    </row>
    <row r="3969" spans="1:1" ht="46.5" customHeight="1" x14ac:dyDescent="0.25">
      <c r="A3969" s="1"/>
    </row>
    <row r="3970" spans="1:1" ht="46.5" customHeight="1" x14ac:dyDescent="0.25">
      <c r="A3970" s="1"/>
    </row>
    <row r="3971" spans="1:1" ht="46.5" customHeight="1" x14ac:dyDescent="0.25">
      <c r="A3971" s="1"/>
    </row>
    <row r="3972" spans="1:1" ht="46.5" customHeight="1" x14ac:dyDescent="0.25">
      <c r="A3972" s="1"/>
    </row>
    <row r="3973" spans="1:1" ht="46.5" customHeight="1" x14ac:dyDescent="0.25">
      <c r="A3973" s="1"/>
    </row>
    <row r="3974" spans="1:1" ht="46.5" customHeight="1" x14ac:dyDescent="0.25">
      <c r="A3974" s="1"/>
    </row>
    <row r="3975" spans="1:1" ht="46.5" customHeight="1" x14ac:dyDescent="0.25">
      <c r="A3975" s="1"/>
    </row>
    <row r="3976" spans="1:1" ht="46.5" customHeight="1" x14ac:dyDescent="0.25">
      <c r="A3976" s="1"/>
    </row>
    <row r="3977" spans="1:1" ht="46.5" customHeight="1" x14ac:dyDescent="0.25">
      <c r="A3977" s="1"/>
    </row>
    <row r="3978" spans="1:1" ht="46.5" customHeight="1" x14ac:dyDescent="0.25">
      <c r="A3978" s="1"/>
    </row>
    <row r="3979" spans="1:1" ht="46.5" customHeight="1" x14ac:dyDescent="0.25">
      <c r="A3979" s="1"/>
    </row>
    <row r="3980" spans="1:1" ht="46.5" customHeight="1" x14ac:dyDescent="0.25">
      <c r="A3980" s="1"/>
    </row>
    <row r="3981" spans="1:1" ht="46.5" customHeight="1" x14ac:dyDescent="0.25">
      <c r="A3981" s="1"/>
    </row>
    <row r="3982" spans="1:1" ht="46.5" customHeight="1" x14ac:dyDescent="0.25">
      <c r="A3982" s="1"/>
    </row>
    <row r="3983" spans="1:1" ht="46.5" customHeight="1" x14ac:dyDescent="0.25">
      <c r="A3983" s="1"/>
    </row>
    <row r="3984" spans="1:1" ht="46.5" customHeight="1" x14ac:dyDescent="0.25">
      <c r="A3984" s="1"/>
    </row>
    <row r="3985" spans="1:1" ht="46.5" customHeight="1" x14ac:dyDescent="0.25">
      <c r="A3985" s="1"/>
    </row>
    <row r="3986" spans="1:1" ht="46.5" customHeight="1" x14ac:dyDescent="0.25">
      <c r="A3986" s="1"/>
    </row>
    <row r="3987" spans="1:1" ht="46.5" customHeight="1" x14ac:dyDescent="0.25">
      <c r="A3987" s="1"/>
    </row>
    <row r="3988" spans="1:1" ht="46.5" customHeight="1" x14ac:dyDescent="0.25">
      <c r="A3988" s="1"/>
    </row>
    <row r="3989" spans="1:1" ht="46.5" customHeight="1" x14ac:dyDescent="0.25">
      <c r="A3989" s="1"/>
    </row>
    <row r="3990" spans="1:1" ht="46.5" customHeight="1" x14ac:dyDescent="0.25">
      <c r="A3990" s="1"/>
    </row>
    <row r="3991" spans="1:1" ht="46.5" customHeight="1" x14ac:dyDescent="0.25">
      <c r="A3991" s="1"/>
    </row>
    <row r="3992" spans="1:1" ht="46.5" customHeight="1" x14ac:dyDescent="0.25">
      <c r="A3992" s="1"/>
    </row>
    <row r="3993" spans="1:1" ht="46.5" customHeight="1" x14ac:dyDescent="0.25">
      <c r="A3993" s="1"/>
    </row>
    <row r="3994" spans="1:1" ht="46.5" customHeight="1" x14ac:dyDescent="0.25">
      <c r="A3994" s="1"/>
    </row>
    <row r="3995" spans="1:1" ht="46.5" customHeight="1" x14ac:dyDescent="0.25">
      <c r="A3995" s="1"/>
    </row>
    <row r="3996" spans="1:1" ht="46.5" customHeight="1" x14ac:dyDescent="0.25">
      <c r="A3996" s="1"/>
    </row>
    <row r="3997" spans="1:1" ht="46.5" customHeight="1" x14ac:dyDescent="0.25">
      <c r="A3997" s="1"/>
    </row>
    <row r="3998" spans="1:1" ht="46.5" customHeight="1" x14ac:dyDescent="0.25">
      <c r="A3998" s="1"/>
    </row>
    <row r="3999" spans="1:1" ht="46.5" customHeight="1" x14ac:dyDescent="0.25">
      <c r="A3999" s="1"/>
    </row>
    <row r="4000" spans="1:1" ht="46.5" customHeight="1" x14ac:dyDescent="0.25">
      <c r="A4000" s="1"/>
    </row>
    <row r="4001" spans="1:1" ht="46.5" customHeight="1" x14ac:dyDescent="0.25">
      <c r="A4001" s="1"/>
    </row>
    <row r="4002" spans="1:1" ht="46.5" customHeight="1" x14ac:dyDescent="0.25">
      <c r="A4002" s="1"/>
    </row>
    <row r="4003" spans="1:1" ht="46.5" customHeight="1" x14ac:dyDescent="0.25">
      <c r="A4003" s="1"/>
    </row>
    <row r="4004" spans="1:1" ht="46.5" customHeight="1" x14ac:dyDescent="0.25">
      <c r="A4004" s="1"/>
    </row>
    <row r="4005" spans="1:1" ht="46.5" customHeight="1" x14ac:dyDescent="0.25">
      <c r="A4005" s="1"/>
    </row>
    <row r="4006" spans="1:1" ht="46.5" customHeight="1" x14ac:dyDescent="0.25">
      <c r="A4006" s="1"/>
    </row>
    <row r="4007" spans="1:1" ht="46.5" customHeight="1" x14ac:dyDescent="0.25">
      <c r="A4007" s="1"/>
    </row>
    <row r="4008" spans="1:1" ht="46.5" customHeight="1" x14ac:dyDescent="0.25">
      <c r="A4008" s="1"/>
    </row>
    <row r="4009" spans="1:1" ht="46.5" customHeight="1" x14ac:dyDescent="0.25">
      <c r="A4009" s="1"/>
    </row>
    <row r="4010" spans="1:1" ht="46.5" customHeight="1" x14ac:dyDescent="0.25">
      <c r="A4010" s="1"/>
    </row>
    <row r="4011" spans="1:1" ht="46.5" customHeight="1" x14ac:dyDescent="0.25">
      <c r="A4011" s="1"/>
    </row>
    <row r="4012" spans="1:1" ht="46.5" customHeight="1" x14ac:dyDescent="0.25">
      <c r="A4012" s="1"/>
    </row>
    <row r="4013" spans="1:1" ht="46.5" customHeight="1" x14ac:dyDescent="0.25">
      <c r="A4013" s="1"/>
    </row>
    <row r="4014" spans="1:1" ht="46.5" customHeight="1" x14ac:dyDescent="0.25">
      <c r="A4014" s="1"/>
    </row>
    <row r="4015" spans="1:1" ht="46.5" customHeight="1" x14ac:dyDescent="0.25">
      <c r="A4015" s="1"/>
    </row>
    <row r="4016" spans="1:1" ht="46.5" customHeight="1" x14ac:dyDescent="0.25">
      <c r="A4016" s="1"/>
    </row>
    <row r="4017" spans="1:1" ht="46.5" customHeight="1" x14ac:dyDescent="0.25">
      <c r="A4017" s="1"/>
    </row>
    <row r="4018" spans="1:1" ht="46.5" customHeight="1" x14ac:dyDescent="0.25">
      <c r="A4018" s="1"/>
    </row>
    <row r="4019" spans="1:1" ht="46.5" customHeight="1" x14ac:dyDescent="0.25">
      <c r="A4019" s="1"/>
    </row>
    <row r="4020" spans="1:1" ht="46.5" customHeight="1" x14ac:dyDescent="0.25">
      <c r="A4020" s="1"/>
    </row>
    <row r="4021" spans="1:1" ht="46.5" customHeight="1" x14ac:dyDescent="0.25">
      <c r="A4021" s="1"/>
    </row>
    <row r="4022" spans="1:1" ht="46.5" customHeight="1" x14ac:dyDescent="0.25">
      <c r="A4022" s="1"/>
    </row>
    <row r="4023" spans="1:1" ht="46.5" customHeight="1" x14ac:dyDescent="0.25">
      <c r="A4023" s="1"/>
    </row>
    <row r="4024" spans="1:1" ht="46.5" customHeight="1" x14ac:dyDescent="0.25">
      <c r="A4024" s="1"/>
    </row>
    <row r="4025" spans="1:1" ht="46.5" customHeight="1" x14ac:dyDescent="0.25">
      <c r="A4025" s="1"/>
    </row>
    <row r="4026" spans="1:1" ht="46.5" customHeight="1" x14ac:dyDescent="0.25">
      <c r="A4026" s="1"/>
    </row>
    <row r="4027" spans="1:1" ht="46.5" customHeight="1" x14ac:dyDescent="0.25">
      <c r="A4027" s="1"/>
    </row>
    <row r="4028" spans="1:1" ht="46.5" customHeight="1" x14ac:dyDescent="0.25">
      <c r="A4028" s="1"/>
    </row>
    <row r="4029" spans="1:1" ht="46.5" customHeight="1" x14ac:dyDescent="0.25">
      <c r="A4029" s="1"/>
    </row>
    <row r="4030" spans="1:1" ht="46.5" customHeight="1" x14ac:dyDescent="0.25">
      <c r="A4030" s="1"/>
    </row>
    <row r="4031" spans="1:1" ht="46.5" customHeight="1" x14ac:dyDescent="0.25">
      <c r="A4031" s="1"/>
    </row>
    <row r="4032" spans="1:1" ht="46.5" customHeight="1" x14ac:dyDescent="0.25">
      <c r="A4032" s="1"/>
    </row>
    <row r="4033" spans="1:1" ht="46.5" customHeight="1" x14ac:dyDescent="0.25">
      <c r="A4033" s="1"/>
    </row>
    <row r="4034" spans="1:1" ht="46.5" customHeight="1" x14ac:dyDescent="0.25">
      <c r="A4034" s="1"/>
    </row>
    <row r="4035" spans="1:1" ht="46.5" customHeight="1" x14ac:dyDescent="0.25">
      <c r="A4035" s="1"/>
    </row>
    <row r="4036" spans="1:1" ht="46.5" customHeight="1" x14ac:dyDescent="0.25">
      <c r="A4036" s="1"/>
    </row>
    <row r="4037" spans="1:1" ht="46.5" customHeight="1" x14ac:dyDescent="0.25">
      <c r="A4037" s="1"/>
    </row>
    <row r="4038" spans="1:1" ht="46.5" customHeight="1" x14ac:dyDescent="0.25">
      <c r="A4038" s="1"/>
    </row>
    <row r="4039" spans="1:1" ht="46.5" customHeight="1" x14ac:dyDescent="0.25">
      <c r="A4039" s="1"/>
    </row>
    <row r="4040" spans="1:1" ht="46.5" customHeight="1" x14ac:dyDescent="0.25">
      <c r="A4040" s="1"/>
    </row>
    <row r="4041" spans="1:1" ht="46.5" customHeight="1" x14ac:dyDescent="0.25">
      <c r="A4041" s="1"/>
    </row>
    <row r="4042" spans="1:1" ht="46.5" customHeight="1" x14ac:dyDescent="0.25">
      <c r="A4042" s="1"/>
    </row>
    <row r="4043" spans="1:1" ht="46.5" customHeight="1" x14ac:dyDescent="0.25">
      <c r="A4043" s="1"/>
    </row>
    <row r="4044" spans="1:1" ht="46.5" customHeight="1" x14ac:dyDescent="0.25">
      <c r="A4044" s="1"/>
    </row>
    <row r="4045" spans="1:1" ht="46.5" customHeight="1" x14ac:dyDescent="0.25">
      <c r="A4045" s="1"/>
    </row>
    <row r="4046" spans="1:1" ht="46.5" customHeight="1" x14ac:dyDescent="0.25">
      <c r="A4046" s="1"/>
    </row>
    <row r="4047" spans="1:1" ht="46.5" customHeight="1" x14ac:dyDescent="0.25">
      <c r="A4047" s="1"/>
    </row>
    <row r="4048" spans="1:1" ht="46.5" customHeight="1" x14ac:dyDescent="0.25">
      <c r="A4048" s="1"/>
    </row>
    <row r="4049" spans="1:1" ht="46.5" customHeight="1" x14ac:dyDescent="0.25">
      <c r="A4049" s="1"/>
    </row>
    <row r="4050" spans="1:1" ht="46.5" customHeight="1" x14ac:dyDescent="0.25">
      <c r="A4050" s="1"/>
    </row>
    <row r="4051" spans="1:1" ht="46.5" customHeight="1" x14ac:dyDescent="0.25">
      <c r="A4051" s="1"/>
    </row>
    <row r="4052" spans="1:1" ht="46.5" customHeight="1" x14ac:dyDescent="0.25">
      <c r="A4052" s="1"/>
    </row>
    <row r="4053" spans="1:1" ht="46.5" customHeight="1" x14ac:dyDescent="0.25">
      <c r="A4053" s="1"/>
    </row>
    <row r="4054" spans="1:1" ht="46.5" customHeight="1" x14ac:dyDescent="0.25">
      <c r="A4054" s="1"/>
    </row>
    <row r="4055" spans="1:1" ht="46.5" customHeight="1" x14ac:dyDescent="0.25">
      <c r="A4055" s="1"/>
    </row>
    <row r="4056" spans="1:1" ht="46.5" customHeight="1" x14ac:dyDescent="0.25">
      <c r="A4056" s="1"/>
    </row>
    <row r="4057" spans="1:1" ht="46.5" customHeight="1" x14ac:dyDescent="0.25">
      <c r="A4057" s="1"/>
    </row>
    <row r="4058" spans="1:1" ht="46.5" customHeight="1" x14ac:dyDescent="0.25">
      <c r="A4058" s="1"/>
    </row>
    <row r="4059" spans="1:1" ht="46.5" customHeight="1" x14ac:dyDescent="0.25">
      <c r="A4059" s="1"/>
    </row>
    <row r="4060" spans="1:1" ht="46.5" customHeight="1" x14ac:dyDescent="0.25">
      <c r="A4060" s="1"/>
    </row>
    <row r="4061" spans="1:1" ht="46.5" customHeight="1" x14ac:dyDescent="0.25">
      <c r="A4061" s="1"/>
    </row>
    <row r="4062" spans="1:1" ht="46.5" customHeight="1" x14ac:dyDescent="0.25">
      <c r="A4062" s="1"/>
    </row>
    <row r="4063" spans="1:1" ht="46.5" customHeight="1" x14ac:dyDescent="0.25">
      <c r="A4063" s="1"/>
    </row>
    <row r="4064" spans="1:1" ht="46.5" customHeight="1" x14ac:dyDescent="0.25">
      <c r="A4064" s="1"/>
    </row>
    <row r="4065" spans="1:1" ht="46.5" customHeight="1" x14ac:dyDescent="0.25">
      <c r="A4065" s="1"/>
    </row>
    <row r="4066" spans="1:1" ht="46.5" customHeight="1" x14ac:dyDescent="0.25">
      <c r="A4066" s="1"/>
    </row>
    <row r="4067" spans="1:1" ht="46.5" customHeight="1" x14ac:dyDescent="0.25">
      <c r="A4067" s="1"/>
    </row>
    <row r="4068" spans="1:1" ht="46.5" customHeight="1" x14ac:dyDescent="0.25">
      <c r="A4068" s="1"/>
    </row>
    <row r="4069" spans="1:1" ht="46.5" customHeight="1" x14ac:dyDescent="0.25">
      <c r="A4069" s="1"/>
    </row>
    <row r="4070" spans="1:1" ht="46.5" customHeight="1" x14ac:dyDescent="0.25">
      <c r="A4070" s="1"/>
    </row>
    <row r="4071" spans="1:1" ht="46.5" customHeight="1" x14ac:dyDescent="0.25">
      <c r="A4071" s="1"/>
    </row>
    <row r="4072" spans="1:1" ht="46.5" customHeight="1" x14ac:dyDescent="0.25">
      <c r="A4072" s="1"/>
    </row>
    <row r="4073" spans="1:1" ht="46.5" customHeight="1" x14ac:dyDescent="0.25">
      <c r="A4073" s="1"/>
    </row>
    <row r="4074" spans="1:1" ht="46.5" customHeight="1" x14ac:dyDescent="0.25">
      <c r="A4074" s="1"/>
    </row>
    <row r="4075" spans="1:1" ht="46.5" customHeight="1" x14ac:dyDescent="0.25">
      <c r="A4075" s="1"/>
    </row>
    <row r="4076" spans="1:1" ht="46.5" customHeight="1" x14ac:dyDescent="0.25">
      <c r="A4076" s="1"/>
    </row>
    <row r="4077" spans="1:1" ht="46.5" customHeight="1" x14ac:dyDescent="0.25">
      <c r="A4077" s="1"/>
    </row>
    <row r="4078" spans="1:1" ht="46.5" customHeight="1" x14ac:dyDescent="0.25">
      <c r="A4078" s="1"/>
    </row>
    <row r="4079" spans="1:1" ht="46.5" customHeight="1" x14ac:dyDescent="0.25">
      <c r="A4079" s="1"/>
    </row>
    <row r="4080" spans="1:1" ht="46.5" customHeight="1" x14ac:dyDescent="0.25">
      <c r="A4080" s="1"/>
    </row>
    <row r="4081" spans="1:1" ht="46.5" customHeight="1" x14ac:dyDescent="0.25">
      <c r="A4081" s="1"/>
    </row>
    <row r="4082" spans="1:1" ht="46.5" customHeight="1" x14ac:dyDescent="0.25">
      <c r="A4082" s="1"/>
    </row>
    <row r="4083" spans="1:1" ht="46.5" customHeight="1" x14ac:dyDescent="0.25">
      <c r="A4083" s="1"/>
    </row>
    <row r="4084" spans="1:1" ht="46.5" customHeight="1" x14ac:dyDescent="0.25">
      <c r="A4084" s="1"/>
    </row>
    <row r="4085" spans="1:1" ht="46.5" customHeight="1" x14ac:dyDescent="0.25">
      <c r="A4085" s="1"/>
    </row>
    <row r="4086" spans="1:1" ht="46.5" customHeight="1" x14ac:dyDescent="0.25">
      <c r="A4086" s="1"/>
    </row>
    <row r="4087" spans="1:1" ht="46.5" customHeight="1" x14ac:dyDescent="0.25">
      <c r="A4087" s="1"/>
    </row>
    <row r="4088" spans="1:1" ht="46.5" customHeight="1" x14ac:dyDescent="0.25">
      <c r="A4088" s="1"/>
    </row>
    <row r="4089" spans="1:1" ht="46.5" customHeight="1" x14ac:dyDescent="0.25">
      <c r="A4089" s="1"/>
    </row>
    <row r="4090" spans="1:1" ht="46.5" customHeight="1" x14ac:dyDescent="0.25">
      <c r="A4090" s="1"/>
    </row>
    <row r="4091" spans="1:1" ht="46.5" customHeight="1" x14ac:dyDescent="0.25">
      <c r="A4091" s="1"/>
    </row>
    <row r="4092" spans="1:1" ht="46.5" customHeight="1" x14ac:dyDescent="0.25">
      <c r="A4092" s="1"/>
    </row>
    <row r="4093" spans="1:1" ht="46.5" customHeight="1" x14ac:dyDescent="0.25">
      <c r="A4093" s="1"/>
    </row>
    <row r="4094" spans="1:1" ht="46.5" customHeight="1" x14ac:dyDescent="0.25">
      <c r="A4094" s="1"/>
    </row>
    <row r="4095" spans="1:1" ht="46.5" customHeight="1" x14ac:dyDescent="0.25">
      <c r="A4095" s="1"/>
    </row>
    <row r="4096" spans="1:1" ht="46.5" customHeight="1" x14ac:dyDescent="0.25">
      <c r="A4096" s="1"/>
    </row>
    <row r="4097" spans="1:1" ht="46.5" customHeight="1" x14ac:dyDescent="0.25">
      <c r="A4097" s="1"/>
    </row>
    <row r="4098" spans="1:1" ht="46.5" customHeight="1" x14ac:dyDescent="0.25">
      <c r="A4098" s="1"/>
    </row>
    <row r="4099" spans="1:1" ht="46.5" customHeight="1" x14ac:dyDescent="0.25">
      <c r="A4099" s="1"/>
    </row>
    <row r="4100" spans="1:1" ht="46.5" customHeight="1" x14ac:dyDescent="0.25">
      <c r="A4100" s="1"/>
    </row>
    <row r="4101" spans="1:1" ht="46.5" customHeight="1" x14ac:dyDescent="0.25">
      <c r="A4101" s="1"/>
    </row>
    <row r="4102" spans="1:1" ht="46.5" customHeight="1" x14ac:dyDescent="0.25">
      <c r="A4102" s="1"/>
    </row>
    <row r="4103" spans="1:1" ht="46.5" customHeight="1" x14ac:dyDescent="0.25">
      <c r="A4103" s="1"/>
    </row>
    <row r="4104" spans="1:1" ht="46.5" customHeight="1" x14ac:dyDescent="0.25">
      <c r="A4104" s="1"/>
    </row>
    <row r="4105" spans="1:1" ht="46.5" customHeight="1" x14ac:dyDescent="0.25">
      <c r="A4105" s="1"/>
    </row>
    <row r="4106" spans="1:1" ht="46.5" customHeight="1" x14ac:dyDescent="0.25">
      <c r="A4106" s="1"/>
    </row>
    <row r="4107" spans="1:1" ht="46.5" customHeight="1" x14ac:dyDescent="0.25">
      <c r="A4107" s="1"/>
    </row>
    <row r="4108" spans="1:1" ht="46.5" customHeight="1" x14ac:dyDescent="0.25">
      <c r="A4108" s="1"/>
    </row>
    <row r="4109" spans="1:1" ht="46.5" customHeight="1" x14ac:dyDescent="0.25">
      <c r="A4109" s="1"/>
    </row>
    <row r="4110" spans="1:1" ht="46.5" customHeight="1" x14ac:dyDescent="0.25">
      <c r="A4110" s="1"/>
    </row>
    <row r="4111" spans="1:1" ht="46.5" customHeight="1" x14ac:dyDescent="0.25">
      <c r="A4111" s="1"/>
    </row>
    <row r="4112" spans="1:1" ht="46.5" customHeight="1" x14ac:dyDescent="0.25">
      <c r="A4112" s="1"/>
    </row>
    <row r="4113" spans="1:1" ht="46.5" customHeight="1" x14ac:dyDescent="0.25">
      <c r="A4113" s="1"/>
    </row>
    <row r="4114" spans="1:1" ht="46.5" customHeight="1" x14ac:dyDescent="0.25">
      <c r="A4114" s="1"/>
    </row>
    <row r="4115" spans="1:1" ht="46.5" customHeight="1" x14ac:dyDescent="0.25">
      <c r="A4115" s="1"/>
    </row>
    <row r="4116" spans="1:1" ht="46.5" customHeight="1" x14ac:dyDescent="0.25">
      <c r="A4116" s="1"/>
    </row>
    <row r="4117" spans="1:1" ht="46.5" customHeight="1" x14ac:dyDescent="0.25">
      <c r="A4117" s="1"/>
    </row>
    <row r="4118" spans="1:1" ht="46.5" customHeight="1" x14ac:dyDescent="0.25">
      <c r="A4118" s="1"/>
    </row>
    <row r="4119" spans="1:1" ht="46.5" customHeight="1" x14ac:dyDescent="0.25">
      <c r="A4119" s="1"/>
    </row>
    <row r="4120" spans="1:1" ht="46.5" customHeight="1" x14ac:dyDescent="0.25">
      <c r="A4120" s="1"/>
    </row>
    <row r="4121" spans="1:1" ht="46.5" customHeight="1" x14ac:dyDescent="0.25">
      <c r="A4121" s="1"/>
    </row>
    <row r="4122" spans="1:1" ht="46.5" customHeight="1" x14ac:dyDescent="0.25">
      <c r="A4122" s="1"/>
    </row>
    <row r="4123" spans="1:1" ht="46.5" customHeight="1" x14ac:dyDescent="0.25">
      <c r="A4123" s="1"/>
    </row>
    <row r="4124" spans="1:1" ht="46.5" customHeight="1" x14ac:dyDescent="0.25">
      <c r="A4124" s="1"/>
    </row>
    <row r="4125" spans="1:1" ht="46.5" customHeight="1" x14ac:dyDescent="0.25">
      <c r="A4125" s="1"/>
    </row>
    <row r="4126" spans="1:1" ht="46.5" customHeight="1" x14ac:dyDescent="0.25">
      <c r="A4126" s="1"/>
    </row>
    <row r="4127" spans="1:1" ht="46.5" customHeight="1" x14ac:dyDescent="0.25">
      <c r="A4127" s="1"/>
    </row>
    <row r="4128" spans="1:1" ht="46.5" customHeight="1" x14ac:dyDescent="0.25">
      <c r="A4128" s="1"/>
    </row>
    <row r="4129" spans="1:1" ht="46.5" customHeight="1" x14ac:dyDescent="0.25">
      <c r="A4129" s="1"/>
    </row>
    <row r="4130" spans="1:1" ht="46.5" customHeight="1" x14ac:dyDescent="0.25">
      <c r="A4130" s="1"/>
    </row>
    <row r="4131" spans="1:1" ht="46.5" customHeight="1" x14ac:dyDescent="0.25">
      <c r="A4131" s="1"/>
    </row>
    <row r="4132" spans="1:1" ht="46.5" customHeight="1" x14ac:dyDescent="0.25">
      <c r="A4132" s="1"/>
    </row>
    <row r="4133" spans="1:1" ht="46.5" customHeight="1" x14ac:dyDescent="0.25">
      <c r="A4133" s="1"/>
    </row>
    <row r="4134" spans="1:1" ht="46.5" customHeight="1" x14ac:dyDescent="0.25">
      <c r="A4134" s="1"/>
    </row>
    <row r="4135" spans="1:1" ht="46.5" customHeight="1" x14ac:dyDescent="0.25">
      <c r="A4135" s="1"/>
    </row>
    <row r="4136" spans="1:1" ht="46.5" customHeight="1" x14ac:dyDescent="0.25">
      <c r="A4136" s="1"/>
    </row>
    <row r="4137" spans="1:1" ht="46.5" customHeight="1" x14ac:dyDescent="0.25">
      <c r="A4137" s="1"/>
    </row>
    <row r="4138" spans="1:1" ht="46.5" customHeight="1" x14ac:dyDescent="0.25">
      <c r="A4138" s="1"/>
    </row>
    <row r="4139" spans="1:1" ht="46.5" customHeight="1" x14ac:dyDescent="0.25">
      <c r="A4139" s="1"/>
    </row>
    <row r="4140" spans="1:1" ht="46.5" customHeight="1" x14ac:dyDescent="0.25">
      <c r="A4140" s="1"/>
    </row>
    <row r="4141" spans="1:1" ht="46.5" customHeight="1" x14ac:dyDescent="0.25">
      <c r="A4141" s="1"/>
    </row>
    <row r="4142" spans="1:1" ht="46.5" customHeight="1" x14ac:dyDescent="0.25">
      <c r="A4142" s="1"/>
    </row>
    <row r="4143" spans="1:1" ht="46.5" customHeight="1" x14ac:dyDescent="0.25">
      <c r="A4143" s="1"/>
    </row>
    <row r="4144" spans="1:1" ht="46.5" customHeight="1" x14ac:dyDescent="0.25">
      <c r="A4144" s="1"/>
    </row>
    <row r="4145" spans="1:1" ht="46.5" customHeight="1" x14ac:dyDescent="0.25">
      <c r="A4145" s="1"/>
    </row>
    <row r="4146" spans="1:1" ht="46.5" customHeight="1" x14ac:dyDescent="0.25">
      <c r="A4146" s="1"/>
    </row>
    <row r="4147" spans="1:1" ht="46.5" customHeight="1" x14ac:dyDescent="0.25">
      <c r="A4147" s="1"/>
    </row>
    <row r="4148" spans="1:1" ht="46.5" customHeight="1" x14ac:dyDescent="0.25">
      <c r="A4148" s="1"/>
    </row>
    <row r="4149" spans="1:1" ht="46.5" customHeight="1" x14ac:dyDescent="0.25">
      <c r="A4149" s="1"/>
    </row>
    <row r="4150" spans="1:1" ht="46.5" customHeight="1" x14ac:dyDescent="0.25">
      <c r="A4150" s="1"/>
    </row>
    <row r="4151" spans="1:1" ht="46.5" customHeight="1" x14ac:dyDescent="0.25">
      <c r="A4151" s="1"/>
    </row>
    <row r="4152" spans="1:1" ht="46.5" customHeight="1" x14ac:dyDescent="0.25">
      <c r="A4152" s="1"/>
    </row>
    <row r="4153" spans="1:1" ht="46.5" customHeight="1" x14ac:dyDescent="0.25">
      <c r="A4153" s="1"/>
    </row>
    <row r="4154" spans="1:1" ht="46.5" customHeight="1" x14ac:dyDescent="0.25">
      <c r="A4154" s="1"/>
    </row>
    <row r="4155" spans="1:1" ht="46.5" customHeight="1" x14ac:dyDescent="0.25">
      <c r="A4155" s="1"/>
    </row>
    <row r="4156" spans="1:1" ht="46.5" customHeight="1" x14ac:dyDescent="0.25">
      <c r="A4156" s="1"/>
    </row>
    <row r="4157" spans="1:1" ht="46.5" customHeight="1" x14ac:dyDescent="0.25">
      <c r="A4157" s="1"/>
    </row>
    <row r="4158" spans="1:1" ht="46.5" customHeight="1" x14ac:dyDescent="0.25">
      <c r="A4158" s="1"/>
    </row>
    <row r="4159" spans="1:1" ht="46.5" customHeight="1" x14ac:dyDescent="0.25">
      <c r="A4159" s="1"/>
    </row>
    <row r="4160" spans="1:1" ht="46.5" customHeight="1" x14ac:dyDescent="0.25">
      <c r="A4160" s="1"/>
    </row>
    <row r="4161" spans="1:1" ht="46.5" customHeight="1" x14ac:dyDescent="0.25">
      <c r="A4161" s="1"/>
    </row>
    <row r="4162" spans="1:1" ht="46.5" customHeight="1" x14ac:dyDescent="0.25">
      <c r="A4162" s="1"/>
    </row>
    <row r="4163" spans="1:1" ht="46.5" customHeight="1" x14ac:dyDescent="0.25">
      <c r="A4163" s="1"/>
    </row>
    <row r="4164" spans="1:1" ht="46.5" customHeight="1" x14ac:dyDescent="0.25">
      <c r="A4164" s="1"/>
    </row>
    <row r="4165" spans="1:1" ht="46.5" customHeight="1" x14ac:dyDescent="0.25">
      <c r="A4165" s="1"/>
    </row>
    <row r="4166" spans="1:1" ht="46.5" customHeight="1" x14ac:dyDescent="0.25">
      <c r="A4166" s="1"/>
    </row>
    <row r="4167" spans="1:1" ht="46.5" customHeight="1" x14ac:dyDescent="0.25">
      <c r="A4167" s="1"/>
    </row>
    <row r="4168" spans="1:1" ht="46.5" customHeight="1" x14ac:dyDescent="0.25">
      <c r="A4168" s="1"/>
    </row>
    <row r="4169" spans="1:1" ht="46.5" customHeight="1" x14ac:dyDescent="0.25">
      <c r="A4169" s="1"/>
    </row>
    <row r="4170" spans="1:1" ht="46.5" customHeight="1" x14ac:dyDescent="0.25">
      <c r="A4170" s="1"/>
    </row>
    <row r="4171" spans="1:1" ht="46.5" customHeight="1" x14ac:dyDescent="0.25">
      <c r="A4171" s="1"/>
    </row>
    <row r="4172" spans="1:1" ht="46.5" customHeight="1" x14ac:dyDescent="0.25">
      <c r="A4172" s="1"/>
    </row>
    <row r="4173" spans="1:1" ht="46.5" customHeight="1" x14ac:dyDescent="0.25">
      <c r="A4173" s="1"/>
    </row>
    <row r="4174" spans="1:1" ht="46.5" customHeight="1" x14ac:dyDescent="0.25">
      <c r="A4174" s="1"/>
    </row>
    <row r="4175" spans="1:1" ht="46.5" customHeight="1" x14ac:dyDescent="0.25">
      <c r="A4175" s="1"/>
    </row>
    <row r="4176" spans="1:1" ht="46.5" customHeight="1" x14ac:dyDescent="0.25">
      <c r="A4176" s="1"/>
    </row>
    <row r="4177" spans="1:1" ht="46.5" customHeight="1" x14ac:dyDescent="0.25">
      <c r="A4177" s="1"/>
    </row>
    <row r="4178" spans="1:1" ht="46.5" customHeight="1" x14ac:dyDescent="0.25">
      <c r="A4178" s="1"/>
    </row>
    <row r="4179" spans="1:1" ht="46.5" customHeight="1" x14ac:dyDescent="0.25">
      <c r="A4179" s="1"/>
    </row>
    <row r="4180" spans="1:1" ht="46.5" customHeight="1" x14ac:dyDescent="0.25">
      <c r="A4180" s="1"/>
    </row>
    <row r="4181" spans="1:1" ht="46.5" customHeight="1" x14ac:dyDescent="0.25">
      <c r="A4181" s="1"/>
    </row>
    <row r="4182" spans="1:1" ht="46.5" customHeight="1" x14ac:dyDescent="0.25">
      <c r="A4182" s="1"/>
    </row>
    <row r="4183" spans="1:1" ht="46.5" customHeight="1" x14ac:dyDescent="0.25">
      <c r="A4183" s="1"/>
    </row>
    <row r="4184" spans="1:1" ht="46.5" customHeight="1" x14ac:dyDescent="0.25">
      <c r="A4184" s="1"/>
    </row>
    <row r="4185" spans="1:1" ht="46.5" customHeight="1" x14ac:dyDescent="0.25">
      <c r="A4185" s="1"/>
    </row>
    <row r="4186" spans="1:1" ht="46.5" customHeight="1" x14ac:dyDescent="0.25">
      <c r="A4186" s="1"/>
    </row>
    <row r="4187" spans="1:1" ht="46.5" customHeight="1" x14ac:dyDescent="0.25">
      <c r="A4187" s="1"/>
    </row>
    <row r="4188" spans="1:1" ht="46.5" customHeight="1" x14ac:dyDescent="0.25">
      <c r="A4188" s="1"/>
    </row>
    <row r="4189" spans="1:1" ht="46.5" customHeight="1" x14ac:dyDescent="0.25">
      <c r="A4189" s="1"/>
    </row>
    <row r="4190" spans="1:1" ht="46.5" customHeight="1" x14ac:dyDescent="0.25">
      <c r="A4190" s="1"/>
    </row>
    <row r="4191" spans="1:1" ht="46.5" customHeight="1" x14ac:dyDescent="0.25">
      <c r="A4191" s="1"/>
    </row>
    <row r="4192" spans="1:1" ht="46.5" customHeight="1" x14ac:dyDescent="0.25">
      <c r="A4192" s="1"/>
    </row>
    <row r="4193" spans="1:1" ht="46.5" customHeight="1" x14ac:dyDescent="0.25">
      <c r="A4193" s="1"/>
    </row>
    <row r="4194" spans="1:1" ht="46.5" customHeight="1" x14ac:dyDescent="0.25">
      <c r="A4194" s="1"/>
    </row>
    <row r="4195" spans="1:1" ht="46.5" customHeight="1" x14ac:dyDescent="0.25">
      <c r="A4195" s="1"/>
    </row>
    <row r="4196" spans="1:1" ht="46.5" customHeight="1" x14ac:dyDescent="0.25">
      <c r="A4196" s="1"/>
    </row>
    <row r="4197" spans="1:1" ht="46.5" customHeight="1" x14ac:dyDescent="0.25">
      <c r="A4197" s="1"/>
    </row>
    <row r="4198" spans="1:1" ht="46.5" customHeight="1" x14ac:dyDescent="0.25">
      <c r="A4198" s="1"/>
    </row>
    <row r="4199" spans="1:1" ht="46.5" customHeight="1" x14ac:dyDescent="0.25">
      <c r="A4199" s="1"/>
    </row>
    <row r="4200" spans="1:1" ht="46.5" customHeight="1" x14ac:dyDescent="0.25">
      <c r="A4200" s="1"/>
    </row>
    <row r="4201" spans="1:1" ht="46.5" customHeight="1" x14ac:dyDescent="0.25">
      <c r="A4201" s="1"/>
    </row>
    <row r="4202" spans="1:1" ht="46.5" customHeight="1" x14ac:dyDescent="0.25">
      <c r="A4202" s="1"/>
    </row>
    <row r="4203" spans="1:1" ht="46.5" customHeight="1" x14ac:dyDescent="0.25">
      <c r="A4203" s="1"/>
    </row>
    <row r="4204" spans="1:1" ht="46.5" customHeight="1" x14ac:dyDescent="0.25">
      <c r="A4204" s="1"/>
    </row>
    <row r="4205" spans="1:1" ht="46.5" customHeight="1" x14ac:dyDescent="0.25">
      <c r="A4205" s="1"/>
    </row>
    <row r="4206" spans="1:1" ht="46.5" customHeight="1" x14ac:dyDescent="0.25">
      <c r="A4206" s="1"/>
    </row>
    <row r="4207" spans="1:1" ht="46.5" customHeight="1" x14ac:dyDescent="0.25">
      <c r="A4207" s="1"/>
    </row>
    <row r="4208" spans="1:1" ht="46.5" customHeight="1" x14ac:dyDescent="0.25">
      <c r="A4208" s="1"/>
    </row>
    <row r="4209" spans="1:1" ht="46.5" customHeight="1" x14ac:dyDescent="0.25">
      <c r="A4209" s="1"/>
    </row>
    <row r="4210" spans="1:1" ht="46.5" customHeight="1" x14ac:dyDescent="0.25">
      <c r="A4210" s="1"/>
    </row>
    <row r="4211" spans="1:1" ht="46.5" customHeight="1" x14ac:dyDescent="0.25">
      <c r="A4211" s="1"/>
    </row>
    <row r="4212" spans="1:1" ht="46.5" customHeight="1" x14ac:dyDescent="0.25">
      <c r="A4212" s="1"/>
    </row>
    <row r="4213" spans="1:1" ht="46.5" customHeight="1" x14ac:dyDescent="0.25">
      <c r="A4213" s="1"/>
    </row>
    <row r="4214" spans="1:1" ht="46.5" customHeight="1" x14ac:dyDescent="0.25">
      <c r="A4214" s="1"/>
    </row>
    <row r="4215" spans="1:1" ht="46.5" customHeight="1" x14ac:dyDescent="0.25">
      <c r="A4215" s="1"/>
    </row>
    <row r="4216" spans="1:1" ht="46.5" customHeight="1" x14ac:dyDescent="0.25">
      <c r="A4216" s="1"/>
    </row>
    <row r="4217" spans="1:1" ht="46.5" customHeight="1" x14ac:dyDescent="0.25">
      <c r="A4217" s="1"/>
    </row>
    <row r="4218" spans="1:1" ht="46.5" customHeight="1" x14ac:dyDescent="0.25">
      <c r="A4218" s="1"/>
    </row>
    <row r="4219" spans="1:1" ht="46.5" customHeight="1" x14ac:dyDescent="0.25">
      <c r="A4219" s="1"/>
    </row>
    <row r="4220" spans="1:1" ht="46.5" customHeight="1" x14ac:dyDescent="0.25">
      <c r="A4220" s="1"/>
    </row>
    <row r="4221" spans="1:1" ht="46.5" customHeight="1" x14ac:dyDescent="0.25">
      <c r="A4221" s="1"/>
    </row>
    <row r="4222" spans="1:1" ht="46.5" customHeight="1" x14ac:dyDescent="0.25">
      <c r="A4222" s="1"/>
    </row>
    <row r="4223" spans="1:1" ht="46.5" customHeight="1" x14ac:dyDescent="0.25">
      <c r="A4223" s="1"/>
    </row>
    <row r="4224" spans="1:1" ht="46.5" customHeight="1" x14ac:dyDescent="0.25">
      <c r="A4224" s="1"/>
    </row>
    <row r="4225" spans="1:1" ht="46.5" customHeight="1" x14ac:dyDescent="0.25">
      <c r="A4225" s="1"/>
    </row>
    <row r="4226" spans="1:1" ht="46.5" customHeight="1" x14ac:dyDescent="0.25">
      <c r="A4226" s="1"/>
    </row>
    <row r="4227" spans="1:1" ht="46.5" customHeight="1" x14ac:dyDescent="0.25">
      <c r="A4227" s="1"/>
    </row>
    <row r="4228" spans="1:1" ht="46.5" customHeight="1" x14ac:dyDescent="0.25">
      <c r="A4228" s="1"/>
    </row>
    <row r="4229" spans="1:1" ht="46.5" customHeight="1" x14ac:dyDescent="0.25">
      <c r="A4229" s="1"/>
    </row>
    <row r="4230" spans="1:1" ht="46.5" customHeight="1" x14ac:dyDescent="0.25">
      <c r="A4230" s="1"/>
    </row>
    <row r="4231" spans="1:1" ht="46.5" customHeight="1" x14ac:dyDescent="0.25">
      <c r="A4231" s="1"/>
    </row>
    <row r="4232" spans="1:1" ht="46.5" customHeight="1" x14ac:dyDescent="0.25">
      <c r="A4232" s="1"/>
    </row>
    <row r="4233" spans="1:1" ht="46.5" customHeight="1" x14ac:dyDescent="0.25">
      <c r="A4233" s="1"/>
    </row>
    <row r="4234" spans="1:1" ht="46.5" customHeight="1" x14ac:dyDescent="0.25">
      <c r="A4234" s="1"/>
    </row>
    <row r="4235" spans="1:1" ht="46.5" customHeight="1" x14ac:dyDescent="0.25">
      <c r="A4235" s="1"/>
    </row>
    <row r="4236" spans="1:1" ht="46.5" customHeight="1" x14ac:dyDescent="0.25">
      <c r="A4236" s="1"/>
    </row>
    <row r="4237" spans="1:1" ht="46.5" customHeight="1" x14ac:dyDescent="0.25">
      <c r="A4237" s="1"/>
    </row>
    <row r="4238" spans="1:1" ht="46.5" customHeight="1" x14ac:dyDescent="0.25">
      <c r="A4238" s="1"/>
    </row>
    <row r="4239" spans="1:1" ht="46.5" customHeight="1" x14ac:dyDescent="0.25">
      <c r="A4239" s="1"/>
    </row>
    <row r="4240" spans="1:1" ht="46.5" customHeight="1" x14ac:dyDescent="0.25">
      <c r="A4240" s="1"/>
    </row>
    <row r="4241" spans="1:1" ht="46.5" customHeight="1" x14ac:dyDescent="0.25">
      <c r="A4241" s="1"/>
    </row>
    <row r="4242" spans="1:1" ht="46.5" customHeight="1" x14ac:dyDescent="0.25">
      <c r="A4242" s="1"/>
    </row>
    <row r="4243" spans="1:1" ht="46.5" customHeight="1" x14ac:dyDescent="0.25">
      <c r="A4243" s="1"/>
    </row>
    <row r="4244" spans="1:1" ht="46.5" customHeight="1" x14ac:dyDescent="0.25">
      <c r="A4244" s="1"/>
    </row>
    <row r="4245" spans="1:1" ht="46.5" customHeight="1" x14ac:dyDescent="0.25">
      <c r="A4245" s="1"/>
    </row>
    <row r="4246" spans="1:1" ht="46.5" customHeight="1" x14ac:dyDescent="0.25">
      <c r="A4246" s="1"/>
    </row>
    <row r="4247" spans="1:1" ht="46.5" customHeight="1" x14ac:dyDescent="0.25">
      <c r="A4247" s="1"/>
    </row>
    <row r="4248" spans="1:1" ht="46.5" customHeight="1" x14ac:dyDescent="0.25">
      <c r="A4248" s="1"/>
    </row>
    <row r="4249" spans="1:1" ht="46.5" customHeight="1" x14ac:dyDescent="0.25">
      <c r="A4249" s="1"/>
    </row>
    <row r="4250" spans="1:1" ht="46.5" customHeight="1" x14ac:dyDescent="0.25">
      <c r="A4250" s="1"/>
    </row>
    <row r="4251" spans="1:1" ht="46.5" customHeight="1" x14ac:dyDescent="0.25">
      <c r="A4251" s="1"/>
    </row>
    <row r="4252" spans="1:1" ht="46.5" customHeight="1" x14ac:dyDescent="0.25">
      <c r="A4252" s="1"/>
    </row>
    <row r="4253" spans="1:1" ht="46.5" customHeight="1" x14ac:dyDescent="0.25">
      <c r="A4253" s="1"/>
    </row>
    <row r="4254" spans="1:1" ht="46.5" customHeight="1" x14ac:dyDescent="0.25">
      <c r="A4254" s="1"/>
    </row>
    <row r="4255" spans="1:1" ht="46.5" customHeight="1" x14ac:dyDescent="0.25">
      <c r="A4255" s="1"/>
    </row>
    <row r="4256" spans="1:1" ht="46.5" customHeight="1" x14ac:dyDescent="0.25">
      <c r="A4256" s="1"/>
    </row>
    <row r="4257" spans="1:1" ht="46.5" customHeight="1" x14ac:dyDescent="0.25">
      <c r="A4257" s="1"/>
    </row>
    <row r="4258" spans="1:1" ht="46.5" customHeight="1" x14ac:dyDescent="0.25">
      <c r="A4258" s="1"/>
    </row>
    <row r="4259" spans="1:1" ht="46.5" customHeight="1" x14ac:dyDescent="0.25">
      <c r="A4259" s="1"/>
    </row>
    <row r="4260" spans="1:1" ht="46.5" customHeight="1" x14ac:dyDescent="0.25">
      <c r="A4260" s="1"/>
    </row>
    <row r="4261" spans="1:1" ht="46.5" customHeight="1" x14ac:dyDescent="0.25">
      <c r="A4261" s="1"/>
    </row>
    <row r="4262" spans="1:1" ht="46.5" customHeight="1" x14ac:dyDescent="0.25">
      <c r="A4262" s="1"/>
    </row>
    <row r="4263" spans="1:1" ht="46.5" customHeight="1" x14ac:dyDescent="0.25">
      <c r="A4263" s="1"/>
    </row>
    <row r="4264" spans="1:1" ht="46.5" customHeight="1" x14ac:dyDescent="0.25">
      <c r="A4264" s="1"/>
    </row>
    <row r="4265" spans="1:1" ht="46.5" customHeight="1" x14ac:dyDescent="0.25">
      <c r="A4265" s="1"/>
    </row>
    <row r="4266" spans="1:1" ht="46.5" customHeight="1" x14ac:dyDescent="0.25">
      <c r="A4266" s="1"/>
    </row>
    <row r="4267" spans="1:1" ht="46.5" customHeight="1" x14ac:dyDescent="0.25">
      <c r="A4267" s="1"/>
    </row>
    <row r="4268" spans="1:1" ht="46.5" customHeight="1" x14ac:dyDescent="0.25">
      <c r="A4268" s="1"/>
    </row>
    <row r="4269" spans="1:1" ht="46.5" customHeight="1" x14ac:dyDescent="0.25">
      <c r="A4269" s="1"/>
    </row>
    <row r="4270" spans="1:1" ht="46.5" customHeight="1" x14ac:dyDescent="0.25">
      <c r="A4270" s="1"/>
    </row>
    <row r="4271" spans="1:1" ht="46.5" customHeight="1" x14ac:dyDescent="0.25">
      <c r="A4271" s="1"/>
    </row>
    <row r="4272" spans="1:1" ht="46.5" customHeight="1" x14ac:dyDescent="0.25">
      <c r="A4272" s="1"/>
    </row>
    <row r="4273" spans="1:1" ht="46.5" customHeight="1" x14ac:dyDescent="0.25">
      <c r="A4273" s="1"/>
    </row>
    <row r="4274" spans="1:1" ht="46.5" customHeight="1" x14ac:dyDescent="0.25">
      <c r="A4274" s="1"/>
    </row>
    <row r="4275" spans="1:1" ht="46.5" customHeight="1" x14ac:dyDescent="0.25">
      <c r="A4275" s="1"/>
    </row>
    <row r="4276" spans="1:1" ht="46.5" customHeight="1" x14ac:dyDescent="0.25">
      <c r="A4276" s="1"/>
    </row>
    <row r="4277" spans="1:1" ht="46.5" customHeight="1" x14ac:dyDescent="0.25">
      <c r="A4277" s="1"/>
    </row>
    <row r="4278" spans="1:1" ht="46.5" customHeight="1" x14ac:dyDescent="0.25">
      <c r="A4278" s="1"/>
    </row>
    <row r="4279" spans="1:1" ht="46.5" customHeight="1" x14ac:dyDescent="0.25">
      <c r="A4279" s="1"/>
    </row>
    <row r="4280" spans="1:1" ht="46.5" customHeight="1" x14ac:dyDescent="0.25">
      <c r="A4280" s="1"/>
    </row>
    <row r="4281" spans="1:1" ht="46.5" customHeight="1" x14ac:dyDescent="0.25">
      <c r="A4281" s="1"/>
    </row>
    <row r="4282" spans="1:1" ht="46.5" customHeight="1" x14ac:dyDescent="0.25">
      <c r="A4282" s="1"/>
    </row>
    <row r="4283" spans="1:1" ht="46.5" customHeight="1" x14ac:dyDescent="0.25">
      <c r="A4283" s="1"/>
    </row>
    <row r="4284" spans="1:1" ht="46.5" customHeight="1" x14ac:dyDescent="0.25">
      <c r="A4284" s="1"/>
    </row>
    <row r="4285" spans="1:1" ht="46.5" customHeight="1" x14ac:dyDescent="0.25">
      <c r="A4285" s="1"/>
    </row>
    <row r="4286" spans="1:1" ht="46.5" customHeight="1" x14ac:dyDescent="0.25">
      <c r="A4286" s="1"/>
    </row>
    <row r="4287" spans="1:1" ht="46.5" customHeight="1" x14ac:dyDescent="0.25">
      <c r="A4287" s="1"/>
    </row>
    <row r="4288" spans="1:1" ht="46.5" customHeight="1" x14ac:dyDescent="0.25">
      <c r="A4288" s="1"/>
    </row>
    <row r="4289" spans="1:1" ht="46.5" customHeight="1" x14ac:dyDescent="0.25">
      <c r="A4289" s="1"/>
    </row>
    <row r="4290" spans="1:1" ht="46.5" customHeight="1" x14ac:dyDescent="0.25">
      <c r="A4290" s="1"/>
    </row>
    <row r="4291" spans="1:1" ht="46.5" customHeight="1" x14ac:dyDescent="0.25">
      <c r="A4291" s="1"/>
    </row>
    <row r="4292" spans="1:1" ht="46.5" customHeight="1" x14ac:dyDescent="0.25">
      <c r="A4292" s="1"/>
    </row>
    <row r="4293" spans="1:1" ht="46.5" customHeight="1" x14ac:dyDescent="0.25">
      <c r="A4293" s="1"/>
    </row>
    <row r="4294" spans="1:1" ht="46.5" customHeight="1" x14ac:dyDescent="0.25">
      <c r="A4294" s="1"/>
    </row>
    <row r="4295" spans="1:1" ht="46.5" customHeight="1" x14ac:dyDescent="0.25">
      <c r="A4295" s="1"/>
    </row>
    <row r="4296" spans="1:1" ht="46.5" customHeight="1" x14ac:dyDescent="0.25">
      <c r="A4296" s="1"/>
    </row>
    <row r="4297" spans="1:1" ht="46.5" customHeight="1" x14ac:dyDescent="0.25">
      <c r="A4297" s="1"/>
    </row>
    <row r="4298" spans="1:1" ht="46.5" customHeight="1" x14ac:dyDescent="0.25">
      <c r="A4298" s="1"/>
    </row>
    <row r="4299" spans="1:1" ht="46.5" customHeight="1" x14ac:dyDescent="0.25">
      <c r="A4299" s="1"/>
    </row>
    <row r="4300" spans="1:1" ht="46.5" customHeight="1" x14ac:dyDescent="0.25">
      <c r="A4300" s="1"/>
    </row>
    <row r="4301" spans="1:1" ht="46.5" customHeight="1" x14ac:dyDescent="0.25">
      <c r="A4301" s="1"/>
    </row>
    <row r="4302" spans="1:1" ht="46.5" customHeight="1" x14ac:dyDescent="0.25">
      <c r="A4302" s="1"/>
    </row>
    <row r="4303" spans="1:1" ht="46.5" customHeight="1" x14ac:dyDescent="0.25">
      <c r="A4303" s="1"/>
    </row>
    <row r="4304" spans="1:1" ht="46.5" customHeight="1" x14ac:dyDescent="0.25">
      <c r="A4304" s="1"/>
    </row>
    <row r="4305" spans="1:1" ht="46.5" customHeight="1" x14ac:dyDescent="0.25">
      <c r="A4305" s="1"/>
    </row>
    <row r="4306" spans="1:1" ht="46.5" customHeight="1" x14ac:dyDescent="0.25">
      <c r="A4306" s="1"/>
    </row>
    <row r="4307" spans="1:1" ht="46.5" customHeight="1" x14ac:dyDescent="0.25">
      <c r="A4307" s="1"/>
    </row>
    <row r="4308" spans="1:1" ht="46.5" customHeight="1" x14ac:dyDescent="0.25">
      <c r="A4308" s="1"/>
    </row>
    <row r="4309" spans="1:1" ht="46.5" customHeight="1" x14ac:dyDescent="0.25">
      <c r="A4309" s="1"/>
    </row>
    <row r="4310" spans="1:1" ht="46.5" customHeight="1" x14ac:dyDescent="0.25">
      <c r="A4310" s="1"/>
    </row>
    <row r="4311" spans="1:1" ht="46.5" customHeight="1" x14ac:dyDescent="0.25">
      <c r="A4311" s="1"/>
    </row>
    <row r="4312" spans="1:1" ht="46.5" customHeight="1" x14ac:dyDescent="0.25">
      <c r="A4312" s="1"/>
    </row>
    <row r="4313" spans="1:1" ht="46.5" customHeight="1" x14ac:dyDescent="0.25">
      <c r="A4313" s="1"/>
    </row>
    <row r="4314" spans="1:1" ht="46.5" customHeight="1" x14ac:dyDescent="0.25">
      <c r="A4314" s="1"/>
    </row>
    <row r="4315" spans="1:1" ht="46.5" customHeight="1" x14ac:dyDescent="0.25">
      <c r="A4315" s="1"/>
    </row>
    <row r="4316" spans="1:1" ht="46.5" customHeight="1" x14ac:dyDescent="0.25">
      <c r="A4316" s="1"/>
    </row>
    <row r="4317" spans="1:1" ht="46.5" customHeight="1" x14ac:dyDescent="0.25">
      <c r="A4317" s="1"/>
    </row>
    <row r="4318" spans="1:1" ht="46.5" customHeight="1" x14ac:dyDescent="0.25">
      <c r="A4318" s="1"/>
    </row>
    <row r="4319" spans="1:1" ht="46.5" customHeight="1" x14ac:dyDescent="0.25">
      <c r="A4319" s="1"/>
    </row>
    <row r="4320" spans="1:1" ht="46.5" customHeight="1" x14ac:dyDescent="0.25">
      <c r="A4320" s="1"/>
    </row>
    <row r="4321" spans="1:1" ht="46.5" customHeight="1" x14ac:dyDescent="0.25">
      <c r="A4321" s="1"/>
    </row>
    <row r="4322" spans="1:1" ht="46.5" customHeight="1" x14ac:dyDescent="0.25">
      <c r="A4322" s="1"/>
    </row>
    <row r="4323" spans="1:1" ht="46.5" customHeight="1" x14ac:dyDescent="0.25">
      <c r="A4323" s="1"/>
    </row>
    <row r="4324" spans="1:1" ht="46.5" customHeight="1" x14ac:dyDescent="0.25">
      <c r="A4324" s="1"/>
    </row>
    <row r="4325" spans="1:1" ht="46.5" customHeight="1" x14ac:dyDescent="0.25">
      <c r="A4325" s="1"/>
    </row>
    <row r="4326" spans="1:1" ht="46.5" customHeight="1" x14ac:dyDescent="0.25">
      <c r="A4326" s="1"/>
    </row>
    <row r="4327" spans="1:1" ht="46.5" customHeight="1" x14ac:dyDescent="0.25">
      <c r="A4327" s="1"/>
    </row>
    <row r="4328" spans="1:1" ht="46.5" customHeight="1" x14ac:dyDescent="0.25">
      <c r="A4328" s="1"/>
    </row>
    <row r="4329" spans="1:1" ht="46.5" customHeight="1" x14ac:dyDescent="0.25">
      <c r="A4329" s="1"/>
    </row>
    <row r="4330" spans="1:1" ht="46.5" customHeight="1" x14ac:dyDescent="0.25">
      <c r="A4330" s="1"/>
    </row>
    <row r="4331" spans="1:1" ht="46.5" customHeight="1" x14ac:dyDescent="0.25">
      <c r="A4331" s="1"/>
    </row>
    <row r="4332" spans="1:1" ht="46.5" customHeight="1" x14ac:dyDescent="0.25">
      <c r="A4332" s="1"/>
    </row>
    <row r="4333" spans="1:1" ht="46.5" customHeight="1" x14ac:dyDescent="0.25">
      <c r="A4333" s="1"/>
    </row>
    <row r="4334" spans="1:1" ht="46.5" customHeight="1" x14ac:dyDescent="0.25">
      <c r="A4334" s="1"/>
    </row>
    <row r="4335" spans="1:1" ht="46.5" customHeight="1" x14ac:dyDescent="0.25">
      <c r="A4335" s="1"/>
    </row>
    <row r="4336" spans="1:1" ht="46.5" customHeight="1" x14ac:dyDescent="0.25">
      <c r="A4336" s="1"/>
    </row>
    <row r="4337" spans="1:1" ht="46.5" customHeight="1" x14ac:dyDescent="0.25">
      <c r="A4337" s="1"/>
    </row>
    <row r="4338" spans="1:1" ht="46.5" customHeight="1" x14ac:dyDescent="0.25">
      <c r="A4338" s="1"/>
    </row>
    <row r="4339" spans="1:1" ht="46.5" customHeight="1" x14ac:dyDescent="0.25">
      <c r="A4339" s="1"/>
    </row>
    <row r="4340" spans="1:1" ht="46.5" customHeight="1" x14ac:dyDescent="0.25">
      <c r="A4340" s="1"/>
    </row>
    <row r="4341" spans="1:1" ht="46.5" customHeight="1" x14ac:dyDescent="0.25">
      <c r="A4341" s="1"/>
    </row>
    <row r="4342" spans="1:1" ht="46.5" customHeight="1" x14ac:dyDescent="0.25">
      <c r="A4342" s="1"/>
    </row>
    <row r="4343" spans="1:1" ht="46.5" customHeight="1" x14ac:dyDescent="0.25">
      <c r="A4343" s="1"/>
    </row>
    <row r="4344" spans="1:1" ht="46.5" customHeight="1" x14ac:dyDescent="0.25">
      <c r="A4344" s="1"/>
    </row>
    <row r="4345" spans="1:1" ht="46.5" customHeight="1" x14ac:dyDescent="0.25">
      <c r="A4345" s="1"/>
    </row>
    <row r="4346" spans="1:1" ht="46.5" customHeight="1" x14ac:dyDescent="0.25">
      <c r="A4346" s="1"/>
    </row>
    <row r="4347" spans="1:1" ht="46.5" customHeight="1" x14ac:dyDescent="0.25">
      <c r="A4347" s="1"/>
    </row>
    <row r="4348" spans="1:1" ht="46.5" customHeight="1" x14ac:dyDescent="0.25">
      <c r="A4348" s="1"/>
    </row>
    <row r="4349" spans="1:1" ht="46.5" customHeight="1" x14ac:dyDescent="0.25">
      <c r="A4349" s="1"/>
    </row>
    <row r="4350" spans="1:1" ht="46.5" customHeight="1" x14ac:dyDescent="0.25">
      <c r="A4350" s="1"/>
    </row>
    <row r="4351" spans="1:1" ht="46.5" customHeight="1" x14ac:dyDescent="0.25">
      <c r="A4351" s="1"/>
    </row>
    <row r="4352" spans="1:1" ht="46.5" customHeight="1" x14ac:dyDescent="0.25">
      <c r="A4352" s="1"/>
    </row>
    <row r="4353" spans="1:1" ht="46.5" customHeight="1" x14ac:dyDescent="0.25">
      <c r="A4353" s="1"/>
    </row>
    <row r="4354" spans="1:1" ht="46.5" customHeight="1" x14ac:dyDescent="0.25">
      <c r="A4354" s="1"/>
    </row>
    <row r="4355" spans="1:1" ht="46.5" customHeight="1" x14ac:dyDescent="0.25">
      <c r="A4355" s="1"/>
    </row>
    <row r="4356" spans="1:1" ht="46.5" customHeight="1" x14ac:dyDescent="0.25">
      <c r="A4356" s="1"/>
    </row>
    <row r="4357" spans="1:1" ht="46.5" customHeight="1" x14ac:dyDescent="0.25">
      <c r="A4357" s="1"/>
    </row>
    <row r="4358" spans="1:1" ht="46.5" customHeight="1" x14ac:dyDescent="0.25">
      <c r="A4358" s="1"/>
    </row>
    <row r="4359" spans="1:1" ht="46.5" customHeight="1" x14ac:dyDescent="0.25">
      <c r="A4359" s="1"/>
    </row>
    <row r="4360" spans="1:1" ht="46.5" customHeight="1" x14ac:dyDescent="0.25">
      <c r="A4360" s="1"/>
    </row>
    <row r="4361" spans="1:1" ht="46.5" customHeight="1" x14ac:dyDescent="0.25">
      <c r="A4361" s="1"/>
    </row>
    <row r="4362" spans="1:1" ht="46.5" customHeight="1" x14ac:dyDescent="0.25">
      <c r="A4362" s="1"/>
    </row>
    <row r="4363" spans="1:1" ht="46.5" customHeight="1" x14ac:dyDescent="0.25">
      <c r="A4363" s="1"/>
    </row>
    <row r="4364" spans="1:1" ht="46.5" customHeight="1" x14ac:dyDescent="0.25">
      <c r="A4364" s="1"/>
    </row>
    <row r="4365" spans="1:1" ht="46.5" customHeight="1" x14ac:dyDescent="0.25">
      <c r="A4365" s="1"/>
    </row>
    <row r="4366" spans="1:1" ht="46.5" customHeight="1" x14ac:dyDescent="0.25">
      <c r="A4366" s="1"/>
    </row>
    <row r="4367" spans="1:1" ht="46.5" customHeight="1" x14ac:dyDescent="0.25">
      <c r="A4367" s="1"/>
    </row>
    <row r="4368" spans="1:1" ht="46.5" customHeight="1" x14ac:dyDescent="0.25">
      <c r="A4368" s="1"/>
    </row>
    <row r="4369" spans="1:1" ht="46.5" customHeight="1" x14ac:dyDescent="0.25">
      <c r="A4369" s="1"/>
    </row>
    <row r="4370" spans="1:1" ht="46.5" customHeight="1" x14ac:dyDescent="0.25">
      <c r="A4370" s="1"/>
    </row>
    <row r="4371" spans="1:1" ht="46.5" customHeight="1" x14ac:dyDescent="0.25">
      <c r="A4371" s="1"/>
    </row>
    <row r="4372" spans="1:1" ht="46.5" customHeight="1" x14ac:dyDescent="0.25">
      <c r="A4372" s="1"/>
    </row>
    <row r="4373" spans="1:1" ht="46.5" customHeight="1" x14ac:dyDescent="0.25">
      <c r="A4373" s="1"/>
    </row>
    <row r="4374" spans="1:1" ht="46.5" customHeight="1" x14ac:dyDescent="0.25">
      <c r="A4374" s="1"/>
    </row>
    <row r="4375" spans="1:1" ht="46.5" customHeight="1" x14ac:dyDescent="0.25">
      <c r="A4375" s="1"/>
    </row>
    <row r="4376" spans="1:1" ht="46.5" customHeight="1" x14ac:dyDescent="0.25">
      <c r="A4376" s="1"/>
    </row>
    <row r="4377" spans="1:1" ht="46.5" customHeight="1" x14ac:dyDescent="0.25">
      <c r="A4377" s="1"/>
    </row>
    <row r="4378" spans="1:1" ht="46.5" customHeight="1" x14ac:dyDescent="0.25">
      <c r="A4378" s="1"/>
    </row>
    <row r="4379" spans="1:1" ht="46.5" customHeight="1" x14ac:dyDescent="0.25">
      <c r="A4379" s="1"/>
    </row>
    <row r="4380" spans="1:1" ht="46.5" customHeight="1" x14ac:dyDescent="0.25">
      <c r="A4380" s="1"/>
    </row>
    <row r="4381" spans="1:1" ht="46.5" customHeight="1" x14ac:dyDescent="0.25">
      <c r="A4381" s="1"/>
    </row>
    <row r="4382" spans="1:1" ht="46.5" customHeight="1" x14ac:dyDescent="0.25">
      <c r="A4382" s="1"/>
    </row>
    <row r="4383" spans="1:1" ht="46.5" customHeight="1" x14ac:dyDescent="0.25">
      <c r="A4383" s="1"/>
    </row>
    <row r="4384" spans="1:1" ht="46.5" customHeight="1" x14ac:dyDescent="0.25">
      <c r="A4384" s="1"/>
    </row>
    <row r="4385" spans="1:1" ht="46.5" customHeight="1" x14ac:dyDescent="0.25">
      <c r="A4385" s="1"/>
    </row>
    <row r="4386" spans="1:1" ht="46.5" customHeight="1" x14ac:dyDescent="0.25">
      <c r="A4386" s="1"/>
    </row>
    <row r="4387" spans="1:1" ht="46.5" customHeight="1" x14ac:dyDescent="0.25">
      <c r="A4387" s="1"/>
    </row>
    <row r="4388" spans="1:1" ht="46.5" customHeight="1" x14ac:dyDescent="0.25">
      <c r="A4388" s="1"/>
    </row>
    <row r="4389" spans="1:1" ht="46.5" customHeight="1" x14ac:dyDescent="0.25">
      <c r="A4389" s="1"/>
    </row>
    <row r="4390" spans="1:1" ht="46.5" customHeight="1" x14ac:dyDescent="0.25">
      <c r="A4390" s="1"/>
    </row>
    <row r="4391" spans="1:1" ht="46.5" customHeight="1" x14ac:dyDescent="0.25">
      <c r="A4391" s="1"/>
    </row>
    <row r="4392" spans="1:1" ht="46.5" customHeight="1" x14ac:dyDescent="0.25">
      <c r="A4392" s="1"/>
    </row>
    <row r="4393" spans="1:1" ht="46.5" customHeight="1" x14ac:dyDescent="0.25">
      <c r="A4393" s="1"/>
    </row>
    <row r="4394" spans="1:1" ht="46.5" customHeight="1" x14ac:dyDescent="0.25">
      <c r="A4394" s="1"/>
    </row>
    <row r="4395" spans="1:1" ht="46.5" customHeight="1" x14ac:dyDescent="0.25">
      <c r="A4395" s="1"/>
    </row>
    <row r="4396" spans="1:1" ht="46.5" customHeight="1" x14ac:dyDescent="0.25">
      <c r="A4396" s="1"/>
    </row>
    <row r="4397" spans="1:1" ht="46.5" customHeight="1" x14ac:dyDescent="0.25">
      <c r="A4397" s="1"/>
    </row>
    <row r="4398" spans="1:1" ht="46.5" customHeight="1" x14ac:dyDescent="0.25">
      <c r="A4398" s="1"/>
    </row>
    <row r="4399" spans="1:1" ht="46.5" customHeight="1" x14ac:dyDescent="0.25">
      <c r="A4399" s="1"/>
    </row>
    <row r="4400" spans="1:1" ht="46.5" customHeight="1" x14ac:dyDescent="0.25">
      <c r="A4400" s="1"/>
    </row>
    <row r="4401" spans="1:1" ht="46.5" customHeight="1" x14ac:dyDescent="0.25">
      <c r="A4401" s="1"/>
    </row>
    <row r="4402" spans="1:1" ht="46.5" customHeight="1" x14ac:dyDescent="0.25">
      <c r="A4402" s="1"/>
    </row>
    <row r="4403" spans="1:1" ht="46.5" customHeight="1" x14ac:dyDescent="0.25">
      <c r="A4403" s="1"/>
    </row>
    <row r="4404" spans="1:1" ht="46.5" customHeight="1" x14ac:dyDescent="0.25">
      <c r="A4404" s="1"/>
    </row>
    <row r="4405" spans="1:1" ht="46.5" customHeight="1" x14ac:dyDescent="0.25">
      <c r="A4405" s="1"/>
    </row>
    <row r="4406" spans="1:1" ht="46.5" customHeight="1" x14ac:dyDescent="0.25">
      <c r="A4406" s="1"/>
    </row>
    <row r="4407" spans="1:1" ht="46.5" customHeight="1" x14ac:dyDescent="0.25">
      <c r="A4407" s="1"/>
    </row>
    <row r="4408" spans="1:1" ht="46.5" customHeight="1" x14ac:dyDescent="0.25">
      <c r="A4408" s="1"/>
    </row>
    <row r="4409" spans="1:1" ht="46.5" customHeight="1" x14ac:dyDescent="0.25">
      <c r="A4409" s="1"/>
    </row>
    <row r="4410" spans="1:1" ht="46.5" customHeight="1" x14ac:dyDescent="0.25">
      <c r="A4410" s="1"/>
    </row>
    <row r="4411" spans="1:1" ht="46.5" customHeight="1" x14ac:dyDescent="0.25">
      <c r="A4411" s="1"/>
    </row>
    <row r="4412" spans="1:1" ht="46.5" customHeight="1" x14ac:dyDescent="0.25">
      <c r="A4412" s="1"/>
    </row>
    <row r="4413" spans="1:1" ht="46.5" customHeight="1" x14ac:dyDescent="0.25">
      <c r="A4413" s="1"/>
    </row>
    <row r="4414" spans="1:1" ht="46.5" customHeight="1" x14ac:dyDescent="0.25">
      <c r="A4414" s="1"/>
    </row>
    <row r="4415" spans="1:1" ht="46.5" customHeight="1" x14ac:dyDescent="0.25">
      <c r="A4415" s="1"/>
    </row>
    <row r="4416" spans="1:1" ht="46.5" customHeight="1" x14ac:dyDescent="0.25">
      <c r="A4416" s="1"/>
    </row>
    <row r="4417" spans="1:1" ht="46.5" customHeight="1" x14ac:dyDescent="0.25">
      <c r="A4417" s="1"/>
    </row>
    <row r="4418" spans="1:1" ht="46.5" customHeight="1" x14ac:dyDescent="0.25">
      <c r="A4418" s="1"/>
    </row>
    <row r="4419" spans="1:1" ht="46.5" customHeight="1" x14ac:dyDescent="0.25">
      <c r="A4419" s="1"/>
    </row>
    <row r="4420" spans="1:1" ht="46.5" customHeight="1" x14ac:dyDescent="0.25">
      <c r="A4420" s="1"/>
    </row>
    <row r="4421" spans="1:1" ht="46.5" customHeight="1" x14ac:dyDescent="0.25">
      <c r="A4421" s="1"/>
    </row>
    <row r="4422" spans="1:1" ht="46.5" customHeight="1" x14ac:dyDescent="0.25">
      <c r="A4422" s="1"/>
    </row>
    <row r="4423" spans="1:1" ht="46.5" customHeight="1" x14ac:dyDescent="0.25">
      <c r="A4423" s="1"/>
    </row>
    <row r="4424" spans="1:1" ht="46.5" customHeight="1" x14ac:dyDescent="0.25">
      <c r="A4424" s="1"/>
    </row>
    <row r="4425" spans="1:1" ht="46.5" customHeight="1" x14ac:dyDescent="0.25">
      <c r="A4425" s="1"/>
    </row>
    <row r="4426" spans="1:1" ht="46.5" customHeight="1" x14ac:dyDescent="0.25">
      <c r="A4426" s="1"/>
    </row>
    <row r="4427" spans="1:1" ht="46.5" customHeight="1" x14ac:dyDescent="0.25">
      <c r="A4427" s="1"/>
    </row>
    <row r="4428" spans="1:1" ht="46.5" customHeight="1" x14ac:dyDescent="0.25">
      <c r="A4428" s="1"/>
    </row>
    <row r="4429" spans="1:1" ht="46.5" customHeight="1" x14ac:dyDescent="0.25">
      <c r="A4429" s="1"/>
    </row>
    <row r="4430" spans="1:1" ht="46.5" customHeight="1" x14ac:dyDescent="0.25">
      <c r="A4430" s="1"/>
    </row>
    <row r="4431" spans="1:1" ht="46.5" customHeight="1" x14ac:dyDescent="0.25">
      <c r="A4431" s="1"/>
    </row>
    <row r="4432" spans="1:1" ht="46.5" customHeight="1" x14ac:dyDescent="0.25">
      <c r="A4432" s="1"/>
    </row>
    <row r="4433" spans="1:1" ht="46.5" customHeight="1" x14ac:dyDescent="0.25">
      <c r="A4433" s="1"/>
    </row>
    <row r="4434" spans="1:1" ht="46.5" customHeight="1" x14ac:dyDescent="0.25">
      <c r="A4434" s="1"/>
    </row>
    <row r="4435" spans="1:1" ht="46.5" customHeight="1" x14ac:dyDescent="0.25">
      <c r="A4435" s="1"/>
    </row>
    <row r="4436" spans="1:1" ht="46.5" customHeight="1" x14ac:dyDescent="0.25">
      <c r="A4436" s="1"/>
    </row>
    <row r="4437" spans="1:1" ht="46.5" customHeight="1" x14ac:dyDescent="0.25">
      <c r="A4437" s="1"/>
    </row>
    <row r="4438" spans="1:1" ht="46.5" customHeight="1" x14ac:dyDescent="0.25">
      <c r="A4438" s="1"/>
    </row>
    <row r="4439" spans="1:1" ht="46.5" customHeight="1" x14ac:dyDescent="0.25">
      <c r="A4439" s="1"/>
    </row>
    <row r="4440" spans="1:1" ht="46.5" customHeight="1" x14ac:dyDescent="0.25">
      <c r="A4440" s="1"/>
    </row>
    <row r="4441" spans="1:1" ht="46.5" customHeight="1" x14ac:dyDescent="0.25">
      <c r="A4441" s="1"/>
    </row>
    <row r="4442" spans="1:1" ht="46.5" customHeight="1" x14ac:dyDescent="0.25">
      <c r="A4442" s="1"/>
    </row>
    <row r="4443" spans="1:1" ht="46.5" customHeight="1" x14ac:dyDescent="0.25">
      <c r="A4443" s="1"/>
    </row>
    <row r="4444" spans="1:1" ht="46.5" customHeight="1" x14ac:dyDescent="0.25">
      <c r="A4444" s="1"/>
    </row>
    <row r="4445" spans="1:1" ht="46.5" customHeight="1" x14ac:dyDescent="0.25">
      <c r="A4445" s="1"/>
    </row>
    <row r="4446" spans="1:1" ht="46.5" customHeight="1" x14ac:dyDescent="0.25">
      <c r="A4446" s="1"/>
    </row>
    <row r="4447" spans="1:1" ht="46.5" customHeight="1" x14ac:dyDescent="0.25">
      <c r="A4447" s="1"/>
    </row>
    <row r="4448" spans="1:1" ht="46.5" customHeight="1" x14ac:dyDescent="0.25">
      <c r="A4448" s="1"/>
    </row>
    <row r="4449" spans="1:1" ht="46.5" customHeight="1" x14ac:dyDescent="0.25">
      <c r="A4449" s="1"/>
    </row>
    <row r="4450" spans="1:1" ht="46.5" customHeight="1" x14ac:dyDescent="0.25">
      <c r="A4450" s="1"/>
    </row>
    <row r="4451" spans="1:1" ht="46.5" customHeight="1" x14ac:dyDescent="0.25">
      <c r="A4451" s="1"/>
    </row>
    <row r="4452" spans="1:1" ht="46.5" customHeight="1" x14ac:dyDescent="0.25">
      <c r="A4452" s="1"/>
    </row>
    <row r="4453" spans="1:1" ht="46.5" customHeight="1" x14ac:dyDescent="0.25">
      <c r="A4453" s="1"/>
    </row>
    <row r="4454" spans="1:1" ht="46.5" customHeight="1" x14ac:dyDescent="0.25">
      <c r="A4454" s="1"/>
    </row>
    <row r="4455" spans="1:1" ht="46.5" customHeight="1" x14ac:dyDescent="0.25">
      <c r="A4455" s="1"/>
    </row>
    <row r="4456" spans="1:1" ht="46.5" customHeight="1" x14ac:dyDescent="0.25">
      <c r="A4456" s="1"/>
    </row>
    <row r="4457" spans="1:1" ht="46.5" customHeight="1" x14ac:dyDescent="0.25">
      <c r="A4457" s="1"/>
    </row>
    <row r="4458" spans="1:1" ht="46.5" customHeight="1" x14ac:dyDescent="0.25">
      <c r="A4458" s="1"/>
    </row>
    <row r="4459" spans="1:1" ht="46.5" customHeight="1" x14ac:dyDescent="0.25">
      <c r="A4459" s="1"/>
    </row>
    <row r="4460" spans="1:1" ht="46.5" customHeight="1" x14ac:dyDescent="0.25">
      <c r="A4460" s="1"/>
    </row>
    <row r="4461" spans="1:1" ht="46.5" customHeight="1" x14ac:dyDescent="0.25">
      <c r="A4461" s="1"/>
    </row>
    <row r="4462" spans="1:1" ht="46.5" customHeight="1" x14ac:dyDescent="0.25">
      <c r="A4462" s="1"/>
    </row>
    <row r="4463" spans="1:1" ht="46.5" customHeight="1" x14ac:dyDescent="0.25">
      <c r="A4463" s="1"/>
    </row>
    <row r="4464" spans="1:1" ht="46.5" customHeight="1" x14ac:dyDescent="0.25">
      <c r="A4464" s="1"/>
    </row>
    <row r="4465" spans="1:1" ht="46.5" customHeight="1" x14ac:dyDescent="0.25">
      <c r="A4465" s="1"/>
    </row>
    <row r="4466" spans="1:1" ht="46.5" customHeight="1" x14ac:dyDescent="0.25">
      <c r="A4466" s="1"/>
    </row>
    <row r="4467" spans="1:1" ht="46.5" customHeight="1" x14ac:dyDescent="0.25">
      <c r="A4467" s="1"/>
    </row>
    <row r="4468" spans="1:1" ht="46.5" customHeight="1" x14ac:dyDescent="0.25">
      <c r="A4468" s="1"/>
    </row>
    <row r="4469" spans="1:1" ht="46.5" customHeight="1" x14ac:dyDescent="0.25">
      <c r="A4469" s="1"/>
    </row>
    <row r="4470" spans="1:1" ht="46.5" customHeight="1" x14ac:dyDescent="0.25">
      <c r="A4470" s="1"/>
    </row>
    <row r="4471" spans="1:1" ht="46.5" customHeight="1" x14ac:dyDescent="0.25">
      <c r="A4471" s="1"/>
    </row>
    <row r="4472" spans="1:1" ht="46.5" customHeight="1" x14ac:dyDescent="0.25">
      <c r="A4472" s="1"/>
    </row>
    <row r="4473" spans="1:1" ht="46.5" customHeight="1" x14ac:dyDescent="0.25">
      <c r="A4473" s="1"/>
    </row>
    <row r="4474" spans="1:1" ht="46.5" customHeight="1" x14ac:dyDescent="0.25">
      <c r="A4474" s="1"/>
    </row>
    <row r="4475" spans="1:1" ht="46.5" customHeight="1" x14ac:dyDescent="0.25">
      <c r="A4475" s="1"/>
    </row>
    <row r="4476" spans="1:1" ht="46.5" customHeight="1" x14ac:dyDescent="0.25">
      <c r="A4476" s="1"/>
    </row>
    <row r="4477" spans="1:1" ht="46.5" customHeight="1" x14ac:dyDescent="0.25">
      <c r="A4477" s="1"/>
    </row>
    <row r="4478" spans="1:1" ht="46.5" customHeight="1" x14ac:dyDescent="0.25">
      <c r="A4478" s="1"/>
    </row>
    <row r="4479" spans="1:1" ht="46.5" customHeight="1" x14ac:dyDescent="0.25">
      <c r="A4479" s="1"/>
    </row>
    <row r="4480" spans="1:1" ht="46.5" customHeight="1" x14ac:dyDescent="0.25">
      <c r="A4480" s="1"/>
    </row>
    <row r="4481" spans="1:1" ht="46.5" customHeight="1" x14ac:dyDescent="0.25">
      <c r="A4481" s="1"/>
    </row>
    <row r="4482" spans="1:1" ht="46.5" customHeight="1" x14ac:dyDescent="0.25">
      <c r="A4482" s="1"/>
    </row>
    <row r="4483" spans="1:1" ht="46.5" customHeight="1" x14ac:dyDescent="0.25">
      <c r="A4483" s="1"/>
    </row>
    <row r="4484" spans="1:1" ht="46.5" customHeight="1" x14ac:dyDescent="0.25">
      <c r="A4484" s="1"/>
    </row>
    <row r="4485" spans="1:1" ht="46.5" customHeight="1" x14ac:dyDescent="0.25">
      <c r="A4485" s="1"/>
    </row>
    <row r="4486" spans="1:1" ht="46.5" customHeight="1" x14ac:dyDescent="0.25">
      <c r="A4486" s="1"/>
    </row>
    <row r="4487" spans="1:1" ht="46.5" customHeight="1" x14ac:dyDescent="0.25">
      <c r="A4487" s="1"/>
    </row>
    <row r="4488" spans="1:1" ht="46.5" customHeight="1" x14ac:dyDescent="0.25">
      <c r="A4488" s="1"/>
    </row>
    <row r="4489" spans="1:1" ht="46.5" customHeight="1" x14ac:dyDescent="0.25">
      <c r="A4489" s="1"/>
    </row>
    <row r="4490" spans="1:1" ht="46.5" customHeight="1" x14ac:dyDescent="0.25">
      <c r="A4490" s="1"/>
    </row>
    <row r="4491" spans="1:1" ht="46.5" customHeight="1" x14ac:dyDescent="0.25">
      <c r="A4491" s="1"/>
    </row>
    <row r="4492" spans="1:1" ht="46.5" customHeight="1" x14ac:dyDescent="0.25">
      <c r="A4492" s="1"/>
    </row>
    <row r="4493" spans="1:1" ht="46.5" customHeight="1" x14ac:dyDescent="0.25">
      <c r="A4493" s="1"/>
    </row>
    <row r="4494" spans="1:1" ht="46.5" customHeight="1" x14ac:dyDescent="0.25">
      <c r="A4494" s="1"/>
    </row>
    <row r="4495" spans="1:1" ht="46.5" customHeight="1" x14ac:dyDescent="0.25">
      <c r="A4495" s="1"/>
    </row>
    <row r="4496" spans="1:1" ht="46.5" customHeight="1" x14ac:dyDescent="0.25">
      <c r="A4496" s="1"/>
    </row>
    <row r="4497" spans="1:1" ht="46.5" customHeight="1" x14ac:dyDescent="0.25">
      <c r="A4497" s="1"/>
    </row>
    <row r="4498" spans="1:1" ht="46.5" customHeight="1" x14ac:dyDescent="0.25">
      <c r="A4498" s="1"/>
    </row>
    <row r="4499" spans="1:1" ht="46.5" customHeight="1" x14ac:dyDescent="0.25">
      <c r="A4499" s="1"/>
    </row>
    <row r="4500" spans="1:1" ht="46.5" customHeight="1" x14ac:dyDescent="0.25">
      <c r="A4500" s="1"/>
    </row>
    <row r="4501" spans="1:1" ht="46.5" customHeight="1" x14ac:dyDescent="0.25">
      <c r="A4501" s="1"/>
    </row>
    <row r="4502" spans="1:1" ht="46.5" customHeight="1" x14ac:dyDescent="0.25">
      <c r="A4502" s="1"/>
    </row>
    <row r="4503" spans="1:1" ht="46.5" customHeight="1" x14ac:dyDescent="0.25">
      <c r="A4503" s="1"/>
    </row>
    <row r="4504" spans="1:1" ht="46.5" customHeight="1" x14ac:dyDescent="0.25">
      <c r="A4504" s="1"/>
    </row>
    <row r="4505" spans="1:1" ht="46.5" customHeight="1" x14ac:dyDescent="0.25">
      <c r="A4505" s="1"/>
    </row>
    <row r="4506" spans="1:1" ht="46.5" customHeight="1" x14ac:dyDescent="0.25">
      <c r="A4506" s="1"/>
    </row>
    <row r="4507" spans="1:1" ht="46.5" customHeight="1" x14ac:dyDescent="0.25">
      <c r="A4507" s="1"/>
    </row>
    <row r="4508" spans="1:1" ht="46.5" customHeight="1" x14ac:dyDescent="0.25">
      <c r="A4508" s="1"/>
    </row>
    <row r="4509" spans="1:1" ht="46.5" customHeight="1" x14ac:dyDescent="0.25">
      <c r="A4509" s="1"/>
    </row>
    <row r="4510" spans="1:1" ht="46.5" customHeight="1" x14ac:dyDescent="0.25">
      <c r="A4510" s="1"/>
    </row>
    <row r="4511" spans="1:1" ht="46.5" customHeight="1" x14ac:dyDescent="0.25">
      <c r="A4511" s="1"/>
    </row>
    <row r="4512" spans="1:1" ht="46.5" customHeight="1" x14ac:dyDescent="0.25">
      <c r="A4512" s="1"/>
    </row>
    <row r="4513" spans="1:1" ht="46.5" customHeight="1" x14ac:dyDescent="0.25">
      <c r="A4513" s="1"/>
    </row>
    <row r="4514" spans="1:1" ht="46.5" customHeight="1" x14ac:dyDescent="0.25">
      <c r="A4514" s="1"/>
    </row>
    <row r="4515" spans="1:1" ht="46.5" customHeight="1" x14ac:dyDescent="0.25">
      <c r="A4515" s="1"/>
    </row>
    <row r="4516" spans="1:1" ht="46.5" customHeight="1" x14ac:dyDescent="0.25">
      <c r="A4516" s="1"/>
    </row>
    <row r="4517" spans="1:1" ht="46.5" customHeight="1" x14ac:dyDescent="0.25">
      <c r="A4517" s="1"/>
    </row>
    <row r="4518" spans="1:1" ht="46.5" customHeight="1" x14ac:dyDescent="0.25">
      <c r="A4518" s="1"/>
    </row>
    <row r="4519" spans="1:1" ht="46.5" customHeight="1" x14ac:dyDescent="0.25">
      <c r="A4519" s="1"/>
    </row>
    <row r="4520" spans="1:1" ht="46.5" customHeight="1" x14ac:dyDescent="0.25">
      <c r="A4520" s="1"/>
    </row>
    <row r="4521" spans="1:1" ht="46.5" customHeight="1" x14ac:dyDescent="0.25">
      <c r="A4521" s="1"/>
    </row>
    <row r="4522" spans="1:1" ht="46.5" customHeight="1" x14ac:dyDescent="0.25">
      <c r="A4522" s="1"/>
    </row>
    <row r="4523" spans="1:1" ht="46.5" customHeight="1" x14ac:dyDescent="0.25">
      <c r="A4523" s="1"/>
    </row>
    <row r="4524" spans="1:1" ht="46.5" customHeight="1" x14ac:dyDescent="0.25">
      <c r="A4524" s="1"/>
    </row>
    <row r="4525" spans="1:1" ht="46.5" customHeight="1" x14ac:dyDescent="0.25">
      <c r="A4525" s="1"/>
    </row>
    <row r="4526" spans="1:1" ht="46.5" customHeight="1" x14ac:dyDescent="0.25">
      <c r="A4526" s="1"/>
    </row>
    <row r="4527" spans="1:1" ht="46.5" customHeight="1" x14ac:dyDescent="0.25">
      <c r="A4527" s="1"/>
    </row>
    <row r="4528" spans="1:1" ht="46.5" customHeight="1" x14ac:dyDescent="0.25">
      <c r="A4528" s="1"/>
    </row>
    <row r="4529" spans="1:1" ht="46.5" customHeight="1" x14ac:dyDescent="0.25">
      <c r="A4529" s="1"/>
    </row>
    <row r="4530" spans="1:1" ht="46.5" customHeight="1" x14ac:dyDescent="0.25">
      <c r="A4530" s="1"/>
    </row>
    <row r="4531" spans="1:1" ht="46.5" customHeight="1" x14ac:dyDescent="0.25">
      <c r="A4531" s="1"/>
    </row>
    <row r="4532" spans="1:1" ht="46.5" customHeight="1" x14ac:dyDescent="0.25">
      <c r="A4532" s="1"/>
    </row>
    <row r="4533" spans="1:1" ht="46.5" customHeight="1" x14ac:dyDescent="0.25">
      <c r="A4533" s="1"/>
    </row>
    <row r="4534" spans="1:1" ht="46.5" customHeight="1" x14ac:dyDescent="0.25">
      <c r="A4534" s="1"/>
    </row>
    <row r="4535" spans="1:1" ht="46.5" customHeight="1" x14ac:dyDescent="0.25">
      <c r="A4535" s="1"/>
    </row>
    <row r="4536" spans="1:1" ht="46.5" customHeight="1" x14ac:dyDescent="0.25">
      <c r="A4536" s="1"/>
    </row>
    <row r="4537" spans="1:1" ht="46.5" customHeight="1" x14ac:dyDescent="0.25">
      <c r="A4537" s="1"/>
    </row>
    <row r="4538" spans="1:1" ht="46.5" customHeight="1" x14ac:dyDescent="0.25">
      <c r="A4538" s="1"/>
    </row>
    <row r="4539" spans="1:1" ht="46.5" customHeight="1" x14ac:dyDescent="0.25">
      <c r="A4539" s="1"/>
    </row>
    <row r="4540" spans="1:1" ht="46.5" customHeight="1" x14ac:dyDescent="0.25">
      <c r="A4540" s="1"/>
    </row>
    <row r="4541" spans="1:1" ht="46.5" customHeight="1" x14ac:dyDescent="0.25">
      <c r="A4541" s="1"/>
    </row>
    <row r="4542" spans="1:1" ht="46.5" customHeight="1" x14ac:dyDescent="0.25">
      <c r="A4542" s="1"/>
    </row>
    <row r="4543" spans="1:1" ht="46.5" customHeight="1" x14ac:dyDescent="0.25">
      <c r="A4543" s="1"/>
    </row>
    <row r="4544" spans="1:1" ht="46.5" customHeight="1" x14ac:dyDescent="0.25">
      <c r="A4544" s="1"/>
    </row>
    <row r="4545" spans="1:1" ht="46.5" customHeight="1" x14ac:dyDescent="0.25">
      <c r="A4545" s="1"/>
    </row>
    <row r="4546" spans="1:1" ht="46.5" customHeight="1" x14ac:dyDescent="0.25">
      <c r="A4546" s="1"/>
    </row>
    <row r="4547" spans="1:1" ht="46.5" customHeight="1" x14ac:dyDescent="0.25">
      <c r="A4547" s="1"/>
    </row>
    <row r="4548" spans="1:1" ht="46.5" customHeight="1" x14ac:dyDescent="0.25">
      <c r="A4548" s="1"/>
    </row>
    <row r="4549" spans="1:1" ht="46.5" customHeight="1" x14ac:dyDescent="0.25">
      <c r="A4549" s="1"/>
    </row>
    <row r="4550" spans="1:1" ht="46.5" customHeight="1" x14ac:dyDescent="0.25">
      <c r="A4550" s="1"/>
    </row>
    <row r="4551" spans="1:1" ht="46.5" customHeight="1" x14ac:dyDescent="0.25">
      <c r="A4551" s="1"/>
    </row>
    <row r="4552" spans="1:1" ht="46.5" customHeight="1" x14ac:dyDescent="0.25">
      <c r="A4552" s="1"/>
    </row>
    <row r="4553" spans="1:1" ht="46.5" customHeight="1" x14ac:dyDescent="0.25">
      <c r="A4553" s="1"/>
    </row>
    <row r="4554" spans="1:1" ht="46.5" customHeight="1" x14ac:dyDescent="0.25">
      <c r="A4554" s="1"/>
    </row>
    <row r="4555" spans="1:1" ht="46.5" customHeight="1" x14ac:dyDescent="0.25">
      <c r="A4555" s="1"/>
    </row>
    <row r="4556" spans="1:1" ht="46.5" customHeight="1" x14ac:dyDescent="0.25">
      <c r="A4556" s="1"/>
    </row>
    <row r="4557" spans="1:1" ht="46.5" customHeight="1" x14ac:dyDescent="0.25">
      <c r="A4557" s="1"/>
    </row>
    <row r="4558" spans="1:1" ht="46.5" customHeight="1" x14ac:dyDescent="0.25">
      <c r="A4558" s="1"/>
    </row>
    <row r="4559" spans="1:1" ht="46.5" customHeight="1" x14ac:dyDescent="0.25">
      <c r="A4559" s="1"/>
    </row>
    <row r="4560" spans="1:1" ht="46.5" customHeight="1" x14ac:dyDescent="0.25">
      <c r="A4560" s="1"/>
    </row>
    <row r="4561" spans="1:1" ht="46.5" customHeight="1" x14ac:dyDescent="0.25">
      <c r="A4561" s="1"/>
    </row>
    <row r="4562" spans="1:1" ht="46.5" customHeight="1" x14ac:dyDescent="0.25">
      <c r="A4562" s="1"/>
    </row>
    <row r="4563" spans="1:1" ht="46.5" customHeight="1" x14ac:dyDescent="0.25">
      <c r="A4563" s="1"/>
    </row>
    <row r="4564" spans="1:1" ht="46.5" customHeight="1" x14ac:dyDescent="0.25">
      <c r="A4564" s="1"/>
    </row>
    <row r="4565" spans="1:1" ht="46.5" customHeight="1" x14ac:dyDescent="0.25">
      <c r="A4565" s="1"/>
    </row>
    <row r="4566" spans="1:1" ht="46.5" customHeight="1" x14ac:dyDescent="0.25">
      <c r="A4566" s="1"/>
    </row>
    <row r="4567" spans="1:1" ht="46.5" customHeight="1" x14ac:dyDescent="0.25">
      <c r="A4567" s="1"/>
    </row>
    <row r="4568" spans="1:1" ht="46.5" customHeight="1" x14ac:dyDescent="0.25">
      <c r="A4568" s="1"/>
    </row>
    <row r="4569" spans="1:1" ht="46.5" customHeight="1" x14ac:dyDescent="0.25">
      <c r="A4569" s="1"/>
    </row>
    <row r="4570" spans="1:1" ht="46.5" customHeight="1" x14ac:dyDescent="0.25">
      <c r="A4570" s="1"/>
    </row>
    <row r="4571" spans="1:1" ht="46.5" customHeight="1" x14ac:dyDescent="0.25">
      <c r="A4571" s="1"/>
    </row>
    <row r="4572" spans="1:1" ht="46.5" customHeight="1" x14ac:dyDescent="0.25">
      <c r="A4572" s="1"/>
    </row>
    <row r="4573" spans="1:1" ht="46.5" customHeight="1" x14ac:dyDescent="0.25">
      <c r="A4573" s="1"/>
    </row>
    <row r="4574" spans="1:1" ht="46.5" customHeight="1" x14ac:dyDescent="0.25">
      <c r="A4574" s="1"/>
    </row>
    <row r="4575" spans="1:1" ht="46.5" customHeight="1" x14ac:dyDescent="0.25">
      <c r="A4575" s="1"/>
    </row>
    <row r="4576" spans="1:1" ht="46.5" customHeight="1" x14ac:dyDescent="0.25">
      <c r="A4576" s="1"/>
    </row>
    <row r="4577" spans="1:1" ht="46.5" customHeight="1" x14ac:dyDescent="0.25">
      <c r="A4577" s="1"/>
    </row>
    <row r="4578" spans="1:1" ht="46.5" customHeight="1" x14ac:dyDescent="0.25">
      <c r="A4578" s="1"/>
    </row>
    <row r="4579" spans="1:1" ht="46.5" customHeight="1" x14ac:dyDescent="0.25">
      <c r="A4579" s="1"/>
    </row>
    <row r="4580" spans="1:1" ht="46.5" customHeight="1" x14ac:dyDescent="0.25">
      <c r="A4580" s="1"/>
    </row>
    <row r="4581" spans="1:1" ht="46.5" customHeight="1" x14ac:dyDescent="0.25">
      <c r="A4581" s="1"/>
    </row>
    <row r="4582" spans="1:1" ht="46.5" customHeight="1" x14ac:dyDescent="0.25">
      <c r="A4582" s="1"/>
    </row>
    <row r="4583" spans="1:1" ht="46.5" customHeight="1" x14ac:dyDescent="0.25">
      <c r="A4583" s="1"/>
    </row>
    <row r="4584" spans="1:1" ht="46.5" customHeight="1" x14ac:dyDescent="0.25">
      <c r="A4584" s="1"/>
    </row>
    <row r="4585" spans="1:1" ht="46.5" customHeight="1" x14ac:dyDescent="0.25">
      <c r="A4585" s="1"/>
    </row>
    <row r="4586" spans="1:1" ht="46.5" customHeight="1" x14ac:dyDescent="0.25">
      <c r="A4586" s="1"/>
    </row>
    <row r="4587" spans="1:1" ht="46.5" customHeight="1" x14ac:dyDescent="0.25">
      <c r="A4587" s="1"/>
    </row>
    <row r="4588" spans="1:1" ht="46.5" customHeight="1" x14ac:dyDescent="0.25">
      <c r="A4588" s="1"/>
    </row>
    <row r="4589" spans="1:1" ht="46.5" customHeight="1" x14ac:dyDescent="0.25">
      <c r="A4589" s="1"/>
    </row>
    <row r="4590" spans="1:1" ht="46.5" customHeight="1" x14ac:dyDescent="0.25">
      <c r="A4590" s="1"/>
    </row>
    <row r="4591" spans="1:1" ht="46.5" customHeight="1" x14ac:dyDescent="0.25">
      <c r="A4591" s="1"/>
    </row>
    <row r="4592" spans="1:1" ht="46.5" customHeight="1" x14ac:dyDescent="0.25">
      <c r="A4592" s="1"/>
    </row>
    <row r="4593" spans="1:1" ht="46.5" customHeight="1" x14ac:dyDescent="0.25">
      <c r="A4593" s="1"/>
    </row>
    <row r="4594" spans="1:1" ht="46.5" customHeight="1" x14ac:dyDescent="0.25">
      <c r="A4594" s="1"/>
    </row>
    <row r="4595" spans="1:1" ht="46.5" customHeight="1" x14ac:dyDescent="0.25">
      <c r="A4595" s="1"/>
    </row>
    <row r="4596" spans="1:1" ht="46.5" customHeight="1" x14ac:dyDescent="0.25">
      <c r="A4596" s="1"/>
    </row>
    <row r="4597" spans="1:1" ht="46.5" customHeight="1" x14ac:dyDescent="0.25">
      <c r="A4597" s="1"/>
    </row>
    <row r="4598" spans="1:1" ht="46.5" customHeight="1" x14ac:dyDescent="0.25">
      <c r="A4598" s="1"/>
    </row>
    <row r="4599" spans="1:1" ht="46.5" customHeight="1" x14ac:dyDescent="0.25">
      <c r="A4599" s="1"/>
    </row>
    <row r="4600" spans="1:1" ht="46.5" customHeight="1" x14ac:dyDescent="0.25">
      <c r="A4600" s="1"/>
    </row>
    <row r="4601" spans="1:1" ht="46.5" customHeight="1" x14ac:dyDescent="0.25">
      <c r="A4601" s="1"/>
    </row>
    <row r="4602" spans="1:1" ht="46.5" customHeight="1" x14ac:dyDescent="0.25">
      <c r="A4602" s="1"/>
    </row>
    <row r="4603" spans="1:1" ht="46.5" customHeight="1" x14ac:dyDescent="0.25">
      <c r="A4603" s="1"/>
    </row>
    <row r="4604" spans="1:1" ht="46.5" customHeight="1" x14ac:dyDescent="0.25">
      <c r="A4604" s="1"/>
    </row>
    <row r="4605" spans="1:1" ht="46.5" customHeight="1" x14ac:dyDescent="0.25">
      <c r="A4605" s="1"/>
    </row>
    <row r="4606" spans="1:1" ht="46.5" customHeight="1" x14ac:dyDescent="0.25">
      <c r="A4606" s="1"/>
    </row>
    <row r="4607" spans="1:1" ht="46.5" customHeight="1" x14ac:dyDescent="0.25">
      <c r="A4607" s="1"/>
    </row>
    <row r="4608" spans="1:1" ht="46.5" customHeight="1" x14ac:dyDescent="0.25">
      <c r="A4608" s="1"/>
    </row>
    <row r="4609" spans="1:1" ht="46.5" customHeight="1" x14ac:dyDescent="0.25">
      <c r="A4609" s="1"/>
    </row>
    <row r="4610" spans="1:1" ht="46.5" customHeight="1" x14ac:dyDescent="0.25">
      <c r="A4610" s="1"/>
    </row>
    <row r="4611" spans="1:1" ht="46.5" customHeight="1" x14ac:dyDescent="0.25">
      <c r="A4611" s="1"/>
    </row>
    <row r="4612" spans="1:1" ht="46.5" customHeight="1" x14ac:dyDescent="0.25">
      <c r="A4612" s="1"/>
    </row>
    <row r="4613" spans="1:1" ht="46.5" customHeight="1" x14ac:dyDescent="0.25">
      <c r="A4613" s="1"/>
    </row>
    <row r="4614" spans="1:1" ht="46.5" customHeight="1" x14ac:dyDescent="0.25">
      <c r="A4614" s="1"/>
    </row>
    <row r="4615" spans="1:1" ht="46.5" customHeight="1" x14ac:dyDescent="0.25">
      <c r="A4615" s="1"/>
    </row>
    <row r="4616" spans="1:1" ht="46.5" customHeight="1" x14ac:dyDescent="0.25">
      <c r="A4616" s="1"/>
    </row>
    <row r="4617" spans="1:1" ht="46.5" customHeight="1" x14ac:dyDescent="0.25">
      <c r="A4617" s="1"/>
    </row>
    <row r="4618" spans="1:1" ht="46.5" customHeight="1" x14ac:dyDescent="0.25">
      <c r="A4618" s="1"/>
    </row>
    <row r="4619" spans="1:1" ht="46.5" customHeight="1" x14ac:dyDescent="0.25">
      <c r="A4619" s="1"/>
    </row>
    <row r="4620" spans="1:1" ht="46.5" customHeight="1" x14ac:dyDescent="0.25">
      <c r="A4620" s="1"/>
    </row>
    <row r="4621" spans="1:1" ht="46.5" customHeight="1" x14ac:dyDescent="0.25">
      <c r="A4621" s="1"/>
    </row>
    <row r="4622" spans="1:1" ht="46.5" customHeight="1" x14ac:dyDescent="0.25">
      <c r="A4622" s="1"/>
    </row>
    <row r="4623" spans="1:1" ht="46.5" customHeight="1" x14ac:dyDescent="0.25">
      <c r="A4623" s="1"/>
    </row>
    <row r="4624" spans="1:1" ht="46.5" customHeight="1" x14ac:dyDescent="0.25">
      <c r="A4624" s="1"/>
    </row>
    <row r="4625" spans="1:1" ht="46.5" customHeight="1" x14ac:dyDescent="0.25">
      <c r="A4625" s="1"/>
    </row>
    <row r="4626" spans="1:1" ht="46.5" customHeight="1" x14ac:dyDescent="0.25">
      <c r="A4626" s="1"/>
    </row>
    <row r="4627" spans="1:1" ht="46.5" customHeight="1" x14ac:dyDescent="0.25">
      <c r="A4627" s="1"/>
    </row>
    <row r="4628" spans="1:1" ht="46.5" customHeight="1" x14ac:dyDescent="0.25">
      <c r="A4628" s="1"/>
    </row>
    <row r="4629" spans="1:1" ht="46.5" customHeight="1" x14ac:dyDescent="0.25">
      <c r="A4629" s="1"/>
    </row>
    <row r="4630" spans="1:1" ht="46.5" customHeight="1" x14ac:dyDescent="0.25">
      <c r="A4630" s="1"/>
    </row>
    <row r="4631" spans="1:1" ht="46.5" customHeight="1" x14ac:dyDescent="0.25">
      <c r="A4631" s="1"/>
    </row>
    <row r="4632" spans="1:1" ht="46.5" customHeight="1" x14ac:dyDescent="0.25">
      <c r="A4632" s="1"/>
    </row>
    <row r="4633" spans="1:1" ht="46.5" customHeight="1" x14ac:dyDescent="0.25">
      <c r="A4633" s="1"/>
    </row>
    <row r="4634" spans="1:1" ht="46.5" customHeight="1" x14ac:dyDescent="0.25">
      <c r="A4634" s="1"/>
    </row>
    <row r="4635" spans="1:1" ht="46.5" customHeight="1" x14ac:dyDescent="0.25">
      <c r="A4635" s="1"/>
    </row>
    <row r="4636" spans="1:1" ht="46.5" customHeight="1" x14ac:dyDescent="0.25">
      <c r="A4636" s="1"/>
    </row>
    <row r="4637" spans="1:1" ht="46.5" customHeight="1" x14ac:dyDescent="0.25">
      <c r="A4637" s="1"/>
    </row>
    <row r="4638" spans="1:1" ht="46.5" customHeight="1" x14ac:dyDescent="0.25">
      <c r="A4638" s="1"/>
    </row>
    <row r="4639" spans="1:1" ht="46.5" customHeight="1" x14ac:dyDescent="0.25">
      <c r="A4639" s="1"/>
    </row>
    <row r="4640" spans="1:1" ht="46.5" customHeight="1" x14ac:dyDescent="0.25">
      <c r="A4640" s="1"/>
    </row>
    <row r="4641" spans="1:1" ht="46.5" customHeight="1" x14ac:dyDescent="0.25">
      <c r="A4641" s="1"/>
    </row>
    <row r="4642" spans="1:1" ht="46.5" customHeight="1" x14ac:dyDescent="0.25">
      <c r="A4642" s="1"/>
    </row>
    <row r="4643" spans="1:1" ht="46.5" customHeight="1" x14ac:dyDescent="0.25">
      <c r="A4643" s="1"/>
    </row>
    <row r="4644" spans="1:1" ht="46.5" customHeight="1" x14ac:dyDescent="0.25">
      <c r="A4644" s="1"/>
    </row>
    <row r="4645" spans="1:1" ht="46.5" customHeight="1" x14ac:dyDescent="0.25">
      <c r="A4645" s="1"/>
    </row>
    <row r="4646" spans="1:1" ht="46.5" customHeight="1" x14ac:dyDescent="0.25">
      <c r="A4646" s="1"/>
    </row>
    <row r="4647" spans="1:1" ht="46.5" customHeight="1" x14ac:dyDescent="0.25">
      <c r="A4647" s="1"/>
    </row>
    <row r="4648" spans="1:1" ht="46.5" customHeight="1" x14ac:dyDescent="0.25">
      <c r="A4648" s="1"/>
    </row>
    <row r="4649" spans="1:1" ht="46.5" customHeight="1" x14ac:dyDescent="0.25">
      <c r="A4649" s="1"/>
    </row>
    <row r="4650" spans="1:1" ht="46.5" customHeight="1" x14ac:dyDescent="0.25">
      <c r="A4650" s="1"/>
    </row>
    <row r="4651" spans="1:1" ht="46.5" customHeight="1" x14ac:dyDescent="0.25">
      <c r="A4651" s="1"/>
    </row>
    <row r="4652" spans="1:1" ht="46.5" customHeight="1" x14ac:dyDescent="0.25">
      <c r="A4652" s="1"/>
    </row>
    <row r="4653" spans="1:1" ht="46.5" customHeight="1" x14ac:dyDescent="0.25">
      <c r="A4653" s="1"/>
    </row>
    <row r="4654" spans="1:1" ht="46.5" customHeight="1" x14ac:dyDescent="0.25">
      <c r="A4654" s="1"/>
    </row>
    <row r="4655" spans="1:1" ht="46.5" customHeight="1" x14ac:dyDescent="0.25">
      <c r="A4655" s="1"/>
    </row>
    <row r="4656" spans="1:1" ht="46.5" customHeight="1" x14ac:dyDescent="0.25">
      <c r="A4656" s="1"/>
    </row>
    <row r="4657" spans="1:1" ht="46.5" customHeight="1" x14ac:dyDescent="0.25">
      <c r="A4657" s="1"/>
    </row>
    <row r="4658" spans="1:1" ht="46.5" customHeight="1" x14ac:dyDescent="0.25">
      <c r="A4658" s="1"/>
    </row>
    <row r="4659" spans="1:1" ht="46.5" customHeight="1" x14ac:dyDescent="0.25">
      <c r="A4659" s="1"/>
    </row>
    <row r="4660" spans="1:1" ht="46.5" customHeight="1" x14ac:dyDescent="0.25">
      <c r="A4660" s="1"/>
    </row>
    <row r="4661" spans="1:1" ht="46.5" customHeight="1" x14ac:dyDescent="0.25">
      <c r="A4661" s="1"/>
    </row>
    <row r="4662" spans="1:1" ht="46.5" customHeight="1" x14ac:dyDescent="0.25">
      <c r="A4662" s="1"/>
    </row>
    <row r="4663" spans="1:1" ht="46.5" customHeight="1" x14ac:dyDescent="0.25">
      <c r="A4663" s="1"/>
    </row>
    <row r="4664" spans="1:1" ht="46.5" customHeight="1" x14ac:dyDescent="0.25">
      <c r="A4664" s="1"/>
    </row>
    <row r="4665" spans="1:1" ht="46.5" customHeight="1" x14ac:dyDescent="0.25">
      <c r="A4665" s="1"/>
    </row>
    <row r="4666" spans="1:1" ht="46.5" customHeight="1" x14ac:dyDescent="0.25">
      <c r="A4666" s="1"/>
    </row>
    <row r="4667" spans="1:1" ht="46.5" customHeight="1" x14ac:dyDescent="0.25">
      <c r="A4667" s="1"/>
    </row>
    <row r="4668" spans="1:1" ht="46.5" customHeight="1" x14ac:dyDescent="0.25">
      <c r="A4668" s="1"/>
    </row>
    <row r="4669" spans="1:1" ht="46.5" customHeight="1" x14ac:dyDescent="0.25">
      <c r="A4669" s="1"/>
    </row>
    <row r="4670" spans="1:1" ht="46.5" customHeight="1" x14ac:dyDescent="0.25">
      <c r="A4670" s="1"/>
    </row>
    <row r="4671" spans="1:1" ht="46.5" customHeight="1" x14ac:dyDescent="0.25">
      <c r="A4671" s="1"/>
    </row>
    <row r="4672" spans="1:1" ht="46.5" customHeight="1" x14ac:dyDescent="0.25">
      <c r="A4672" s="1"/>
    </row>
    <row r="4673" spans="1:1" ht="46.5" customHeight="1" x14ac:dyDescent="0.25">
      <c r="A4673" s="1"/>
    </row>
    <row r="4674" spans="1:1" ht="46.5" customHeight="1" x14ac:dyDescent="0.25">
      <c r="A4674" s="1"/>
    </row>
    <row r="4675" spans="1:1" ht="46.5" customHeight="1" x14ac:dyDescent="0.25">
      <c r="A4675" s="1"/>
    </row>
    <row r="4676" spans="1:1" ht="46.5" customHeight="1" x14ac:dyDescent="0.25">
      <c r="A4676" s="1"/>
    </row>
    <row r="4677" spans="1:1" ht="46.5" customHeight="1" x14ac:dyDescent="0.25">
      <c r="A4677" s="1"/>
    </row>
    <row r="4678" spans="1:1" ht="46.5" customHeight="1" x14ac:dyDescent="0.25">
      <c r="A4678" s="1"/>
    </row>
    <row r="4679" spans="1:1" ht="46.5" customHeight="1" x14ac:dyDescent="0.25">
      <c r="A4679" s="1"/>
    </row>
    <row r="4680" spans="1:1" ht="46.5" customHeight="1" x14ac:dyDescent="0.25">
      <c r="A4680" s="1"/>
    </row>
    <row r="4681" spans="1:1" ht="46.5" customHeight="1" x14ac:dyDescent="0.25">
      <c r="A4681" s="1"/>
    </row>
    <row r="4682" spans="1:1" ht="46.5" customHeight="1" x14ac:dyDescent="0.25">
      <c r="A4682" s="1"/>
    </row>
    <row r="4683" spans="1:1" ht="46.5" customHeight="1" x14ac:dyDescent="0.25">
      <c r="A4683" s="1"/>
    </row>
    <row r="4684" spans="1:1" ht="46.5" customHeight="1" x14ac:dyDescent="0.25">
      <c r="A4684" s="1"/>
    </row>
    <row r="4685" spans="1:1" ht="46.5" customHeight="1" x14ac:dyDescent="0.25">
      <c r="A4685" s="1"/>
    </row>
    <row r="4686" spans="1:1" ht="46.5" customHeight="1" x14ac:dyDescent="0.25">
      <c r="A4686" s="1"/>
    </row>
    <row r="4687" spans="1:1" ht="46.5" customHeight="1" x14ac:dyDescent="0.25">
      <c r="A4687" s="1"/>
    </row>
    <row r="4688" spans="1:1" ht="46.5" customHeight="1" x14ac:dyDescent="0.25">
      <c r="A4688" s="1"/>
    </row>
    <row r="4689" spans="1:1" ht="46.5" customHeight="1" x14ac:dyDescent="0.25">
      <c r="A4689" s="1"/>
    </row>
    <row r="4690" spans="1:1" ht="46.5" customHeight="1" x14ac:dyDescent="0.25">
      <c r="A4690" s="1"/>
    </row>
    <row r="4691" spans="1:1" ht="46.5" customHeight="1" x14ac:dyDescent="0.25">
      <c r="A4691" s="1"/>
    </row>
    <row r="4692" spans="1:1" ht="46.5" customHeight="1" x14ac:dyDescent="0.25">
      <c r="A4692" s="1"/>
    </row>
    <row r="4693" spans="1:1" ht="46.5" customHeight="1" x14ac:dyDescent="0.25">
      <c r="A4693" s="1"/>
    </row>
    <row r="4694" spans="1:1" ht="46.5" customHeight="1" x14ac:dyDescent="0.25">
      <c r="A4694" s="1"/>
    </row>
    <row r="4695" spans="1:1" ht="46.5" customHeight="1" x14ac:dyDescent="0.25">
      <c r="A4695" s="1"/>
    </row>
    <row r="4696" spans="1:1" ht="46.5" customHeight="1" x14ac:dyDescent="0.25">
      <c r="A4696" s="1"/>
    </row>
    <row r="4697" spans="1:1" ht="46.5" customHeight="1" x14ac:dyDescent="0.25">
      <c r="A4697" s="1"/>
    </row>
    <row r="4698" spans="1:1" ht="46.5" customHeight="1" x14ac:dyDescent="0.25">
      <c r="A4698" s="1"/>
    </row>
    <row r="4699" spans="1:1" ht="46.5" customHeight="1" x14ac:dyDescent="0.25">
      <c r="A4699" s="1"/>
    </row>
    <row r="4700" spans="1:1" ht="46.5" customHeight="1" x14ac:dyDescent="0.25">
      <c r="A4700" s="1"/>
    </row>
    <row r="4701" spans="1:1" ht="46.5" customHeight="1" x14ac:dyDescent="0.25">
      <c r="A4701" s="1"/>
    </row>
    <row r="4702" spans="1:1" ht="46.5" customHeight="1" x14ac:dyDescent="0.25">
      <c r="A4702" s="1"/>
    </row>
    <row r="4703" spans="1:1" ht="46.5" customHeight="1" x14ac:dyDescent="0.25">
      <c r="A4703" s="1"/>
    </row>
    <row r="4704" spans="1:1" ht="46.5" customHeight="1" x14ac:dyDescent="0.25">
      <c r="A4704" s="1"/>
    </row>
    <row r="4705" spans="1:1" ht="46.5" customHeight="1" x14ac:dyDescent="0.25">
      <c r="A4705" s="1"/>
    </row>
    <row r="4706" spans="1:1" ht="46.5" customHeight="1" x14ac:dyDescent="0.25">
      <c r="A4706" s="1"/>
    </row>
    <row r="4707" spans="1:1" ht="46.5" customHeight="1" x14ac:dyDescent="0.25">
      <c r="A4707" s="1"/>
    </row>
    <row r="4708" spans="1:1" ht="46.5" customHeight="1" x14ac:dyDescent="0.25">
      <c r="A4708" s="1"/>
    </row>
    <row r="4709" spans="1:1" ht="46.5" customHeight="1" x14ac:dyDescent="0.25">
      <c r="A4709" s="1"/>
    </row>
    <row r="4710" spans="1:1" ht="46.5" customHeight="1" x14ac:dyDescent="0.25">
      <c r="A4710" s="1"/>
    </row>
    <row r="4711" spans="1:1" ht="46.5" customHeight="1" x14ac:dyDescent="0.25">
      <c r="A4711" s="1"/>
    </row>
    <row r="4712" spans="1:1" ht="46.5" customHeight="1" x14ac:dyDescent="0.25">
      <c r="A4712" s="1"/>
    </row>
    <row r="4713" spans="1:1" ht="46.5" customHeight="1" x14ac:dyDescent="0.25">
      <c r="A4713" s="1"/>
    </row>
    <row r="4714" spans="1:1" ht="46.5" customHeight="1" x14ac:dyDescent="0.25">
      <c r="A4714" s="1"/>
    </row>
    <row r="4715" spans="1:1" ht="46.5" customHeight="1" x14ac:dyDescent="0.25">
      <c r="A4715" s="1"/>
    </row>
    <row r="4716" spans="1:1" ht="46.5" customHeight="1" x14ac:dyDescent="0.25">
      <c r="A4716" s="1"/>
    </row>
    <row r="4717" spans="1:1" ht="46.5" customHeight="1" x14ac:dyDescent="0.25">
      <c r="A4717" s="1"/>
    </row>
    <row r="4718" spans="1:1" ht="46.5" customHeight="1" x14ac:dyDescent="0.25">
      <c r="A4718" s="1"/>
    </row>
    <row r="4719" spans="1:1" ht="46.5" customHeight="1" x14ac:dyDescent="0.25">
      <c r="A4719" s="1"/>
    </row>
    <row r="4720" spans="1:1" ht="46.5" customHeight="1" x14ac:dyDescent="0.25">
      <c r="A4720" s="1"/>
    </row>
    <row r="4721" spans="1:1" ht="46.5" customHeight="1" x14ac:dyDescent="0.25">
      <c r="A4721" s="1"/>
    </row>
    <row r="4722" spans="1:1" ht="46.5" customHeight="1" x14ac:dyDescent="0.25">
      <c r="A4722" s="1"/>
    </row>
    <row r="4723" spans="1:1" ht="46.5" customHeight="1" x14ac:dyDescent="0.25">
      <c r="A4723" s="1"/>
    </row>
    <row r="4724" spans="1:1" ht="46.5" customHeight="1" x14ac:dyDescent="0.25">
      <c r="A4724" s="1"/>
    </row>
    <row r="4725" spans="1:1" ht="46.5" customHeight="1" x14ac:dyDescent="0.25">
      <c r="A4725" s="1"/>
    </row>
    <row r="4726" spans="1:1" ht="46.5" customHeight="1" x14ac:dyDescent="0.25">
      <c r="A4726" s="1"/>
    </row>
    <row r="4727" spans="1:1" ht="46.5" customHeight="1" x14ac:dyDescent="0.25">
      <c r="A4727" s="1"/>
    </row>
    <row r="4728" spans="1:1" ht="46.5" customHeight="1" x14ac:dyDescent="0.25">
      <c r="A4728" s="1"/>
    </row>
    <row r="4729" spans="1:1" ht="46.5" customHeight="1" x14ac:dyDescent="0.25">
      <c r="A4729" s="1"/>
    </row>
    <row r="4730" spans="1:1" ht="46.5" customHeight="1" x14ac:dyDescent="0.25">
      <c r="A4730" s="1"/>
    </row>
    <row r="4731" spans="1:1" ht="46.5" customHeight="1" x14ac:dyDescent="0.25">
      <c r="A4731" s="1"/>
    </row>
    <row r="4732" spans="1:1" ht="46.5" customHeight="1" x14ac:dyDescent="0.25">
      <c r="A4732" s="1"/>
    </row>
    <row r="4733" spans="1:1" ht="46.5" customHeight="1" x14ac:dyDescent="0.25">
      <c r="A4733" s="1"/>
    </row>
    <row r="4734" spans="1:1" ht="46.5" customHeight="1" x14ac:dyDescent="0.25">
      <c r="A4734" s="1"/>
    </row>
    <row r="4735" spans="1:1" ht="46.5" customHeight="1" x14ac:dyDescent="0.25">
      <c r="A4735" s="1"/>
    </row>
    <row r="4736" spans="1:1" ht="46.5" customHeight="1" x14ac:dyDescent="0.25">
      <c r="A4736" s="1"/>
    </row>
    <row r="4737" spans="1:1" ht="46.5" customHeight="1" x14ac:dyDescent="0.25">
      <c r="A4737" s="1"/>
    </row>
    <row r="4738" spans="1:1" ht="46.5" customHeight="1" x14ac:dyDescent="0.25">
      <c r="A4738" s="1"/>
    </row>
    <row r="4739" spans="1:1" ht="46.5" customHeight="1" x14ac:dyDescent="0.25">
      <c r="A4739" s="1"/>
    </row>
    <row r="4740" spans="1:1" ht="46.5" customHeight="1" x14ac:dyDescent="0.25">
      <c r="A4740" s="1"/>
    </row>
    <row r="4741" spans="1:1" ht="46.5" customHeight="1" x14ac:dyDescent="0.25">
      <c r="A4741" s="1"/>
    </row>
    <row r="4742" spans="1:1" ht="46.5" customHeight="1" x14ac:dyDescent="0.25">
      <c r="A4742" s="1"/>
    </row>
    <row r="4743" spans="1:1" ht="46.5" customHeight="1" x14ac:dyDescent="0.25">
      <c r="A4743" s="1"/>
    </row>
    <row r="4744" spans="1:1" ht="46.5" customHeight="1" x14ac:dyDescent="0.25">
      <c r="A4744" s="1"/>
    </row>
    <row r="4745" spans="1:1" ht="46.5" customHeight="1" x14ac:dyDescent="0.25">
      <c r="A4745" s="1"/>
    </row>
    <row r="4746" spans="1:1" ht="46.5" customHeight="1" x14ac:dyDescent="0.25">
      <c r="A4746" s="1"/>
    </row>
    <row r="4747" spans="1:1" ht="46.5" customHeight="1" x14ac:dyDescent="0.25">
      <c r="A4747" s="1"/>
    </row>
    <row r="4748" spans="1:1" ht="46.5" customHeight="1" x14ac:dyDescent="0.25">
      <c r="A4748" s="1"/>
    </row>
    <row r="4749" spans="1:1" ht="46.5" customHeight="1" x14ac:dyDescent="0.25">
      <c r="A4749" s="1"/>
    </row>
    <row r="4750" spans="1:1" ht="46.5" customHeight="1" x14ac:dyDescent="0.25">
      <c r="A4750" s="1"/>
    </row>
    <row r="4751" spans="1:1" ht="46.5" customHeight="1" x14ac:dyDescent="0.25">
      <c r="A4751" s="1"/>
    </row>
    <row r="4752" spans="1:1" ht="46.5" customHeight="1" x14ac:dyDescent="0.25">
      <c r="A4752" s="1"/>
    </row>
    <row r="4753" spans="1:1" ht="46.5" customHeight="1" x14ac:dyDescent="0.25">
      <c r="A4753" s="1"/>
    </row>
    <row r="4754" spans="1:1" ht="46.5" customHeight="1" x14ac:dyDescent="0.25">
      <c r="A4754" s="1"/>
    </row>
    <row r="4755" spans="1:1" ht="46.5" customHeight="1" x14ac:dyDescent="0.25">
      <c r="A4755" s="1"/>
    </row>
    <row r="4756" spans="1:1" ht="46.5" customHeight="1" x14ac:dyDescent="0.25">
      <c r="A4756" s="1"/>
    </row>
    <row r="4757" spans="1:1" ht="46.5" customHeight="1" x14ac:dyDescent="0.25">
      <c r="A4757" s="1"/>
    </row>
    <row r="4758" spans="1:1" ht="46.5" customHeight="1" x14ac:dyDescent="0.25">
      <c r="A4758" s="1"/>
    </row>
    <row r="4759" spans="1:1" ht="46.5" customHeight="1" x14ac:dyDescent="0.25">
      <c r="A4759" s="1"/>
    </row>
    <row r="4760" spans="1:1" ht="46.5" customHeight="1" x14ac:dyDescent="0.25">
      <c r="A4760" s="1"/>
    </row>
    <row r="4761" spans="1:1" ht="46.5" customHeight="1" x14ac:dyDescent="0.25">
      <c r="A4761" s="1"/>
    </row>
    <row r="4762" spans="1:1" ht="46.5" customHeight="1" x14ac:dyDescent="0.25">
      <c r="A4762" s="1"/>
    </row>
    <row r="4763" spans="1:1" ht="46.5" customHeight="1" x14ac:dyDescent="0.25">
      <c r="A4763" s="1"/>
    </row>
    <row r="4764" spans="1:1" ht="46.5" customHeight="1" x14ac:dyDescent="0.25">
      <c r="A4764" s="1"/>
    </row>
    <row r="4765" spans="1:1" ht="46.5" customHeight="1" x14ac:dyDescent="0.25">
      <c r="A4765" s="1"/>
    </row>
    <row r="4766" spans="1:1" ht="46.5" customHeight="1" x14ac:dyDescent="0.25">
      <c r="A4766" s="1"/>
    </row>
    <row r="4767" spans="1:1" ht="46.5" customHeight="1" x14ac:dyDescent="0.25">
      <c r="A4767" s="1"/>
    </row>
    <row r="4768" spans="1:1" ht="46.5" customHeight="1" x14ac:dyDescent="0.25">
      <c r="A4768" s="1"/>
    </row>
    <row r="4769" spans="1:1" ht="46.5" customHeight="1" x14ac:dyDescent="0.25">
      <c r="A4769" s="1"/>
    </row>
    <row r="4770" spans="1:1" ht="46.5" customHeight="1" x14ac:dyDescent="0.25">
      <c r="A4770" s="1"/>
    </row>
    <row r="4771" spans="1:1" ht="46.5" customHeight="1" x14ac:dyDescent="0.25">
      <c r="A4771" s="1"/>
    </row>
    <row r="4772" spans="1:1" ht="46.5" customHeight="1" x14ac:dyDescent="0.25">
      <c r="A4772" s="1"/>
    </row>
    <row r="4773" spans="1:1" ht="46.5" customHeight="1" x14ac:dyDescent="0.25">
      <c r="A4773" s="1"/>
    </row>
    <row r="4774" spans="1:1" ht="46.5" customHeight="1" x14ac:dyDescent="0.25">
      <c r="A4774" s="1"/>
    </row>
    <row r="4775" spans="1:1" ht="46.5" customHeight="1" x14ac:dyDescent="0.25">
      <c r="A4775" s="1"/>
    </row>
    <row r="4776" spans="1:1" ht="46.5" customHeight="1" x14ac:dyDescent="0.25">
      <c r="A4776" s="1"/>
    </row>
    <row r="4777" spans="1:1" ht="46.5" customHeight="1" x14ac:dyDescent="0.25">
      <c r="A4777" s="1"/>
    </row>
    <row r="4778" spans="1:1" ht="46.5" customHeight="1" x14ac:dyDescent="0.25">
      <c r="A4778" s="1"/>
    </row>
    <row r="4779" spans="1:1" ht="46.5" customHeight="1" x14ac:dyDescent="0.25">
      <c r="A4779" s="1"/>
    </row>
    <row r="4780" spans="1:1" ht="46.5" customHeight="1" x14ac:dyDescent="0.25">
      <c r="A4780" s="1"/>
    </row>
    <row r="4781" spans="1:1" ht="46.5" customHeight="1" x14ac:dyDescent="0.25">
      <c r="A4781" s="1"/>
    </row>
    <row r="4782" spans="1:1" ht="46.5" customHeight="1" x14ac:dyDescent="0.25">
      <c r="A4782" s="1"/>
    </row>
    <row r="4783" spans="1:1" ht="46.5" customHeight="1" x14ac:dyDescent="0.25">
      <c r="A4783" s="1"/>
    </row>
    <row r="4784" spans="1:1" ht="46.5" customHeight="1" x14ac:dyDescent="0.25">
      <c r="A4784" s="1"/>
    </row>
    <row r="4785" spans="1:1" ht="46.5" customHeight="1" x14ac:dyDescent="0.25">
      <c r="A4785" s="1"/>
    </row>
    <row r="4786" spans="1:1" ht="46.5" customHeight="1" x14ac:dyDescent="0.25">
      <c r="A4786" s="1"/>
    </row>
    <row r="4787" spans="1:1" ht="46.5" customHeight="1" x14ac:dyDescent="0.25">
      <c r="A4787" s="1"/>
    </row>
    <row r="4788" spans="1:1" ht="46.5" customHeight="1" x14ac:dyDescent="0.25">
      <c r="A4788" s="1"/>
    </row>
    <row r="4789" spans="1:1" ht="46.5" customHeight="1" x14ac:dyDescent="0.25">
      <c r="A4789" s="1"/>
    </row>
    <row r="4790" spans="1:1" ht="46.5" customHeight="1" x14ac:dyDescent="0.25">
      <c r="A4790" s="1"/>
    </row>
    <row r="4791" spans="1:1" ht="46.5" customHeight="1" x14ac:dyDescent="0.25">
      <c r="A4791" s="1"/>
    </row>
    <row r="4792" spans="1:1" ht="46.5" customHeight="1" x14ac:dyDescent="0.25">
      <c r="A4792" s="1"/>
    </row>
    <row r="4793" spans="1:1" ht="46.5" customHeight="1" x14ac:dyDescent="0.25">
      <c r="A4793" s="1"/>
    </row>
    <row r="4794" spans="1:1" ht="46.5" customHeight="1" x14ac:dyDescent="0.25">
      <c r="A4794" s="1"/>
    </row>
    <row r="4795" spans="1:1" ht="46.5" customHeight="1" x14ac:dyDescent="0.25">
      <c r="A4795" s="1"/>
    </row>
    <row r="4796" spans="1:1" ht="46.5" customHeight="1" x14ac:dyDescent="0.25">
      <c r="A4796" s="1"/>
    </row>
    <row r="4797" spans="1:1" ht="46.5" customHeight="1" x14ac:dyDescent="0.25">
      <c r="A4797" s="1"/>
    </row>
    <row r="4798" spans="1:1" ht="46.5" customHeight="1" x14ac:dyDescent="0.25">
      <c r="A4798" s="1"/>
    </row>
    <row r="4799" spans="1:1" ht="46.5" customHeight="1" x14ac:dyDescent="0.25">
      <c r="A4799" s="1"/>
    </row>
    <row r="4800" spans="1:1" ht="46.5" customHeight="1" x14ac:dyDescent="0.25">
      <c r="A4800" s="1"/>
    </row>
    <row r="4801" spans="1:1" ht="46.5" customHeight="1" x14ac:dyDescent="0.25">
      <c r="A4801" s="1"/>
    </row>
    <row r="4802" spans="1:1" ht="46.5" customHeight="1" x14ac:dyDescent="0.25">
      <c r="A4802" s="1"/>
    </row>
    <row r="4803" spans="1:1" ht="46.5" customHeight="1" x14ac:dyDescent="0.25">
      <c r="A4803" s="1"/>
    </row>
    <row r="4804" spans="1:1" ht="46.5" customHeight="1" x14ac:dyDescent="0.25">
      <c r="A4804" s="1"/>
    </row>
    <row r="4805" spans="1:1" ht="46.5" customHeight="1" x14ac:dyDescent="0.25">
      <c r="A4805" s="1"/>
    </row>
    <row r="4806" spans="1:1" ht="46.5" customHeight="1" x14ac:dyDescent="0.25">
      <c r="A4806" s="1"/>
    </row>
    <row r="4807" spans="1:1" ht="46.5" customHeight="1" x14ac:dyDescent="0.25">
      <c r="A4807" s="1"/>
    </row>
    <row r="4808" spans="1:1" ht="46.5" customHeight="1" x14ac:dyDescent="0.25">
      <c r="A4808" s="1"/>
    </row>
    <row r="4809" spans="1:1" ht="46.5" customHeight="1" x14ac:dyDescent="0.25">
      <c r="A4809" s="1"/>
    </row>
    <row r="4810" spans="1:1" ht="46.5" customHeight="1" x14ac:dyDescent="0.25">
      <c r="A4810" s="1"/>
    </row>
    <row r="4811" spans="1:1" ht="46.5" customHeight="1" x14ac:dyDescent="0.25">
      <c r="A4811" s="1"/>
    </row>
    <row r="4812" spans="1:1" ht="46.5" customHeight="1" x14ac:dyDescent="0.25">
      <c r="A4812" s="1"/>
    </row>
    <row r="4813" spans="1:1" ht="46.5" customHeight="1" x14ac:dyDescent="0.25">
      <c r="A4813" s="1"/>
    </row>
    <row r="4814" spans="1:1" ht="46.5" customHeight="1" x14ac:dyDescent="0.25">
      <c r="A4814" s="1"/>
    </row>
    <row r="4815" spans="1:1" ht="46.5" customHeight="1" x14ac:dyDescent="0.25">
      <c r="A4815" s="1"/>
    </row>
    <row r="4816" spans="1:1" ht="46.5" customHeight="1" x14ac:dyDescent="0.25">
      <c r="A4816" s="1"/>
    </row>
    <row r="4817" spans="1:1" ht="46.5" customHeight="1" x14ac:dyDescent="0.25">
      <c r="A4817" s="1"/>
    </row>
    <row r="4818" spans="1:1" ht="46.5" customHeight="1" x14ac:dyDescent="0.25">
      <c r="A4818" s="1"/>
    </row>
    <row r="4819" spans="1:1" ht="46.5" customHeight="1" x14ac:dyDescent="0.25">
      <c r="A4819" s="1"/>
    </row>
    <row r="4820" spans="1:1" ht="46.5" customHeight="1" x14ac:dyDescent="0.25">
      <c r="A4820" s="1"/>
    </row>
    <row r="4821" spans="1:1" ht="46.5" customHeight="1" x14ac:dyDescent="0.25">
      <c r="A4821" s="1"/>
    </row>
    <row r="4822" spans="1:1" ht="46.5" customHeight="1" x14ac:dyDescent="0.25">
      <c r="A4822" s="1"/>
    </row>
    <row r="4823" spans="1:1" ht="46.5" customHeight="1" x14ac:dyDescent="0.25">
      <c r="A4823" s="1"/>
    </row>
    <row r="4824" spans="1:1" ht="46.5" customHeight="1" x14ac:dyDescent="0.25">
      <c r="A4824" s="1"/>
    </row>
    <row r="4825" spans="1:1" ht="46.5" customHeight="1" x14ac:dyDescent="0.25">
      <c r="A4825" s="1"/>
    </row>
    <row r="4826" spans="1:1" ht="46.5" customHeight="1" x14ac:dyDescent="0.25">
      <c r="A4826" s="1"/>
    </row>
    <row r="4827" spans="1:1" ht="46.5" customHeight="1" x14ac:dyDescent="0.25">
      <c r="A4827" s="1"/>
    </row>
    <row r="4828" spans="1:1" ht="46.5" customHeight="1" x14ac:dyDescent="0.25">
      <c r="A4828" s="1"/>
    </row>
    <row r="4829" spans="1:1" ht="46.5" customHeight="1" x14ac:dyDescent="0.25">
      <c r="A4829" s="1"/>
    </row>
    <row r="4830" spans="1:1" ht="46.5" customHeight="1" x14ac:dyDescent="0.25">
      <c r="A4830" s="1"/>
    </row>
    <row r="4831" spans="1:1" ht="46.5" customHeight="1" x14ac:dyDescent="0.25">
      <c r="A4831" s="1"/>
    </row>
    <row r="4832" spans="1:1" ht="46.5" customHeight="1" x14ac:dyDescent="0.25">
      <c r="A4832" s="1"/>
    </row>
    <row r="4833" spans="1:1" ht="46.5" customHeight="1" x14ac:dyDescent="0.25">
      <c r="A4833" s="1"/>
    </row>
    <row r="4834" spans="1:1" ht="46.5" customHeight="1" x14ac:dyDescent="0.25">
      <c r="A4834" s="1"/>
    </row>
    <row r="4835" spans="1:1" ht="46.5" customHeight="1" x14ac:dyDescent="0.25">
      <c r="A4835" s="1"/>
    </row>
    <row r="4836" spans="1:1" ht="46.5" customHeight="1" x14ac:dyDescent="0.25">
      <c r="A4836" s="1"/>
    </row>
    <row r="4837" spans="1:1" ht="46.5" customHeight="1" x14ac:dyDescent="0.25">
      <c r="A4837" s="1"/>
    </row>
    <row r="4838" spans="1:1" ht="46.5" customHeight="1" x14ac:dyDescent="0.25">
      <c r="A4838" s="1"/>
    </row>
    <row r="4839" spans="1:1" ht="46.5" customHeight="1" x14ac:dyDescent="0.25">
      <c r="A4839" s="1"/>
    </row>
    <row r="4840" spans="1:1" ht="46.5" customHeight="1" x14ac:dyDescent="0.25">
      <c r="A4840" s="1"/>
    </row>
    <row r="4841" spans="1:1" ht="46.5" customHeight="1" x14ac:dyDescent="0.25">
      <c r="A4841" s="1"/>
    </row>
    <row r="4842" spans="1:1" ht="46.5" customHeight="1" x14ac:dyDescent="0.25">
      <c r="A4842" s="1"/>
    </row>
    <row r="4843" spans="1:1" ht="46.5" customHeight="1" x14ac:dyDescent="0.25">
      <c r="A4843" s="1"/>
    </row>
    <row r="4844" spans="1:1" ht="46.5" customHeight="1" x14ac:dyDescent="0.25">
      <c r="A4844" s="1"/>
    </row>
    <row r="4845" spans="1:1" ht="46.5" customHeight="1" x14ac:dyDescent="0.25">
      <c r="A4845" s="1"/>
    </row>
    <row r="4846" spans="1:1" ht="46.5" customHeight="1" x14ac:dyDescent="0.25">
      <c r="A4846" s="1"/>
    </row>
    <row r="4847" spans="1:1" ht="46.5" customHeight="1" x14ac:dyDescent="0.25">
      <c r="A4847" s="1"/>
    </row>
    <row r="4848" spans="1:1" ht="46.5" customHeight="1" x14ac:dyDescent="0.25">
      <c r="A4848" s="1"/>
    </row>
    <row r="4849" spans="1:1" ht="46.5" customHeight="1" x14ac:dyDescent="0.25">
      <c r="A4849" s="1"/>
    </row>
    <row r="4850" spans="1:1" ht="46.5" customHeight="1" x14ac:dyDescent="0.25">
      <c r="A4850" s="1"/>
    </row>
    <row r="4851" spans="1:1" ht="46.5" customHeight="1" x14ac:dyDescent="0.25">
      <c r="A4851" s="1"/>
    </row>
    <row r="4852" spans="1:1" ht="46.5" customHeight="1" x14ac:dyDescent="0.25">
      <c r="A4852" s="1"/>
    </row>
    <row r="4853" spans="1:1" ht="46.5" customHeight="1" x14ac:dyDescent="0.25">
      <c r="A4853" s="1"/>
    </row>
    <row r="4854" spans="1:1" ht="46.5" customHeight="1" x14ac:dyDescent="0.25">
      <c r="A4854" s="1"/>
    </row>
    <row r="4855" spans="1:1" ht="46.5" customHeight="1" x14ac:dyDescent="0.25">
      <c r="A4855" s="1"/>
    </row>
    <row r="4856" spans="1:1" ht="46.5" customHeight="1" x14ac:dyDescent="0.25">
      <c r="A4856" s="1"/>
    </row>
    <row r="4857" spans="1:1" ht="46.5" customHeight="1" x14ac:dyDescent="0.25">
      <c r="A4857" s="1"/>
    </row>
    <row r="4858" spans="1:1" ht="46.5" customHeight="1" x14ac:dyDescent="0.25">
      <c r="A4858" s="1"/>
    </row>
    <row r="4859" spans="1:1" ht="46.5" customHeight="1" x14ac:dyDescent="0.25">
      <c r="A4859" s="1"/>
    </row>
    <row r="4860" spans="1:1" ht="46.5" customHeight="1" x14ac:dyDescent="0.25">
      <c r="A4860" s="1"/>
    </row>
    <row r="4861" spans="1:1" ht="46.5" customHeight="1" x14ac:dyDescent="0.25">
      <c r="A4861" s="1"/>
    </row>
    <row r="4862" spans="1:1" ht="46.5" customHeight="1" x14ac:dyDescent="0.25">
      <c r="A4862" s="1"/>
    </row>
    <row r="4863" spans="1:1" ht="46.5" customHeight="1" x14ac:dyDescent="0.25">
      <c r="A4863" s="1"/>
    </row>
    <row r="4864" spans="1:1" ht="46.5" customHeight="1" x14ac:dyDescent="0.25">
      <c r="A4864" s="1"/>
    </row>
    <row r="4865" spans="1:1" ht="46.5" customHeight="1" x14ac:dyDescent="0.25">
      <c r="A4865" s="1"/>
    </row>
    <row r="4866" spans="1:1" ht="46.5" customHeight="1" x14ac:dyDescent="0.25">
      <c r="A4866" s="1"/>
    </row>
    <row r="4867" spans="1:1" ht="46.5" customHeight="1" x14ac:dyDescent="0.25">
      <c r="A4867" s="1"/>
    </row>
    <row r="4868" spans="1:1" ht="46.5" customHeight="1" x14ac:dyDescent="0.25">
      <c r="A4868" s="1"/>
    </row>
    <row r="4869" spans="1:1" ht="46.5" customHeight="1" x14ac:dyDescent="0.25">
      <c r="A4869" s="1"/>
    </row>
    <row r="4870" spans="1:1" ht="46.5" customHeight="1" x14ac:dyDescent="0.25">
      <c r="A4870" s="1"/>
    </row>
    <row r="4871" spans="1:1" ht="46.5" customHeight="1" x14ac:dyDescent="0.25">
      <c r="A4871" s="1"/>
    </row>
    <row r="4872" spans="1:1" ht="46.5" customHeight="1" x14ac:dyDescent="0.25">
      <c r="A4872" s="1"/>
    </row>
    <row r="4873" spans="1:1" ht="46.5" customHeight="1" x14ac:dyDescent="0.25">
      <c r="A4873" s="1"/>
    </row>
    <row r="4874" spans="1:1" ht="46.5" customHeight="1" x14ac:dyDescent="0.25">
      <c r="A4874" s="1"/>
    </row>
    <row r="4875" spans="1:1" ht="46.5" customHeight="1" x14ac:dyDescent="0.25">
      <c r="A4875" s="1"/>
    </row>
    <row r="4876" spans="1:1" ht="46.5" customHeight="1" x14ac:dyDescent="0.25">
      <c r="A4876" s="1"/>
    </row>
    <row r="4877" spans="1:1" ht="46.5" customHeight="1" x14ac:dyDescent="0.25">
      <c r="A4877" s="1"/>
    </row>
    <row r="4878" spans="1:1" ht="46.5" customHeight="1" x14ac:dyDescent="0.25">
      <c r="A4878" s="1"/>
    </row>
    <row r="4879" spans="1:1" ht="46.5" customHeight="1" x14ac:dyDescent="0.25">
      <c r="A4879" s="1"/>
    </row>
    <row r="4880" spans="1:1" ht="46.5" customHeight="1" x14ac:dyDescent="0.25">
      <c r="A4880" s="1"/>
    </row>
    <row r="4881" spans="1:1" ht="46.5" customHeight="1" x14ac:dyDescent="0.25">
      <c r="A4881" s="1"/>
    </row>
    <row r="4882" spans="1:1" ht="46.5" customHeight="1" x14ac:dyDescent="0.25">
      <c r="A4882" s="1"/>
    </row>
    <row r="4883" spans="1:1" ht="46.5" customHeight="1" x14ac:dyDescent="0.25">
      <c r="A4883" s="1"/>
    </row>
    <row r="4884" spans="1:1" ht="46.5" customHeight="1" x14ac:dyDescent="0.25">
      <c r="A4884" s="1"/>
    </row>
    <row r="4885" spans="1:1" ht="46.5" customHeight="1" x14ac:dyDescent="0.25">
      <c r="A4885" s="1"/>
    </row>
    <row r="4886" spans="1:1" ht="46.5" customHeight="1" x14ac:dyDescent="0.25">
      <c r="A4886" s="1"/>
    </row>
    <row r="4887" spans="1:1" ht="46.5" customHeight="1" x14ac:dyDescent="0.25">
      <c r="A4887" s="1"/>
    </row>
    <row r="4888" spans="1:1" ht="46.5" customHeight="1" x14ac:dyDescent="0.25">
      <c r="A4888" s="1"/>
    </row>
    <row r="4889" spans="1:1" ht="46.5" customHeight="1" x14ac:dyDescent="0.25">
      <c r="A4889" s="1"/>
    </row>
    <row r="4890" spans="1:1" ht="46.5" customHeight="1" x14ac:dyDescent="0.25">
      <c r="A4890" s="1"/>
    </row>
    <row r="4891" spans="1:1" ht="46.5" customHeight="1" x14ac:dyDescent="0.25">
      <c r="A4891" s="1"/>
    </row>
    <row r="4892" spans="1:1" ht="46.5" customHeight="1" x14ac:dyDescent="0.25">
      <c r="A4892" s="1"/>
    </row>
    <row r="4893" spans="1:1" ht="46.5" customHeight="1" x14ac:dyDescent="0.25">
      <c r="A4893" s="1"/>
    </row>
    <row r="4894" spans="1:1" ht="46.5" customHeight="1" x14ac:dyDescent="0.25">
      <c r="A4894" s="1"/>
    </row>
    <row r="4895" spans="1:1" ht="46.5" customHeight="1" x14ac:dyDescent="0.25">
      <c r="A4895" s="1"/>
    </row>
    <row r="4896" spans="1:1" ht="46.5" customHeight="1" x14ac:dyDescent="0.25">
      <c r="A4896" s="1"/>
    </row>
    <row r="4897" spans="1:1" ht="46.5" customHeight="1" x14ac:dyDescent="0.25">
      <c r="A4897" s="1"/>
    </row>
    <row r="4898" spans="1:1" ht="46.5" customHeight="1" x14ac:dyDescent="0.25">
      <c r="A4898" s="1"/>
    </row>
    <row r="4899" spans="1:1" ht="46.5" customHeight="1" x14ac:dyDescent="0.25">
      <c r="A4899" s="1"/>
    </row>
    <row r="4900" spans="1:1" ht="46.5" customHeight="1" x14ac:dyDescent="0.25">
      <c r="A4900" s="1"/>
    </row>
    <row r="4901" spans="1:1" ht="46.5" customHeight="1" x14ac:dyDescent="0.25">
      <c r="A4901" s="1"/>
    </row>
    <row r="4902" spans="1:1" ht="46.5" customHeight="1" x14ac:dyDescent="0.25">
      <c r="A4902" s="1"/>
    </row>
    <row r="4903" spans="1:1" ht="46.5" customHeight="1" x14ac:dyDescent="0.25">
      <c r="A4903" s="1"/>
    </row>
    <row r="4904" spans="1:1" ht="46.5" customHeight="1" x14ac:dyDescent="0.25">
      <c r="A4904" s="1"/>
    </row>
    <row r="4905" spans="1:1" ht="46.5" customHeight="1" x14ac:dyDescent="0.25">
      <c r="A4905" s="1"/>
    </row>
    <row r="4906" spans="1:1" ht="46.5" customHeight="1" x14ac:dyDescent="0.25">
      <c r="A4906" s="1"/>
    </row>
    <row r="4907" spans="1:1" ht="46.5" customHeight="1" x14ac:dyDescent="0.25">
      <c r="A4907" s="1"/>
    </row>
    <row r="4908" spans="1:1" ht="46.5" customHeight="1" x14ac:dyDescent="0.25">
      <c r="A4908" s="1"/>
    </row>
    <row r="4909" spans="1:1" ht="46.5" customHeight="1" x14ac:dyDescent="0.25">
      <c r="A4909" s="1"/>
    </row>
    <row r="4910" spans="1:1" ht="46.5" customHeight="1" x14ac:dyDescent="0.25">
      <c r="A4910" s="1"/>
    </row>
    <row r="4911" spans="1:1" ht="46.5" customHeight="1" x14ac:dyDescent="0.25">
      <c r="A4911" s="1"/>
    </row>
    <row r="4912" spans="1:1" ht="46.5" customHeight="1" x14ac:dyDescent="0.25">
      <c r="A4912" s="1"/>
    </row>
    <row r="4913" spans="1:1" ht="46.5" customHeight="1" x14ac:dyDescent="0.25">
      <c r="A4913" s="1"/>
    </row>
    <row r="4914" spans="1:1" ht="46.5" customHeight="1" x14ac:dyDescent="0.25">
      <c r="A4914" s="1"/>
    </row>
    <row r="4915" spans="1:1" ht="46.5" customHeight="1" x14ac:dyDescent="0.25">
      <c r="A4915" s="1"/>
    </row>
    <row r="4916" spans="1:1" ht="46.5" customHeight="1" x14ac:dyDescent="0.25">
      <c r="A4916" s="1"/>
    </row>
    <row r="4917" spans="1:1" ht="46.5" customHeight="1" x14ac:dyDescent="0.25">
      <c r="A4917" s="1"/>
    </row>
    <row r="4918" spans="1:1" ht="46.5" customHeight="1" x14ac:dyDescent="0.25">
      <c r="A4918" s="1"/>
    </row>
    <row r="4919" spans="1:1" ht="46.5" customHeight="1" x14ac:dyDescent="0.25">
      <c r="A4919" s="1"/>
    </row>
    <row r="4920" spans="1:1" ht="46.5" customHeight="1" x14ac:dyDescent="0.25">
      <c r="A4920" s="1"/>
    </row>
    <row r="4921" spans="1:1" ht="46.5" customHeight="1" x14ac:dyDescent="0.25">
      <c r="A4921" s="1"/>
    </row>
    <row r="4922" spans="1:1" ht="46.5" customHeight="1" x14ac:dyDescent="0.25">
      <c r="A4922" s="1"/>
    </row>
    <row r="4923" spans="1:1" ht="46.5" customHeight="1" x14ac:dyDescent="0.25">
      <c r="A4923" s="1"/>
    </row>
    <row r="4924" spans="1:1" ht="46.5" customHeight="1" x14ac:dyDescent="0.25">
      <c r="A4924" s="1"/>
    </row>
    <row r="4925" spans="1:1" ht="46.5" customHeight="1" x14ac:dyDescent="0.25">
      <c r="A4925" s="1"/>
    </row>
    <row r="4926" spans="1:1" ht="46.5" customHeight="1" x14ac:dyDescent="0.25">
      <c r="A4926" s="1"/>
    </row>
    <row r="4927" spans="1:1" ht="46.5" customHeight="1" x14ac:dyDescent="0.25">
      <c r="A4927" s="1"/>
    </row>
    <row r="4928" spans="1:1" ht="46.5" customHeight="1" x14ac:dyDescent="0.25">
      <c r="A4928" s="1"/>
    </row>
    <row r="4929" spans="1:1" ht="46.5" customHeight="1" x14ac:dyDescent="0.25">
      <c r="A4929" s="1"/>
    </row>
    <row r="4930" spans="1:1" ht="46.5" customHeight="1" x14ac:dyDescent="0.25">
      <c r="A4930" s="1"/>
    </row>
    <row r="4931" spans="1:1" ht="46.5" customHeight="1" x14ac:dyDescent="0.25">
      <c r="A4931" s="1"/>
    </row>
    <row r="4932" spans="1:1" ht="46.5" customHeight="1" x14ac:dyDescent="0.25">
      <c r="A4932" s="1"/>
    </row>
    <row r="4933" spans="1:1" ht="46.5" customHeight="1" x14ac:dyDescent="0.25">
      <c r="A4933" s="1"/>
    </row>
    <row r="4934" spans="1:1" ht="46.5" customHeight="1" x14ac:dyDescent="0.25">
      <c r="A4934" s="1"/>
    </row>
    <row r="4935" spans="1:1" ht="46.5" customHeight="1" x14ac:dyDescent="0.25">
      <c r="A4935" s="1"/>
    </row>
    <row r="4936" spans="1:1" ht="46.5" customHeight="1" x14ac:dyDescent="0.25">
      <c r="A4936" s="1"/>
    </row>
    <row r="4937" spans="1:1" ht="46.5" customHeight="1" x14ac:dyDescent="0.25">
      <c r="A4937" s="1"/>
    </row>
    <row r="4938" spans="1:1" ht="46.5" customHeight="1" x14ac:dyDescent="0.25">
      <c r="A4938" s="1"/>
    </row>
    <row r="4939" spans="1:1" ht="46.5" customHeight="1" x14ac:dyDescent="0.25">
      <c r="A4939" s="1"/>
    </row>
    <row r="4940" spans="1:1" ht="46.5" customHeight="1" x14ac:dyDescent="0.25">
      <c r="A4940" s="1"/>
    </row>
    <row r="4941" spans="1:1" ht="46.5" customHeight="1" x14ac:dyDescent="0.25">
      <c r="A4941" s="1"/>
    </row>
    <row r="4942" spans="1:1" ht="46.5" customHeight="1" x14ac:dyDescent="0.25">
      <c r="A4942" s="1"/>
    </row>
    <row r="4943" spans="1:1" ht="46.5" customHeight="1" x14ac:dyDescent="0.25">
      <c r="A4943" s="1"/>
    </row>
    <row r="4944" spans="1:1" ht="46.5" customHeight="1" x14ac:dyDescent="0.25">
      <c r="A4944" s="1"/>
    </row>
    <row r="4945" spans="1:1" ht="46.5" customHeight="1" x14ac:dyDescent="0.25">
      <c r="A4945" s="1"/>
    </row>
    <row r="4946" spans="1:1" ht="46.5" customHeight="1" x14ac:dyDescent="0.25">
      <c r="A4946" s="1"/>
    </row>
    <row r="4947" spans="1:1" ht="46.5" customHeight="1" x14ac:dyDescent="0.25">
      <c r="A4947" s="1"/>
    </row>
    <row r="4948" spans="1:1" ht="46.5" customHeight="1" x14ac:dyDescent="0.25">
      <c r="A4948" s="1"/>
    </row>
    <row r="4949" spans="1:1" ht="46.5" customHeight="1" x14ac:dyDescent="0.25">
      <c r="A4949" s="1"/>
    </row>
    <row r="4950" spans="1:1" ht="46.5" customHeight="1" x14ac:dyDescent="0.25">
      <c r="A4950" s="1"/>
    </row>
    <row r="4951" spans="1:1" ht="46.5" customHeight="1" x14ac:dyDescent="0.25">
      <c r="A4951" s="1"/>
    </row>
    <row r="4952" spans="1:1" ht="46.5" customHeight="1" x14ac:dyDescent="0.25">
      <c r="A4952" s="1"/>
    </row>
    <row r="4953" spans="1:1" ht="46.5" customHeight="1" x14ac:dyDescent="0.25">
      <c r="A4953" s="1"/>
    </row>
    <row r="4954" spans="1:1" ht="46.5" customHeight="1" x14ac:dyDescent="0.25">
      <c r="A4954" s="1"/>
    </row>
    <row r="4955" spans="1:1" ht="46.5" customHeight="1" x14ac:dyDescent="0.25">
      <c r="A4955" s="1"/>
    </row>
    <row r="4956" spans="1:1" ht="46.5" customHeight="1" x14ac:dyDescent="0.25">
      <c r="A4956" s="1"/>
    </row>
    <row r="4957" spans="1:1" ht="46.5" customHeight="1" x14ac:dyDescent="0.25">
      <c r="A4957" s="1"/>
    </row>
    <row r="4958" spans="1:1" ht="46.5" customHeight="1" x14ac:dyDescent="0.25">
      <c r="A4958" s="1"/>
    </row>
    <row r="4959" spans="1:1" ht="46.5" customHeight="1" x14ac:dyDescent="0.25">
      <c r="A4959" s="1"/>
    </row>
    <row r="4960" spans="1:1" ht="46.5" customHeight="1" x14ac:dyDescent="0.25">
      <c r="A4960" s="1"/>
    </row>
    <row r="4961" spans="1:1" ht="46.5" customHeight="1" x14ac:dyDescent="0.25">
      <c r="A4961" s="1"/>
    </row>
    <row r="4962" spans="1:1" ht="46.5" customHeight="1" x14ac:dyDescent="0.25">
      <c r="A4962" s="1"/>
    </row>
    <row r="4963" spans="1:1" ht="46.5" customHeight="1" x14ac:dyDescent="0.25">
      <c r="A4963" s="1"/>
    </row>
    <row r="4964" spans="1:1" ht="46.5" customHeight="1" x14ac:dyDescent="0.25">
      <c r="A4964" s="1"/>
    </row>
    <row r="4965" spans="1:1" ht="46.5" customHeight="1" x14ac:dyDescent="0.25">
      <c r="A4965" s="1"/>
    </row>
    <row r="4966" spans="1:1" ht="46.5" customHeight="1" x14ac:dyDescent="0.25">
      <c r="A4966" s="1"/>
    </row>
    <row r="4967" spans="1:1" ht="46.5" customHeight="1" x14ac:dyDescent="0.25">
      <c r="A4967" s="1"/>
    </row>
    <row r="4968" spans="1:1" ht="46.5" customHeight="1" x14ac:dyDescent="0.25">
      <c r="A4968" s="1"/>
    </row>
    <row r="4969" spans="1:1" ht="46.5" customHeight="1" x14ac:dyDescent="0.25">
      <c r="A4969" s="1"/>
    </row>
    <row r="4970" spans="1:1" ht="46.5" customHeight="1" x14ac:dyDescent="0.25">
      <c r="A4970" s="1"/>
    </row>
    <row r="4971" spans="1:1" ht="46.5" customHeight="1" x14ac:dyDescent="0.25">
      <c r="A4971" s="1"/>
    </row>
    <row r="4972" spans="1:1" ht="46.5" customHeight="1" x14ac:dyDescent="0.25">
      <c r="A4972" s="1"/>
    </row>
    <row r="4973" spans="1:1" ht="46.5" customHeight="1" x14ac:dyDescent="0.25">
      <c r="A4973" s="1"/>
    </row>
    <row r="4974" spans="1:1" ht="46.5" customHeight="1" x14ac:dyDescent="0.25">
      <c r="A4974" s="1"/>
    </row>
    <row r="4975" spans="1:1" ht="46.5" customHeight="1" x14ac:dyDescent="0.25">
      <c r="A4975" s="1"/>
    </row>
    <row r="4976" spans="1:1" ht="46.5" customHeight="1" x14ac:dyDescent="0.25">
      <c r="A4976" s="1"/>
    </row>
    <row r="4977" spans="1:1" ht="46.5" customHeight="1" x14ac:dyDescent="0.25">
      <c r="A4977" s="1"/>
    </row>
    <row r="4978" spans="1:1" ht="46.5" customHeight="1" x14ac:dyDescent="0.25">
      <c r="A4978" s="1"/>
    </row>
    <row r="4979" spans="1:1" ht="46.5" customHeight="1" x14ac:dyDescent="0.25">
      <c r="A4979" s="1"/>
    </row>
    <row r="4980" spans="1:1" ht="46.5" customHeight="1" x14ac:dyDescent="0.25">
      <c r="A4980" s="1"/>
    </row>
    <row r="4981" spans="1:1" ht="46.5" customHeight="1" x14ac:dyDescent="0.25">
      <c r="A4981" s="1"/>
    </row>
    <row r="4982" spans="1:1" ht="46.5" customHeight="1" x14ac:dyDescent="0.25">
      <c r="A4982" s="1"/>
    </row>
    <row r="4983" spans="1:1" ht="46.5" customHeight="1" x14ac:dyDescent="0.25">
      <c r="A4983" s="1"/>
    </row>
    <row r="4984" spans="1:1" ht="46.5" customHeight="1" x14ac:dyDescent="0.25">
      <c r="A4984" s="1"/>
    </row>
    <row r="4985" spans="1:1" ht="46.5" customHeight="1" x14ac:dyDescent="0.25">
      <c r="A4985" s="1"/>
    </row>
    <row r="4986" spans="1:1" ht="46.5" customHeight="1" x14ac:dyDescent="0.25">
      <c r="A4986" s="1"/>
    </row>
    <row r="4987" spans="1:1" ht="46.5" customHeight="1" x14ac:dyDescent="0.25">
      <c r="A4987" s="1"/>
    </row>
    <row r="4988" spans="1:1" ht="46.5" customHeight="1" x14ac:dyDescent="0.25">
      <c r="A4988" s="1"/>
    </row>
    <row r="4989" spans="1:1" ht="46.5" customHeight="1" x14ac:dyDescent="0.25">
      <c r="A4989" s="1"/>
    </row>
    <row r="4990" spans="1:1" ht="46.5" customHeight="1" x14ac:dyDescent="0.25">
      <c r="A4990" s="1"/>
    </row>
    <row r="4991" spans="1:1" ht="46.5" customHeight="1" x14ac:dyDescent="0.25">
      <c r="A4991" s="1"/>
    </row>
    <row r="4992" spans="1:1" ht="46.5" customHeight="1" x14ac:dyDescent="0.25">
      <c r="A4992" s="1"/>
    </row>
    <row r="4993" spans="1:1" ht="46.5" customHeight="1" x14ac:dyDescent="0.25">
      <c r="A4993" s="1"/>
    </row>
    <row r="4994" spans="1:1" ht="46.5" customHeight="1" x14ac:dyDescent="0.25">
      <c r="A4994" s="1"/>
    </row>
    <row r="4995" spans="1:1" ht="46.5" customHeight="1" x14ac:dyDescent="0.25">
      <c r="A4995" s="1"/>
    </row>
    <row r="4996" spans="1:1" ht="46.5" customHeight="1" x14ac:dyDescent="0.25">
      <c r="A4996" s="1"/>
    </row>
    <row r="4997" spans="1:1" ht="46.5" customHeight="1" x14ac:dyDescent="0.25">
      <c r="A4997" s="1"/>
    </row>
    <row r="4998" spans="1:1" ht="46.5" customHeight="1" x14ac:dyDescent="0.25">
      <c r="A4998" s="1"/>
    </row>
    <row r="4999" spans="1:1" ht="46.5" customHeight="1" x14ac:dyDescent="0.25">
      <c r="A4999" s="1"/>
    </row>
    <row r="5000" spans="1:1" ht="46.5" customHeight="1" x14ac:dyDescent="0.25">
      <c r="A5000" s="1"/>
    </row>
    <row r="5001" spans="1:1" ht="46.5" customHeight="1" x14ac:dyDescent="0.25">
      <c r="A5001" s="1"/>
    </row>
    <row r="5002" spans="1:1" ht="46.5" customHeight="1" x14ac:dyDescent="0.25">
      <c r="A5002" s="1"/>
    </row>
    <row r="5003" spans="1:1" ht="46.5" customHeight="1" x14ac:dyDescent="0.25">
      <c r="A5003" s="1"/>
    </row>
    <row r="5004" spans="1:1" ht="46.5" customHeight="1" x14ac:dyDescent="0.25">
      <c r="A5004" s="1"/>
    </row>
    <row r="5005" spans="1:1" ht="46.5" customHeight="1" x14ac:dyDescent="0.25">
      <c r="A5005" s="1"/>
    </row>
    <row r="5006" spans="1:1" ht="46.5" customHeight="1" x14ac:dyDescent="0.25">
      <c r="A5006" s="1"/>
    </row>
    <row r="5007" spans="1:1" ht="46.5" customHeight="1" x14ac:dyDescent="0.25">
      <c r="A5007" s="1"/>
    </row>
    <row r="5008" spans="1:1" ht="46.5" customHeight="1" x14ac:dyDescent="0.25">
      <c r="A5008" s="1"/>
    </row>
    <row r="5009" spans="1:1" ht="46.5" customHeight="1" x14ac:dyDescent="0.25">
      <c r="A5009" s="1"/>
    </row>
    <row r="5010" spans="1:1" ht="46.5" customHeight="1" x14ac:dyDescent="0.25">
      <c r="A5010" s="1"/>
    </row>
    <row r="5011" spans="1:1" ht="46.5" customHeight="1" x14ac:dyDescent="0.25">
      <c r="A5011" s="1"/>
    </row>
    <row r="5012" spans="1:1" ht="46.5" customHeight="1" x14ac:dyDescent="0.25">
      <c r="A5012" s="1"/>
    </row>
    <row r="5013" spans="1:1" ht="46.5" customHeight="1" x14ac:dyDescent="0.25">
      <c r="A5013" s="1"/>
    </row>
    <row r="5014" spans="1:1" ht="46.5" customHeight="1" x14ac:dyDescent="0.25">
      <c r="A5014" s="1"/>
    </row>
    <row r="5015" spans="1:1" ht="46.5" customHeight="1" x14ac:dyDescent="0.25">
      <c r="A5015" s="1"/>
    </row>
    <row r="5016" spans="1:1" ht="46.5" customHeight="1" x14ac:dyDescent="0.25">
      <c r="A5016" s="1"/>
    </row>
    <row r="5017" spans="1:1" ht="46.5" customHeight="1" x14ac:dyDescent="0.25">
      <c r="A5017" s="1"/>
    </row>
    <row r="5018" spans="1:1" ht="46.5" customHeight="1" x14ac:dyDescent="0.25">
      <c r="A5018" s="1"/>
    </row>
    <row r="5019" spans="1:1" ht="46.5" customHeight="1" x14ac:dyDescent="0.25">
      <c r="A5019" s="1"/>
    </row>
    <row r="5020" spans="1:1" ht="46.5" customHeight="1" x14ac:dyDescent="0.25">
      <c r="A5020" s="1"/>
    </row>
    <row r="5021" spans="1:1" ht="46.5" customHeight="1" x14ac:dyDescent="0.25">
      <c r="A5021" s="1"/>
    </row>
    <row r="5022" spans="1:1" ht="46.5" customHeight="1" x14ac:dyDescent="0.25">
      <c r="A5022" s="1"/>
    </row>
    <row r="5023" spans="1:1" ht="46.5" customHeight="1" x14ac:dyDescent="0.25">
      <c r="A5023" s="1"/>
    </row>
    <row r="5024" spans="1:1" ht="46.5" customHeight="1" x14ac:dyDescent="0.25">
      <c r="A5024" s="1"/>
    </row>
    <row r="5025" spans="1:1" ht="46.5" customHeight="1" x14ac:dyDescent="0.25">
      <c r="A5025" s="1"/>
    </row>
    <row r="5026" spans="1:1" ht="46.5" customHeight="1" x14ac:dyDescent="0.25">
      <c r="A5026" s="1"/>
    </row>
    <row r="5027" spans="1:1" ht="46.5" customHeight="1" x14ac:dyDescent="0.25">
      <c r="A5027" s="1"/>
    </row>
    <row r="5028" spans="1:1" ht="46.5" customHeight="1" x14ac:dyDescent="0.25">
      <c r="A5028" s="1"/>
    </row>
    <row r="5029" spans="1:1" ht="46.5" customHeight="1" x14ac:dyDescent="0.25">
      <c r="A5029" s="1"/>
    </row>
    <row r="5030" spans="1:1" ht="46.5" customHeight="1" x14ac:dyDescent="0.25">
      <c r="A5030" s="1"/>
    </row>
    <row r="5031" spans="1:1" ht="46.5" customHeight="1" x14ac:dyDescent="0.25">
      <c r="A5031" s="1"/>
    </row>
    <row r="5032" spans="1:1" ht="46.5" customHeight="1" x14ac:dyDescent="0.25">
      <c r="A5032" s="1"/>
    </row>
    <row r="5033" spans="1:1" ht="46.5" customHeight="1" x14ac:dyDescent="0.25">
      <c r="A5033" s="1"/>
    </row>
    <row r="5034" spans="1:1" ht="46.5" customHeight="1" x14ac:dyDescent="0.25">
      <c r="A5034" s="1"/>
    </row>
    <row r="5035" spans="1:1" ht="46.5" customHeight="1" x14ac:dyDescent="0.25">
      <c r="A5035" s="1"/>
    </row>
    <row r="5036" spans="1:1" ht="46.5" customHeight="1" x14ac:dyDescent="0.25">
      <c r="A5036" s="1"/>
    </row>
    <row r="5037" spans="1:1" ht="46.5" customHeight="1" x14ac:dyDescent="0.25">
      <c r="A5037" s="1"/>
    </row>
    <row r="5038" spans="1:1" ht="46.5" customHeight="1" x14ac:dyDescent="0.25">
      <c r="A5038" s="1"/>
    </row>
    <row r="5039" spans="1:1" ht="46.5" customHeight="1" x14ac:dyDescent="0.25">
      <c r="A5039" s="1"/>
    </row>
    <row r="5040" spans="1:1" ht="46.5" customHeight="1" x14ac:dyDescent="0.25">
      <c r="A5040" s="1"/>
    </row>
    <row r="5041" spans="1:1" ht="46.5" customHeight="1" x14ac:dyDescent="0.25">
      <c r="A5041" s="1"/>
    </row>
    <row r="5042" spans="1:1" ht="46.5" customHeight="1" x14ac:dyDescent="0.25">
      <c r="A5042" s="1"/>
    </row>
    <row r="5043" spans="1:1" ht="46.5" customHeight="1" x14ac:dyDescent="0.25">
      <c r="A5043" s="1"/>
    </row>
    <row r="5044" spans="1:1" ht="46.5" customHeight="1" x14ac:dyDescent="0.25">
      <c r="A5044" s="1"/>
    </row>
    <row r="5045" spans="1:1" ht="46.5" customHeight="1" x14ac:dyDescent="0.25">
      <c r="A5045" s="1"/>
    </row>
    <row r="5046" spans="1:1" ht="46.5" customHeight="1" x14ac:dyDescent="0.25">
      <c r="A5046" s="1"/>
    </row>
    <row r="5047" spans="1:1" ht="46.5" customHeight="1" x14ac:dyDescent="0.25">
      <c r="A5047" s="1"/>
    </row>
    <row r="5048" spans="1:1" ht="46.5" customHeight="1" x14ac:dyDescent="0.25">
      <c r="A5048" s="1"/>
    </row>
    <row r="5049" spans="1:1" ht="46.5" customHeight="1" x14ac:dyDescent="0.25">
      <c r="A5049" s="1"/>
    </row>
    <row r="5050" spans="1:1" ht="46.5" customHeight="1" x14ac:dyDescent="0.25">
      <c r="A5050" s="1"/>
    </row>
    <row r="5051" spans="1:1" ht="46.5" customHeight="1" x14ac:dyDescent="0.25">
      <c r="A5051" s="1"/>
    </row>
    <row r="5052" spans="1:1" ht="46.5" customHeight="1" x14ac:dyDescent="0.25">
      <c r="A5052" s="1"/>
    </row>
    <row r="5053" spans="1:1" ht="46.5" customHeight="1" x14ac:dyDescent="0.25">
      <c r="A5053" s="1"/>
    </row>
    <row r="5054" spans="1:1" ht="46.5" customHeight="1" x14ac:dyDescent="0.25">
      <c r="A5054" s="1"/>
    </row>
    <row r="5055" spans="1:1" ht="46.5" customHeight="1" x14ac:dyDescent="0.25">
      <c r="A5055" s="1"/>
    </row>
    <row r="5056" spans="1:1" ht="46.5" customHeight="1" x14ac:dyDescent="0.25">
      <c r="A5056" s="1"/>
    </row>
    <row r="5057" spans="1:1" ht="46.5" customHeight="1" x14ac:dyDescent="0.25">
      <c r="A5057" s="1"/>
    </row>
    <row r="5058" spans="1:1" ht="46.5" customHeight="1" x14ac:dyDescent="0.25">
      <c r="A5058" s="1"/>
    </row>
    <row r="5059" spans="1:1" ht="46.5" customHeight="1" x14ac:dyDescent="0.25">
      <c r="A5059" s="1"/>
    </row>
    <row r="5060" spans="1:1" ht="46.5" customHeight="1" x14ac:dyDescent="0.25">
      <c r="A5060" s="1"/>
    </row>
    <row r="5061" spans="1:1" ht="46.5" customHeight="1" x14ac:dyDescent="0.25">
      <c r="A5061" s="1"/>
    </row>
    <row r="5062" spans="1:1" ht="46.5" customHeight="1" x14ac:dyDescent="0.25">
      <c r="A5062" s="1"/>
    </row>
    <row r="5063" spans="1:1" ht="46.5" customHeight="1" x14ac:dyDescent="0.25">
      <c r="A5063" s="1"/>
    </row>
    <row r="5064" spans="1:1" ht="46.5" customHeight="1" x14ac:dyDescent="0.25">
      <c r="A5064" s="1"/>
    </row>
    <row r="5065" spans="1:1" ht="46.5" customHeight="1" x14ac:dyDescent="0.25">
      <c r="A5065" s="1"/>
    </row>
    <row r="5066" spans="1:1" ht="46.5" customHeight="1" x14ac:dyDescent="0.25">
      <c r="A5066" s="1"/>
    </row>
    <row r="5067" spans="1:1" ht="46.5" customHeight="1" x14ac:dyDescent="0.25">
      <c r="A5067" s="1"/>
    </row>
    <row r="5068" spans="1:1" ht="46.5" customHeight="1" x14ac:dyDescent="0.25">
      <c r="A5068" s="1"/>
    </row>
    <row r="5069" spans="1:1" ht="46.5" customHeight="1" x14ac:dyDescent="0.25">
      <c r="A5069" s="1"/>
    </row>
    <row r="5070" spans="1:1" ht="46.5" customHeight="1" x14ac:dyDescent="0.25">
      <c r="A5070" s="1"/>
    </row>
    <row r="5071" spans="1:1" ht="46.5" customHeight="1" x14ac:dyDescent="0.25">
      <c r="A5071" s="1"/>
    </row>
    <row r="5072" spans="1:1" ht="46.5" customHeight="1" x14ac:dyDescent="0.25">
      <c r="A5072" s="1"/>
    </row>
    <row r="5073" spans="1:1" ht="46.5" customHeight="1" x14ac:dyDescent="0.25">
      <c r="A5073" s="1"/>
    </row>
    <row r="5074" spans="1:1" ht="46.5" customHeight="1" x14ac:dyDescent="0.25">
      <c r="A5074" s="1"/>
    </row>
    <row r="5075" spans="1:1" ht="46.5" customHeight="1" x14ac:dyDescent="0.25">
      <c r="A5075" s="1"/>
    </row>
    <row r="5076" spans="1:1" ht="46.5" customHeight="1" x14ac:dyDescent="0.25">
      <c r="A5076" s="1"/>
    </row>
    <row r="5077" spans="1:1" ht="46.5" customHeight="1" x14ac:dyDescent="0.25">
      <c r="A5077" s="1"/>
    </row>
    <row r="5078" spans="1:1" ht="46.5" customHeight="1" x14ac:dyDescent="0.25">
      <c r="A5078" s="1"/>
    </row>
    <row r="5079" spans="1:1" ht="46.5" customHeight="1" x14ac:dyDescent="0.25">
      <c r="A5079" s="1"/>
    </row>
    <row r="5080" spans="1:1" ht="46.5" customHeight="1" x14ac:dyDescent="0.25">
      <c r="A5080" s="1"/>
    </row>
    <row r="5081" spans="1:1" ht="46.5" customHeight="1" x14ac:dyDescent="0.25">
      <c r="A5081" s="1"/>
    </row>
    <row r="5082" spans="1:1" ht="46.5" customHeight="1" x14ac:dyDescent="0.25">
      <c r="A5082" s="1"/>
    </row>
    <row r="5083" spans="1:1" ht="46.5" customHeight="1" x14ac:dyDescent="0.25">
      <c r="A5083" s="1"/>
    </row>
    <row r="5084" spans="1:1" ht="46.5" customHeight="1" x14ac:dyDescent="0.25">
      <c r="A5084" s="1"/>
    </row>
    <row r="5085" spans="1:1" ht="46.5" customHeight="1" x14ac:dyDescent="0.25">
      <c r="A5085" s="1"/>
    </row>
    <row r="5086" spans="1:1" ht="46.5" customHeight="1" x14ac:dyDescent="0.25">
      <c r="A5086" s="1"/>
    </row>
    <row r="5087" spans="1:1" ht="46.5" customHeight="1" x14ac:dyDescent="0.25">
      <c r="A5087" s="1"/>
    </row>
    <row r="5088" spans="1:1" ht="46.5" customHeight="1" x14ac:dyDescent="0.25">
      <c r="A5088" s="1"/>
    </row>
    <row r="5089" spans="1:1" ht="46.5" customHeight="1" x14ac:dyDescent="0.25">
      <c r="A5089" s="1"/>
    </row>
    <row r="5090" spans="1:1" ht="46.5" customHeight="1" x14ac:dyDescent="0.25">
      <c r="A5090" s="1"/>
    </row>
    <row r="5091" spans="1:1" ht="46.5" customHeight="1" x14ac:dyDescent="0.25">
      <c r="A5091" s="1"/>
    </row>
    <row r="5092" spans="1:1" ht="46.5" customHeight="1" x14ac:dyDescent="0.25">
      <c r="A5092" s="1"/>
    </row>
    <row r="5093" spans="1:1" ht="46.5" customHeight="1" x14ac:dyDescent="0.25">
      <c r="A5093" s="1"/>
    </row>
    <row r="5094" spans="1:1" ht="46.5" customHeight="1" x14ac:dyDescent="0.25">
      <c r="A5094" s="1"/>
    </row>
    <row r="5095" spans="1:1" ht="46.5" customHeight="1" x14ac:dyDescent="0.25">
      <c r="A5095" s="1"/>
    </row>
    <row r="5096" spans="1:1" ht="46.5" customHeight="1" x14ac:dyDescent="0.25">
      <c r="A5096" s="1"/>
    </row>
    <row r="5097" spans="1:1" ht="46.5" customHeight="1" x14ac:dyDescent="0.25">
      <c r="A5097" s="1"/>
    </row>
    <row r="5098" spans="1:1" ht="46.5" customHeight="1" x14ac:dyDescent="0.25">
      <c r="A5098" s="1"/>
    </row>
    <row r="5099" spans="1:1" ht="46.5" customHeight="1" x14ac:dyDescent="0.25">
      <c r="A5099" s="1"/>
    </row>
    <row r="5100" spans="1:1" ht="46.5" customHeight="1" x14ac:dyDescent="0.25">
      <c r="A5100" s="1"/>
    </row>
    <row r="5101" spans="1:1" ht="46.5" customHeight="1" x14ac:dyDescent="0.25">
      <c r="A5101" s="1"/>
    </row>
    <row r="5102" spans="1:1" ht="46.5" customHeight="1" x14ac:dyDescent="0.25">
      <c r="A5102" s="1"/>
    </row>
    <row r="5103" spans="1:1" ht="46.5" customHeight="1" x14ac:dyDescent="0.25">
      <c r="A5103" s="1"/>
    </row>
    <row r="5104" spans="1:1" ht="46.5" customHeight="1" x14ac:dyDescent="0.25">
      <c r="A5104" s="1"/>
    </row>
    <row r="5105" spans="1:1" ht="46.5" customHeight="1" x14ac:dyDescent="0.25">
      <c r="A5105" s="1"/>
    </row>
    <row r="5106" spans="1:1" ht="46.5" customHeight="1" x14ac:dyDescent="0.25">
      <c r="A5106" s="1"/>
    </row>
    <row r="5107" spans="1:1" ht="46.5" customHeight="1" x14ac:dyDescent="0.25">
      <c r="A5107" s="1"/>
    </row>
    <row r="5108" spans="1:1" ht="46.5" customHeight="1" x14ac:dyDescent="0.25">
      <c r="A5108" s="1"/>
    </row>
    <row r="5109" spans="1:1" ht="46.5" customHeight="1" x14ac:dyDescent="0.25">
      <c r="A5109" s="1"/>
    </row>
    <row r="5110" spans="1:1" ht="46.5" customHeight="1" x14ac:dyDescent="0.25">
      <c r="A5110" s="1"/>
    </row>
    <row r="5111" spans="1:1" ht="46.5" customHeight="1" x14ac:dyDescent="0.25">
      <c r="A5111" s="1"/>
    </row>
    <row r="5112" spans="1:1" ht="46.5" customHeight="1" x14ac:dyDescent="0.25">
      <c r="A5112" s="1"/>
    </row>
    <row r="5113" spans="1:1" ht="46.5" customHeight="1" x14ac:dyDescent="0.25">
      <c r="A5113" s="1"/>
    </row>
    <row r="5114" spans="1:1" ht="46.5" customHeight="1" x14ac:dyDescent="0.25">
      <c r="A5114" s="1"/>
    </row>
    <row r="5115" spans="1:1" ht="46.5" customHeight="1" x14ac:dyDescent="0.25">
      <c r="A5115" s="1"/>
    </row>
    <row r="5116" spans="1:1" ht="46.5" customHeight="1" x14ac:dyDescent="0.25">
      <c r="A5116" s="1"/>
    </row>
    <row r="5117" spans="1:1" ht="46.5" customHeight="1" x14ac:dyDescent="0.25">
      <c r="A5117" s="1"/>
    </row>
    <row r="5118" spans="1:1" ht="46.5" customHeight="1" x14ac:dyDescent="0.25">
      <c r="A5118" s="1"/>
    </row>
    <row r="5119" spans="1:1" ht="46.5" customHeight="1" x14ac:dyDescent="0.25">
      <c r="A5119" s="1"/>
    </row>
    <row r="5120" spans="1:1" ht="46.5" customHeight="1" x14ac:dyDescent="0.25">
      <c r="A5120" s="1"/>
    </row>
    <row r="5121" spans="1:1" ht="46.5" customHeight="1" x14ac:dyDescent="0.25">
      <c r="A5121" s="1"/>
    </row>
    <row r="5122" spans="1:1" ht="46.5" customHeight="1" x14ac:dyDescent="0.25">
      <c r="A5122" s="1"/>
    </row>
    <row r="5123" spans="1:1" ht="46.5" customHeight="1" x14ac:dyDescent="0.25">
      <c r="A5123" s="1"/>
    </row>
    <row r="5124" spans="1:1" ht="46.5" customHeight="1" x14ac:dyDescent="0.25">
      <c r="A5124" s="1"/>
    </row>
    <row r="5125" spans="1:1" ht="46.5" customHeight="1" x14ac:dyDescent="0.25">
      <c r="A5125" s="1"/>
    </row>
    <row r="5126" spans="1:1" ht="46.5" customHeight="1" x14ac:dyDescent="0.25">
      <c r="A5126" s="1"/>
    </row>
    <row r="5127" spans="1:1" ht="46.5" customHeight="1" x14ac:dyDescent="0.25">
      <c r="A5127" s="1"/>
    </row>
    <row r="5128" spans="1:1" ht="46.5" customHeight="1" x14ac:dyDescent="0.25">
      <c r="A5128" s="1"/>
    </row>
    <row r="5129" spans="1:1" ht="46.5" customHeight="1" x14ac:dyDescent="0.25">
      <c r="A5129" s="1"/>
    </row>
    <row r="5130" spans="1:1" ht="46.5" customHeight="1" x14ac:dyDescent="0.25">
      <c r="A5130" s="1"/>
    </row>
    <row r="5131" spans="1:1" ht="46.5" customHeight="1" x14ac:dyDescent="0.25">
      <c r="A5131" s="1"/>
    </row>
    <row r="5132" spans="1:1" ht="46.5" customHeight="1" x14ac:dyDescent="0.25">
      <c r="A5132" s="1"/>
    </row>
    <row r="5133" spans="1:1" ht="46.5" customHeight="1" x14ac:dyDescent="0.25">
      <c r="A5133" s="1"/>
    </row>
    <row r="5134" spans="1:1" ht="46.5" customHeight="1" x14ac:dyDescent="0.25">
      <c r="A5134" s="1"/>
    </row>
    <row r="5135" spans="1:1" ht="46.5" customHeight="1" x14ac:dyDescent="0.25">
      <c r="A5135" s="1"/>
    </row>
    <row r="5136" spans="1:1" ht="46.5" customHeight="1" x14ac:dyDescent="0.25">
      <c r="A5136" s="1"/>
    </row>
    <row r="5137" spans="1:1" ht="46.5" customHeight="1" x14ac:dyDescent="0.25">
      <c r="A5137" s="1"/>
    </row>
    <row r="5138" spans="1:1" ht="46.5" customHeight="1" x14ac:dyDescent="0.25">
      <c r="A5138" s="1"/>
    </row>
    <row r="5139" spans="1:1" ht="46.5" customHeight="1" x14ac:dyDescent="0.25">
      <c r="A5139" s="1"/>
    </row>
    <row r="5140" spans="1:1" ht="46.5" customHeight="1" x14ac:dyDescent="0.25">
      <c r="A5140" s="1"/>
    </row>
    <row r="5141" spans="1:1" ht="46.5" customHeight="1" x14ac:dyDescent="0.25">
      <c r="A5141" s="1"/>
    </row>
    <row r="5142" spans="1:1" ht="46.5" customHeight="1" x14ac:dyDescent="0.25">
      <c r="A5142" s="1"/>
    </row>
    <row r="5143" spans="1:1" ht="46.5" customHeight="1" x14ac:dyDescent="0.25">
      <c r="A5143" s="1"/>
    </row>
    <row r="5144" spans="1:1" ht="46.5" customHeight="1" x14ac:dyDescent="0.25">
      <c r="A5144" s="1"/>
    </row>
    <row r="5145" spans="1:1" ht="46.5" customHeight="1" x14ac:dyDescent="0.25">
      <c r="A5145" s="1"/>
    </row>
    <row r="5146" spans="1:1" ht="46.5" customHeight="1" x14ac:dyDescent="0.25">
      <c r="A5146" s="1"/>
    </row>
    <row r="5147" spans="1:1" ht="46.5" customHeight="1" x14ac:dyDescent="0.25">
      <c r="A5147" s="1"/>
    </row>
    <row r="5148" spans="1:1" ht="46.5" customHeight="1" x14ac:dyDescent="0.25">
      <c r="A5148" s="1"/>
    </row>
    <row r="5149" spans="1:1" ht="46.5" customHeight="1" x14ac:dyDescent="0.25">
      <c r="A5149" s="1"/>
    </row>
    <row r="5150" spans="1:1" ht="46.5" customHeight="1" x14ac:dyDescent="0.25">
      <c r="A5150" s="1"/>
    </row>
    <row r="5151" spans="1:1" ht="46.5" customHeight="1" x14ac:dyDescent="0.25">
      <c r="A5151" s="1"/>
    </row>
    <row r="5152" spans="1:1" ht="46.5" customHeight="1" x14ac:dyDescent="0.25">
      <c r="A5152" s="1"/>
    </row>
    <row r="5153" spans="1:1" ht="46.5" customHeight="1" x14ac:dyDescent="0.25">
      <c r="A5153" s="1"/>
    </row>
    <row r="5154" spans="1:1" ht="46.5" customHeight="1" x14ac:dyDescent="0.25">
      <c r="A5154" s="1"/>
    </row>
    <row r="5155" spans="1:1" ht="46.5" customHeight="1" x14ac:dyDescent="0.25">
      <c r="A5155" s="1"/>
    </row>
    <row r="5156" spans="1:1" ht="46.5" customHeight="1" x14ac:dyDescent="0.25">
      <c r="A5156" s="1"/>
    </row>
    <row r="5157" spans="1:1" ht="46.5" customHeight="1" x14ac:dyDescent="0.25">
      <c r="A5157" s="1"/>
    </row>
    <row r="5158" spans="1:1" ht="46.5" customHeight="1" x14ac:dyDescent="0.25">
      <c r="A5158" s="1"/>
    </row>
    <row r="5159" spans="1:1" ht="46.5" customHeight="1" x14ac:dyDescent="0.25">
      <c r="A5159" s="1"/>
    </row>
    <row r="5160" spans="1:1" ht="46.5" customHeight="1" x14ac:dyDescent="0.25">
      <c r="A5160" s="1"/>
    </row>
    <row r="5161" spans="1:1" ht="46.5" customHeight="1" x14ac:dyDescent="0.25">
      <c r="A5161" s="1"/>
    </row>
    <row r="5162" spans="1:1" ht="46.5" customHeight="1" x14ac:dyDescent="0.25">
      <c r="A5162" s="1"/>
    </row>
    <row r="5163" spans="1:1" ht="46.5" customHeight="1" x14ac:dyDescent="0.25">
      <c r="A5163" s="1"/>
    </row>
    <row r="5164" spans="1:1" ht="46.5" customHeight="1" x14ac:dyDescent="0.25">
      <c r="A5164" s="1"/>
    </row>
    <row r="5165" spans="1:1" ht="46.5" customHeight="1" x14ac:dyDescent="0.25">
      <c r="A5165" s="1"/>
    </row>
    <row r="5166" spans="1:1" ht="46.5" customHeight="1" x14ac:dyDescent="0.25">
      <c r="A5166" s="1"/>
    </row>
    <row r="5167" spans="1:1" ht="46.5" customHeight="1" x14ac:dyDescent="0.25">
      <c r="A5167" s="1"/>
    </row>
    <row r="5168" spans="1:1" ht="46.5" customHeight="1" x14ac:dyDescent="0.25">
      <c r="A5168" s="1"/>
    </row>
    <row r="5169" spans="1:1" ht="46.5" customHeight="1" x14ac:dyDescent="0.25">
      <c r="A5169" s="1"/>
    </row>
    <row r="5170" spans="1:1" ht="46.5" customHeight="1" x14ac:dyDescent="0.25">
      <c r="A5170" s="1"/>
    </row>
    <row r="5171" spans="1:1" ht="46.5" customHeight="1" x14ac:dyDescent="0.25">
      <c r="A5171" s="1"/>
    </row>
    <row r="5172" spans="1:1" ht="46.5" customHeight="1" x14ac:dyDescent="0.25">
      <c r="A5172" s="1"/>
    </row>
    <row r="5173" spans="1:1" ht="46.5" customHeight="1" x14ac:dyDescent="0.25">
      <c r="A5173" s="1"/>
    </row>
    <row r="5174" spans="1:1" ht="46.5" customHeight="1" x14ac:dyDescent="0.25">
      <c r="A5174" s="1"/>
    </row>
    <row r="5175" spans="1:1" ht="46.5" customHeight="1" x14ac:dyDescent="0.25">
      <c r="A5175" s="1"/>
    </row>
    <row r="5176" spans="1:1" ht="46.5" customHeight="1" x14ac:dyDescent="0.25">
      <c r="A5176" s="1"/>
    </row>
    <row r="5177" spans="1:1" ht="46.5" customHeight="1" x14ac:dyDescent="0.25">
      <c r="A5177" s="1"/>
    </row>
    <row r="5178" spans="1:1" ht="46.5" customHeight="1" x14ac:dyDescent="0.25">
      <c r="A5178" s="1"/>
    </row>
    <row r="5179" spans="1:1" ht="46.5" customHeight="1" x14ac:dyDescent="0.25">
      <c r="A5179" s="1"/>
    </row>
    <row r="5180" spans="1:1" ht="46.5" customHeight="1" x14ac:dyDescent="0.25">
      <c r="A5180" s="1"/>
    </row>
    <row r="5181" spans="1:1" ht="46.5" customHeight="1" x14ac:dyDescent="0.25">
      <c r="A5181" s="1"/>
    </row>
    <row r="5182" spans="1:1" ht="46.5" customHeight="1" x14ac:dyDescent="0.25">
      <c r="A5182" s="1"/>
    </row>
    <row r="5183" spans="1:1" ht="46.5" customHeight="1" x14ac:dyDescent="0.25">
      <c r="A5183" s="1"/>
    </row>
    <row r="5184" spans="1:1" ht="46.5" customHeight="1" x14ac:dyDescent="0.25">
      <c r="A5184" s="1"/>
    </row>
    <row r="5185" spans="1:1" ht="46.5" customHeight="1" x14ac:dyDescent="0.25">
      <c r="A5185" s="1"/>
    </row>
    <row r="5186" spans="1:1" ht="46.5" customHeight="1" x14ac:dyDescent="0.25">
      <c r="A5186" s="1"/>
    </row>
    <row r="5187" spans="1:1" ht="46.5" customHeight="1" x14ac:dyDescent="0.25">
      <c r="A5187" s="1"/>
    </row>
    <row r="5188" spans="1:1" ht="46.5" customHeight="1" x14ac:dyDescent="0.25">
      <c r="A5188" s="1"/>
    </row>
    <row r="5189" spans="1:1" ht="46.5" customHeight="1" x14ac:dyDescent="0.25">
      <c r="A5189" s="1"/>
    </row>
    <row r="5190" spans="1:1" ht="46.5" customHeight="1" x14ac:dyDescent="0.25">
      <c r="A5190" s="1"/>
    </row>
    <row r="5191" spans="1:1" ht="46.5" customHeight="1" x14ac:dyDescent="0.25">
      <c r="A5191" s="1"/>
    </row>
    <row r="5192" spans="1:1" ht="46.5" customHeight="1" x14ac:dyDescent="0.25">
      <c r="A5192" s="1"/>
    </row>
    <row r="5193" spans="1:1" ht="46.5" customHeight="1" x14ac:dyDescent="0.25">
      <c r="A5193" s="1"/>
    </row>
    <row r="5194" spans="1:1" ht="46.5" customHeight="1" x14ac:dyDescent="0.25">
      <c r="A5194" s="1"/>
    </row>
    <row r="5195" spans="1:1" ht="46.5" customHeight="1" x14ac:dyDescent="0.25">
      <c r="A5195" s="1"/>
    </row>
    <row r="5196" spans="1:1" ht="46.5" customHeight="1" x14ac:dyDescent="0.25">
      <c r="A5196" s="1"/>
    </row>
    <row r="5197" spans="1:1" ht="46.5" customHeight="1" x14ac:dyDescent="0.25">
      <c r="A5197" s="1"/>
    </row>
    <row r="5198" spans="1:1" ht="46.5" customHeight="1" x14ac:dyDescent="0.25">
      <c r="A5198" s="1"/>
    </row>
    <row r="5199" spans="1:1" ht="46.5" customHeight="1" x14ac:dyDescent="0.25">
      <c r="A5199" s="1"/>
    </row>
    <row r="5200" spans="1:1" ht="46.5" customHeight="1" x14ac:dyDescent="0.25">
      <c r="A5200" s="1"/>
    </row>
    <row r="5201" spans="1:1" ht="46.5" customHeight="1" x14ac:dyDescent="0.25">
      <c r="A5201" s="1"/>
    </row>
    <row r="5202" spans="1:1" ht="46.5" customHeight="1" x14ac:dyDescent="0.25">
      <c r="A5202" s="1"/>
    </row>
    <row r="5203" spans="1:1" ht="46.5" customHeight="1" x14ac:dyDescent="0.25">
      <c r="A5203" s="1"/>
    </row>
    <row r="5204" spans="1:1" ht="46.5" customHeight="1" x14ac:dyDescent="0.25">
      <c r="A5204" s="1"/>
    </row>
    <row r="5205" spans="1:1" ht="46.5" customHeight="1" x14ac:dyDescent="0.25">
      <c r="A5205" s="1"/>
    </row>
    <row r="5206" spans="1:1" ht="46.5" customHeight="1" x14ac:dyDescent="0.25">
      <c r="A5206" s="1"/>
    </row>
    <row r="5207" spans="1:1" ht="46.5" customHeight="1" x14ac:dyDescent="0.25">
      <c r="A5207" s="1"/>
    </row>
    <row r="5208" spans="1:1" ht="46.5" customHeight="1" x14ac:dyDescent="0.25">
      <c r="A5208" s="1"/>
    </row>
    <row r="5209" spans="1:1" ht="46.5" customHeight="1" x14ac:dyDescent="0.25">
      <c r="A5209" s="1"/>
    </row>
    <row r="5210" spans="1:1" ht="46.5" customHeight="1" x14ac:dyDescent="0.25">
      <c r="A5210" s="1"/>
    </row>
    <row r="5211" spans="1:1" ht="46.5" customHeight="1" x14ac:dyDescent="0.25">
      <c r="A5211" s="1"/>
    </row>
    <row r="5212" spans="1:1" ht="46.5" customHeight="1" x14ac:dyDescent="0.25">
      <c r="A5212" s="1"/>
    </row>
    <row r="5213" spans="1:1" ht="46.5" customHeight="1" x14ac:dyDescent="0.25">
      <c r="A5213" s="1"/>
    </row>
    <row r="5214" spans="1:1" ht="46.5" customHeight="1" x14ac:dyDescent="0.25">
      <c r="A5214" s="1"/>
    </row>
    <row r="5215" spans="1:1" ht="46.5" customHeight="1" x14ac:dyDescent="0.25">
      <c r="A5215" s="1"/>
    </row>
    <row r="5216" spans="1:1" ht="46.5" customHeight="1" x14ac:dyDescent="0.25">
      <c r="A5216" s="1"/>
    </row>
    <row r="5217" spans="1:1" ht="46.5" customHeight="1" x14ac:dyDescent="0.25">
      <c r="A5217" s="1"/>
    </row>
    <row r="5218" spans="1:1" ht="46.5" customHeight="1" x14ac:dyDescent="0.25">
      <c r="A5218" s="1"/>
    </row>
    <row r="5219" spans="1:1" ht="46.5" customHeight="1" x14ac:dyDescent="0.25">
      <c r="A5219" s="1"/>
    </row>
    <row r="5220" spans="1:1" ht="46.5" customHeight="1" x14ac:dyDescent="0.25">
      <c r="A5220" s="1"/>
    </row>
    <row r="5221" spans="1:1" ht="46.5" customHeight="1" x14ac:dyDescent="0.25">
      <c r="A5221" s="1"/>
    </row>
    <row r="5222" spans="1:1" ht="46.5" customHeight="1" x14ac:dyDescent="0.25">
      <c r="A5222" s="1"/>
    </row>
    <row r="5223" spans="1:1" ht="46.5" customHeight="1" x14ac:dyDescent="0.25">
      <c r="A5223" s="1"/>
    </row>
    <row r="5224" spans="1:1" ht="46.5" customHeight="1" x14ac:dyDescent="0.25">
      <c r="A5224" s="1"/>
    </row>
    <row r="5225" spans="1:1" ht="46.5" customHeight="1" x14ac:dyDescent="0.25">
      <c r="A5225" s="1"/>
    </row>
    <row r="5226" spans="1:1" ht="46.5" customHeight="1" x14ac:dyDescent="0.25">
      <c r="A5226" s="1"/>
    </row>
    <row r="5227" spans="1:1" ht="46.5" customHeight="1" x14ac:dyDescent="0.25">
      <c r="A5227" s="1"/>
    </row>
    <row r="5228" spans="1:1" ht="46.5" customHeight="1" x14ac:dyDescent="0.25">
      <c r="A5228" s="1"/>
    </row>
    <row r="5229" spans="1:1" ht="46.5" customHeight="1" x14ac:dyDescent="0.25">
      <c r="A5229" s="1"/>
    </row>
    <row r="5230" spans="1:1" ht="46.5" customHeight="1" x14ac:dyDescent="0.25">
      <c r="A5230" s="1"/>
    </row>
    <row r="5231" spans="1:1" ht="46.5" customHeight="1" x14ac:dyDescent="0.25">
      <c r="A5231" s="1"/>
    </row>
    <row r="5232" spans="1:1" ht="46.5" customHeight="1" x14ac:dyDescent="0.25">
      <c r="A5232" s="1"/>
    </row>
    <row r="5233" spans="1:1" ht="46.5" customHeight="1" x14ac:dyDescent="0.25">
      <c r="A5233" s="1"/>
    </row>
    <row r="5234" spans="1:1" ht="46.5" customHeight="1" x14ac:dyDescent="0.25">
      <c r="A5234" s="1"/>
    </row>
    <row r="5235" spans="1:1" ht="46.5" customHeight="1" x14ac:dyDescent="0.25">
      <c r="A5235" s="1"/>
    </row>
    <row r="5236" spans="1:1" ht="46.5" customHeight="1" x14ac:dyDescent="0.25">
      <c r="A5236" s="1"/>
    </row>
    <row r="5237" spans="1:1" ht="46.5" customHeight="1" x14ac:dyDescent="0.25">
      <c r="A5237" s="1"/>
    </row>
    <row r="5238" spans="1:1" ht="46.5" customHeight="1" x14ac:dyDescent="0.25">
      <c r="A5238" s="1"/>
    </row>
    <row r="5239" spans="1:1" ht="46.5" customHeight="1" x14ac:dyDescent="0.25">
      <c r="A5239" s="1"/>
    </row>
    <row r="5240" spans="1:1" ht="46.5" customHeight="1" x14ac:dyDescent="0.25">
      <c r="A5240" s="1"/>
    </row>
    <row r="5241" spans="1:1" ht="46.5" customHeight="1" x14ac:dyDescent="0.25">
      <c r="A5241" s="1"/>
    </row>
    <row r="5242" spans="1:1" ht="46.5" customHeight="1" x14ac:dyDescent="0.25">
      <c r="A5242" s="1"/>
    </row>
    <row r="5243" spans="1:1" ht="46.5" customHeight="1" x14ac:dyDescent="0.25">
      <c r="A5243" s="1"/>
    </row>
    <row r="5244" spans="1:1" ht="46.5" customHeight="1" x14ac:dyDescent="0.25">
      <c r="A5244" s="1"/>
    </row>
    <row r="5245" spans="1:1" ht="46.5" customHeight="1" x14ac:dyDescent="0.25">
      <c r="A5245" s="1"/>
    </row>
    <row r="5246" spans="1:1" ht="46.5" customHeight="1" x14ac:dyDescent="0.25">
      <c r="A5246" s="1"/>
    </row>
    <row r="5247" spans="1:1" ht="46.5" customHeight="1" x14ac:dyDescent="0.25">
      <c r="A5247" s="1"/>
    </row>
    <row r="5248" spans="1:1" ht="46.5" customHeight="1" x14ac:dyDescent="0.25">
      <c r="A5248" s="1"/>
    </row>
    <row r="5249" spans="1:1" ht="46.5" customHeight="1" x14ac:dyDescent="0.25">
      <c r="A5249" s="1"/>
    </row>
    <row r="5250" spans="1:1" ht="46.5" customHeight="1" x14ac:dyDescent="0.25">
      <c r="A5250" s="1"/>
    </row>
    <row r="5251" spans="1:1" ht="46.5" customHeight="1" x14ac:dyDescent="0.25">
      <c r="A5251" s="1"/>
    </row>
    <row r="5252" spans="1:1" ht="46.5" customHeight="1" x14ac:dyDescent="0.25">
      <c r="A5252" s="1"/>
    </row>
    <row r="5253" spans="1:1" ht="46.5" customHeight="1" x14ac:dyDescent="0.25">
      <c r="A5253" s="1"/>
    </row>
    <row r="5254" spans="1:1" ht="46.5" customHeight="1" x14ac:dyDescent="0.25">
      <c r="A5254" s="1"/>
    </row>
    <row r="5255" spans="1:1" ht="46.5" customHeight="1" x14ac:dyDescent="0.25">
      <c r="A5255" s="1"/>
    </row>
    <row r="5256" spans="1:1" ht="46.5" customHeight="1" x14ac:dyDescent="0.25">
      <c r="A5256" s="1"/>
    </row>
    <row r="5257" spans="1:1" ht="46.5" customHeight="1" x14ac:dyDescent="0.25">
      <c r="A5257" s="1"/>
    </row>
    <row r="5258" spans="1:1" ht="46.5" customHeight="1" x14ac:dyDescent="0.25">
      <c r="A5258" s="1"/>
    </row>
    <row r="5259" spans="1:1" ht="46.5" customHeight="1" x14ac:dyDescent="0.25">
      <c r="A5259" s="1"/>
    </row>
    <row r="5260" spans="1:1" ht="46.5" customHeight="1" x14ac:dyDescent="0.25">
      <c r="A5260" s="1"/>
    </row>
    <row r="5261" spans="1:1" ht="46.5" customHeight="1" x14ac:dyDescent="0.25">
      <c r="A5261" s="1"/>
    </row>
    <row r="5262" spans="1:1" ht="46.5" customHeight="1" x14ac:dyDescent="0.25">
      <c r="A5262" s="1"/>
    </row>
    <row r="5263" spans="1:1" ht="46.5" customHeight="1" x14ac:dyDescent="0.25">
      <c r="A5263" s="1"/>
    </row>
    <row r="5264" spans="1:1" ht="46.5" customHeight="1" x14ac:dyDescent="0.25">
      <c r="A5264" s="1"/>
    </row>
    <row r="5265" spans="1:1" ht="46.5" customHeight="1" x14ac:dyDescent="0.25">
      <c r="A5265" s="1"/>
    </row>
    <row r="5266" spans="1:1" ht="46.5" customHeight="1" x14ac:dyDescent="0.25">
      <c r="A5266" s="1"/>
    </row>
    <row r="5267" spans="1:1" ht="46.5" customHeight="1" x14ac:dyDescent="0.25">
      <c r="A5267" s="1"/>
    </row>
    <row r="5268" spans="1:1" ht="46.5" customHeight="1" x14ac:dyDescent="0.25">
      <c r="A5268" s="1"/>
    </row>
    <row r="5269" spans="1:1" ht="46.5" customHeight="1" x14ac:dyDescent="0.25">
      <c r="A5269" s="1"/>
    </row>
    <row r="5270" spans="1:1" ht="46.5" customHeight="1" x14ac:dyDescent="0.25">
      <c r="A5270" s="1"/>
    </row>
    <row r="5271" spans="1:1" ht="46.5" customHeight="1" x14ac:dyDescent="0.25">
      <c r="A5271" s="1"/>
    </row>
    <row r="5272" spans="1:1" ht="46.5" customHeight="1" x14ac:dyDescent="0.25">
      <c r="A5272" s="1"/>
    </row>
    <row r="5273" spans="1:1" ht="46.5" customHeight="1" x14ac:dyDescent="0.25">
      <c r="A5273" s="1"/>
    </row>
    <row r="5274" spans="1:1" ht="46.5" customHeight="1" x14ac:dyDescent="0.25">
      <c r="A5274" s="1"/>
    </row>
    <row r="5275" spans="1:1" ht="46.5" customHeight="1" x14ac:dyDescent="0.25">
      <c r="A5275" s="1"/>
    </row>
    <row r="5276" spans="1:1" ht="46.5" customHeight="1" x14ac:dyDescent="0.25">
      <c r="A5276" s="1"/>
    </row>
    <row r="5277" spans="1:1" ht="46.5" customHeight="1" x14ac:dyDescent="0.25">
      <c r="A5277" s="1"/>
    </row>
    <row r="5278" spans="1:1" ht="46.5" customHeight="1" x14ac:dyDescent="0.25">
      <c r="A5278" s="1"/>
    </row>
    <row r="5279" spans="1:1" ht="46.5" customHeight="1" x14ac:dyDescent="0.25">
      <c r="A5279" s="1"/>
    </row>
    <row r="5280" spans="1:1" ht="46.5" customHeight="1" x14ac:dyDescent="0.25">
      <c r="A5280" s="1"/>
    </row>
    <row r="5281" spans="1:1" ht="46.5" customHeight="1" x14ac:dyDescent="0.25">
      <c r="A5281" s="1"/>
    </row>
    <row r="5282" spans="1:1" ht="46.5" customHeight="1" x14ac:dyDescent="0.25">
      <c r="A5282" s="1"/>
    </row>
    <row r="5283" spans="1:1" ht="46.5" customHeight="1" x14ac:dyDescent="0.25">
      <c r="A5283" s="1"/>
    </row>
    <row r="5284" spans="1:1" ht="46.5" customHeight="1" x14ac:dyDescent="0.25">
      <c r="A5284" s="1"/>
    </row>
    <row r="5285" spans="1:1" ht="46.5" customHeight="1" x14ac:dyDescent="0.25">
      <c r="A5285" s="1"/>
    </row>
    <row r="5286" spans="1:1" ht="46.5" customHeight="1" x14ac:dyDescent="0.25">
      <c r="A5286" s="1"/>
    </row>
    <row r="5287" spans="1:1" ht="46.5" customHeight="1" x14ac:dyDescent="0.25">
      <c r="A5287" s="1"/>
    </row>
    <row r="5288" spans="1:1" ht="46.5" customHeight="1" x14ac:dyDescent="0.25">
      <c r="A5288" s="1"/>
    </row>
    <row r="5289" spans="1:1" ht="46.5" customHeight="1" x14ac:dyDescent="0.25">
      <c r="A5289" s="1"/>
    </row>
    <row r="5290" spans="1:1" ht="46.5" customHeight="1" x14ac:dyDescent="0.25">
      <c r="A5290" s="1"/>
    </row>
    <row r="5291" spans="1:1" ht="46.5" customHeight="1" x14ac:dyDescent="0.25">
      <c r="A5291" s="1"/>
    </row>
    <row r="5292" spans="1:1" ht="46.5" customHeight="1" x14ac:dyDescent="0.25">
      <c r="A5292" s="1"/>
    </row>
    <row r="5293" spans="1:1" ht="46.5" customHeight="1" x14ac:dyDescent="0.25">
      <c r="A5293" s="1"/>
    </row>
    <row r="5294" spans="1:1" ht="46.5" customHeight="1" x14ac:dyDescent="0.25">
      <c r="A5294" s="1"/>
    </row>
    <row r="5295" spans="1:1" ht="46.5" customHeight="1" x14ac:dyDescent="0.25">
      <c r="A5295" s="1"/>
    </row>
    <row r="5296" spans="1:1" ht="46.5" customHeight="1" x14ac:dyDescent="0.25">
      <c r="A5296" s="1"/>
    </row>
    <row r="5297" spans="1:1" ht="46.5" customHeight="1" x14ac:dyDescent="0.25">
      <c r="A5297" s="1"/>
    </row>
    <row r="5298" spans="1:1" ht="46.5" customHeight="1" x14ac:dyDescent="0.25">
      <c r="A5298" s="1"/>
    </row>
    <row r="5299" spans="1:1" ht="46.5" customHeight="1" x14ac:dyDescent="0.25">
      <c r="A5299" s="1"/>
    </row>
    <row r="5300" spans="1:1" ht="46.5" customHeight="1" x14ac:dyDescent="0.25">
      <c r="A5300" s="1"/>
    </row>
    <row r="5301" spans="1:1" ht="46.5" customHeight="1" x14ac:dyDescent="0.25">
      <c r="A5301" s="1"/>
    </row>
    <row r="5302" spans="1:1" ht="46.5" customHeight="1" x14ac:dyDescent="0.25">
      <c r="A5302" s="1"/>
    </row>
    <row r="5303" spans="1:1" ht="46.5" customHeight="1" x14ac:dyDescent="0.25">
      <c r="A5303" s="1"/>
    </row>
    <row r="5304" spans="1:1" ht="46.5" customHeight="1" x14ac:dyDescent="0.25">
      <c r="A5304" s="1"/>
    </row>
    <row r="5305" spans="1:1" ht="46.5" customHeight="1" x14ac:dyDescent="0.25">
      <c r="A5305" s="1"/>
    </row>
    <row r="5306" spans="1:1" ht="46.5" customHeight="1" x14ac:dyDescent="0.25">
      <c r="A5306" s="1"/>
    </row>
    <row r="5307" spans="1:1" ht="46.5" customHeight="1" x14ac:dyDescent="0.25">
      <c r="A5307" s="1"/>
    </row>
    <row r="5308" spans="1:1" ht="46.5" customHeight="1" x14ac:dyDescent="0.25">
      <c r="A5308" s="1"/>
    </row>
    <row r="5309" spans="1:1" ht="46.5" customHeight="1" x14ac:dyDescent="0.25">
      <c r="A5309" s="1"/>
    </row>
    <row r="5310" spans="1:1" ht="46.5" customHeight="1" x14ac:dyDescent="0.25">
      <c r="A5310" s="1"/>
    </row>
    <row r="5311" spans="1:1" ht="46.5" customHeight="1" x14ac:dyDescent="0.25">
      <c r="A5311" s="1"/>
    </row>
    <row r="5312" spans="1:1" ht="46.5" customHeight="1" x14ac:dyDescent="0.25">
      <c r="A5312" s="1"/>
    </row>
    <row r="5313" spans="1:1" ht="46.5" customHeight="1" x14ac:dyDescent="0.25">
      <c r="A5313" s="1"/>
    </row>
    <row r="5314" spans="1:1" ht="46.5" customHeight="1" x14ac:dyDescent="0.25">
      <c r="A5314" s="1"/>
    </row>
    <row r="5315" spans="1:1" ht="46.5" customHeight="1" x14ac:dyDescent="0.25">
      <c r="A5315" s="1"/>
    </row>
    <row r="5316" spans="1:1" ht="46.5" customHeight="1" x14ac:dyDescent="0.25">
      <c r="A5316" s="1"/>
    </row>
    <row r="5317" spans="1:1" ht="46.5" customHeight="1" x14ac:dyDescent="0.25">
      <c r="A5317" s="1"/>
    </row>
    <row r="5318" spans="1:1" ht="46.5" customHeight="1" x14ac:dyDescent="0.25">
      <c r="A5318" s="1"/>
    </row>
    <row r="5319" spans="1:1" ht="46.5" customHeight="1" x14ac:dyDescent="0.25">
      <c r="A5319" s="1"/>
    </row>
    <row r="5320" spans="1:1" ht="46.5" customHeight="1" x14ac:dyDescent="0.25">
      <c r="A5320" s="1"/>
    </row>
    <row r="5321" spans="1:1" ht="46.5" customHeight="1" x14ac:dyDescent="0.25">
      <c r="A5321" s="1"/>
    </row>
    <row r="5322" spans="1:1" ht="46.5" customHeight="1" x14ac:dyDescent="0.25">
      <c r="A5322" s="1"/>
    </row>
    <row r="5323" spans="1:1" ht="46.5" customHeight="1" x14ac:dyDescent="0.25">
      <c r="A5323" s="1"/>
    </row>
    <row r="5324" spans="1:1" ht="46.5" customHeight="1" x14ac:dyDescent="0.25">
      <c r="A5324" s="1"/>
    </row>
    <row r="5325" spans="1:1" ht="46.5" customHeight="1" x14ac:dyDescent="0.25">
      <c r="A5325" s="1"/>
    </row>
    <row r="5326" spans="1:1" ht="46.5" customHeight="1" x14ac:dyDescent="0.25">
      <c r="A5326" s="1"/>
    </row>
    <row r="5327" spans="1:1" ht="46.5" customHeight="1" x14ac:dyDescent="0.25">
      <c r="A5327" s="1"/>
    </row>
    <row r="5328" spans="1:1" ht="46.5" customHeight="1" x14ac:dyDescent="0.25">
      <c r="A5328" s="1"/>
    </row>
    <row r="5329" spans="1:1" ht="46.5" customHeight="1" x14ac:dyDescent="0.25">
      <c r="A5329" s="1"/>
    </row>
    <row r="5330" spans="1:1" ht="46.5" customHeight="1" x14ac:dyDescent="0.25">
      <c r="A5330" s="1"/>
    </row>
    <row r="5331" spans="1:1" ht="46.5" customHeight="1" x14ac:dyDescent="0.25">
      <c r="A5331" s="1"/>
    </row>
    <row r="5332" spans="1:1" ht="46.5" customHeight="1" x14ac:dyDescent="0.25">
      <c r="A5332" s="1"/>
    </row>
    <row r="5333" spans="1:1" ht="46.5" customHeight="1" x14ac:dyDescent="0.25">
      <c r="A5333" s="1"/>
    </row>
    <row r="5334" spans="1:1" ht="46.5" customHeight="1" x14ac:dyDescent="0.25">
      <c r="A5334" s="1"/>
    </row>
    <row r="5335" spans="1:1" ht="46.5" customHeight="1" x14ac:dyDescent="0.25">
      <c r="A5335" s="1"/>
    </row>
    <row r="5336" spans="1:1" ht="46.5" customHeight="1" x14ac:dyDescent="0.25">
      <c r="A5336" s="1"/>
    </row>
    <row r="5337" spans="1:1" ht="46.5" customHeight="1" x14ac:dyDescent="0.25">
      <c r="A5337" s="1"/>
    </row>
    <row r="5338" spans="1:1" ht="46.5" customHeight="1" x14ac:dyDescent="0.25">
      <c r="A5338" s="1"/>
    </row>
    <row r="5339" spans="1:1" ht="46.5" customHeight="1" x14ac:dyDescent="0.25">
      <c r="A5339" s="1"/>
    </row>
    <row r="5340" spans="1:1" ht="46.5" customHeight="1" x14ac:dyDescent="0.25">
      <c r="A5340" s="1"/>
    </row>
    <row r="5341" spans="1:1" ht="46.5" customHeight="1" x14ac:dyDescent="0.25">
      <c r="A5341" s="1"/>
    </row>
    <row r="5342" spans="1:1" ht="46.5" customHeight="1" x14ac:dyDescent="0.25">
      <c r="A5342" s="1"/>
    </row>
    <row r="5343" spans="1:1" ht="46.5" customHeight="1" x14ac:dyDescent="0.25">
      <c r="A5343" s="1"/>
    </row>
    <row r="5344" spans="1:1" ht="46.5" customHeight="1" x14ac:dyDescent="0.25">
      <c r="A5344" s="1"/>
    </row>
    <row r="5345" spans="1:1" ht="46.5" customHeight="1" x14ac:dyDescent="0.25">
      <c r="A5345" s="1"/>
    </row>
    <row r="5346" spans="1:1" ht="46.5" customHeight="1" x14ac:dyDescent="0.25">
      <c r="A5346" s="1"/>
    </row>
    <row r="5347" spans="1:1" ht="46.5" customHeight="1" x14ac:dyDescent="0.25">
      <c r="A5347" s="1"/>
    </row>
    <row r="5348" spans="1:1" ht="46.5" customHeight="1" x14ac:dyDescent="0.25">
      <c r="A5348" s="1"/>
    </row>
    <row r="5349" spans="1:1" ht="46.5" customHeight="1" x14ac:dyDescent="0.25">
      <c r="A5349" s="1"/>
    </row>
    <row r="5350" spans="1:1" ht="46.5" customHeight="1" x14ac:dyDescent="0.25">
      <c r="A5350" s="1"/>
    </row>
    <row r="5351" spans="1:1" ht="46.5" customHeight="1" x14ac:dyDescent="0.25">
      <c r="A5351" s="1"/>
    </row>
    <row r="5352" spans="1:1" ht="46.5" customHeight="1" x14ac:dyDescent="0.25">
      <c r="A5352" s="1"/>
    </row>
    <row r="5353" spans="1:1" ht="46.5" customHeight="1" x14ac:dyDescent="0.25">
      <c r="A5353" s="1"/>
    </row>
    <row r="5354" spans="1:1" ht="46.5" customHeight="1" x14ac:dyDescent="0.25">
      <c r="A5354" s="1"/>
    </row>
    <row r="5355" spans="1:1" ht="46.5" customHeight="1" x14ac:dyDescent="0.25">
      <c r="A5355" s="1"/>
    </row>
    <row r="5356" spans="1:1" ht="46.5" customHeight="1" x14ac:dyDescent="0.25">
      <c r="A5356" s="1"/>
    </row>
    <row r="5357" spans="1:1" ht="46.5" customHeight="1" x14ac:dyDescent="0.25">
      <c r="A5357" s="1"/>
    </row>
    <row r="5358" spans="1:1" ht="46.5" customHeight="1" x14ac:dyDescent="0.25">
      <c r="A5358" s="1"/>
    </row>
    <row r="5359" spans="1:1" ht="46.5" customHeight="1" x14ac:dyDescent="0.25">
      <c r="A5359" s="1"/>
    </row>
    <row r="5360" spans="1:1" ht="46.5" customHeight="1" x14ac:dyDescent="0.25">
      <c r="A5360" s="1"/>
    </row>
    <row r="5361" spans="1:1" ht="46.5" customHeight="1" x14ac:dyDescent="0.25">
      <c r="A5361" s="1"/>
    </row>
    <row r="5362" spans="1:1" ht="46.5" customHeight="1" x14ac:dyDescent="0.25">
      <c r="A5362" s="1"/>
    </row>
    <row r="5363" spans="1:1" ht="46.5" customHeight="1" x14ac:dyDescent="0.25">
      <c r="A5363" s="1"/>
    </row>
    <row r="5364" spans="1:1" ht="46.5" customHeight="1" x14ac:dyDescent="0.25">
      <c r="A5364" s="1"/>
    </row>
    <row r="5365" spans="1:1" ht="46.5" customHeight="1" x14ac:dyDescent="0.25">
      <c r="A5365" s="1"/>
    </row>
    <row r="5366" spans="1:1" ht="46.5" customHeight="1" x14ac:dyDescent="0.25">
      <c r="A5366" s="1"/>
    </row>
    <row r="5367" spans="1:1" ht="46.5" customHeight="1" x14ac:dyDescent="0.25">
      <c r="A5367" s="1"/>
    </row>
    <row r="5368" spans="1:1" ht="46.5" customHeight="1" x14ac:dyDescent="0.25">
      <c r="A5368" s="1"/>
    </row>
    <row r="5369" spans="1:1" ht="46.5" customHeight="1" x14ac:dyDescent="0.25">
      <c r="A5369" s="1"/>
    </row>
    <row r="5370" spans="1:1" ht="46.5" customHeight="1" x14ac:dyDescent="0.25">
      <c r="A5370" s="1"/>
    </row>
    <row r="5371" spans="1:1" ht="46.5" customHeight="1" x14ac:dyDescent="0.25">
      <c r="A5371" s="1"/>
    </row>
    <row r="5372" spans="1:1" ht="46.5" customHeight="1" x14ac:dyDescent="0.25">
      <c r="A5372" s="1"/>
    </row>
    <row r="5373" spans="1:1" ht="46.5" customHeight="1" x14ac:dyDescent="0.25">
      <c r="A5373" s="1"/>
    </row>
    <row r="5374" spans="1:1" ht="46.5" customHeight="1" x14ac:dyDescent="0.25">
      <c r="A5374" s="1"/>
    </row>
    <row r="5375" spans="1:1" ht="46.5" customHeight="1" x14ac:dyDescent="0.25">
      <c r="A5375" s="1"/>
    </row>
    <row r="5376" spans="1:1" ht="46.5" customHeight="1" x14ac:dyDescent="0.25">
      <c r="A5376" s="1"/>
    </row>
    <row r="5377" spans="1:1" ht="46.5" customHeight="1" x14ac:dyDescent="0.25">
      <c r="A5377" s="1"/>
    </row>
    <row r="5378" spans="1:1" ht="46.5" customHeight="1" x14ac:dyDescent="0.25">
      <c r="A5378" s="1"/>
    </row>
    <row r="5379" spans="1:1" ht="46.5" customHeight="1" x14ac:dyDescent="0.25">
      <c r="A5379" s="1"/>
    </row>
    <row r="5380" spans="1:1" ht="46.5" customHeight="1" x14ac:dyDescent="0.25">
      <c r="A5380" s="1"/>
    </row>
    <row r="5381" spans="1:1" ht="46.5" customHeight="1" x14ac:dyDescent="0.25">
      <c r="A5381" s="1"/>
    </row>
    <row r="5382" spans="1:1" ht="46.5" customHeight="1" x14ac:dyDescent="0.25">
      <c r="A5382" s="1"/>
    </row>
    <row r="5383" spans="1:1" ht="46.5" customHeight="1" x14ac:dyDescent="0.25">
      <c r="A5383" s="1"/>
    </row>
    <row r="5384" spans="1:1" ht="46.5" customHeight="1" x14ac:dyDescent="0.25">
      <c r="A5384" s="1"/>
    </row>
    <row r="5385" spans="1:1" ht="46.5" customHeight="1" x14ac:dyDescent="0.25">
      <c r="A5385" s="1"/>
    </row>
    <row r="5386" spans="1:1" ht="46.5" customHeight="1" x14ac:dyDescent="0.25">
      <c r="A5386" s="1"/>
    </row>
    <row r="5387" spans="1:1" ht="46.5" customHeight="1" x14ac:dyDescent="0.25">
      <c r="A5387" s="1"/>
    </row>
    <row r="5388" spans="1:1" ht="46.5" customHeight="1" x14ac:dyDescent="0.25">
      <c r="A5388" s="1"/>
    </row>
    <row r="5389" spans="1:1" ht="46.5" customHeight="1" x14ac:dyDescent="0.25">
      <c r="A5389" s="1"/>
    </row>
    <row r="5390" spans="1:1" ht="46.5" customHeight="1" x14ac:dyDescent="0.25">
      <c r="A5390" s="1"/>
    </row>
    <row r="5391" spans="1:1" ht="46.5" customHeight="1" x14ac:dyDescent="0.25">
      <c r="A5391" s="1"/>
    </row>
    <row r="5392" spans="1:1" ht="46.5" customHeight="1" x14ac:dyDescent="0.25">
      <c r="A5392" s="1"/>
    </row>
    <row r="5393" spans="1:1" ht="46.5" customHeight="1" x14ac:dyDescent="0.25">
      <c r="A5393" s="1"/>
    </row>
    <row r="5394" spans="1:1" ht="46.5" customHeight="1" x14ac:dyDescent="0.25">
      <c r="A5394" s="1"/>
    </row>
    <row r="5395" spans="1:1" ht="46.5" customHeight="1" x14ac:dyDescent="0.25">
      <c r="A5395" s="1"/>
    </row>
    <row r="5396" spans="1:1" ht="46.5" customHeight="1" x14ac:dyDescent="0.25">
      <c r="A5396" s="1"/>
    </row>
    <row r="5397" spans="1:1" ht="46.5" customHeight="1" x14ac:dyDescent="0.25">
      <c r="A5397" s="1"/>
    </row>
    <row r="5398" spans="1:1" ht="46.5" customHeight="1" x14ac:dyDescent="0.25">
      <c r="A5398" s="1"/>
    </row>
    <row r="5399" spans="1:1" ht="46.5" customHeight="1" x14ac:dyDescent="0.25">
      <c r="A5399" s="1"/>
    </row>
    <row r="5400" spans="1:1" ht="46.5" customHeight="1" x14ac:dyDescent="0.25">
      <c r="A5400" s="1"/>
    </row>
    <row r="5401" spans="1:1" ht="46.5" customHeight="1" x14ac:dyDescent="0.25">
      <c r="A5401" s="1"/>
    </row>
    <row r="5402" spans="1:1" ht="46.5" customHeight="1" x14ac:dyDescent="0.25">
      <c r="A5402" s="1"/>
    </row>
    <row r="5403" spans="1:1" ht="46.5" customHeight="1" x14ac:dyDescent="0.25">
      <c r="A5403" s="1"/>
    </row>
    <row r="5404" spans="1:1" ht="46.5" customHeight="1" x14ac:dyDescent="0.25">
      <c r="A5404" s="1"/>
    </row>
    <row r="5405" spans="1:1" ht="46.5" customHeight="1" x14ac:dyDescent="0.25">
      <c r="A5405" s="1"/>
    </row>
    <row r="5406" spans="1:1" ht="46.5" customHeight="1" x14ac:dyDescent="0.25">
      <c r="A5406" s="1"/>
    </row>
    <row r="5407" spans="1:1" ht="46.5" customHeight="1" x14ac:dyDescent="0.25">
      <c r="A5407" s="1"/>
    </row>
    <row r="5408" spans="1:1" ht="46.5" customHeight="1" x14ac:dyDescent="0.25">
      <c r="A5408" s="1"/>
    </row>
    <row r="5409" spans="1:1" ht="46.5" customHeight="1" x14ac:dyDescent="0.25">
      <c r="A5409" s="1"/>
    </row>
    <row r="5410" spans="1:1" ht="46.5" customHeight="1" x14ac:dyDescent="0.25">
      <c r="A5410" s="1"/>
    </row>
    <row r="5411" spans="1:1" ht="46.5" customHeight="1" x14ac:dyDescent="0.25">
      <c r="A5411" s="1"/>
    </row>
    <row r="5412" spans="1:1" ht="46.5" customHeight="1" x14ac:dyDescent="0.25">
      <c r="A5412" s="1"/>
    </row>
    <row r="5413" spans="1:1" ht="46.5" customHeight="1" x14ac:dyDescent="0.25">
      <c r="A5413" s="1"/>
    </row>
    <row r="5414" spans="1:1" ht="46.5" customHeight="1" x14ac:dyDescent="0.25">
      <c r="A5414" s="1"/>
    </row>
    <row r="5415" spans="1:1" ht="46.5" customHeight="1" x14ac:dyDescent="0.25">
      <c r="A5415" s="1"/>
    </row>
    <row r="5416" spans="1:1" ht="46.5" customHeight="1" x14ac:dyDescent="0.25">
      <c r="A5416" s="1"/>
    </row>
    <row r="5417" spans="1:1" ht="46.5" customHeight="1" x14ac:dyDescent="0.25">
      <c r="A5417" s="1"/>
    </row>
    <row r="5418" spans="1:1" ht="46.5" customHeight="1" x14ac:dyDescent="0.25">
      <c r="A5418" s="1"/>
    </row>
    <row r="5419" spans="1:1" ht="46.5" customHeight="1" x14ac:dyDescent="0.25">
      <c r="A5419" s="1"/>
    </row>
    <row r="5420" spans="1:1" ht="46.5" customHeight="1" x14ac:dyDescent="0.25">
      <c r="A5420" s="1"/>
    </row>
    <row r="5421" spans="1:1" ht="46.5" customHeight="1" x14ac:dyDescent="0.25">
      <c r="A5421" s="1"/>
    </row>
    <row r="5422" spans="1:1" ht="46.5" customHeight="1" x14ac:dyDescent="0.25">
      <c r="A5422" s="1"/>
    </row>
    <row r="5423" spans="1:1" ht="46.5" customHeight="1" x14ac:dyDescent="0.25">
      <c r="A5423" s="1"/>
    </row>
    <row r="5424" spans="1:1" ht="46.5" customHeight="1" x14ac:dyDescent="0.25">
      <c r="A5424" s="1"/>
    </row>
    <row r="5425" spans="1:1" ht="46.5" customHeight="1" x14ac:dyDescent="0.25">
      <c r="A5425" s="1"/>
    </row>
    <row r="5426" spans="1:1" ht="46.5" customHeight="1" x14ac:dyDescent="0.25">
      <c r="A5426" s="1"/>
    </row>
    <row r="5427" spans="1:1" ht="46.5" customHeight="1" x14ac:dyDescent="0.25">
      <c r="A5427" s="1"/>
    </row>
    <row r="5428" spans="1:1" ht="46.5" customHeight="1" x14ac:dyDescent="0.25">
      <c r="A5428" s="1"/>
    </row>
    <row r="5429" spans="1:1" ht="46.5" customHeight="1" x14ac:dyDescent="0.25">
      <c r="A5429" s="1"/>
    </row>
    <row r="5430" spans="1:1" ht="46.5" customHeight="1" x14ac:dyDescent="0.25">
      <c r="A5430" s="1"/>
    </row>
    <row r="5431" spans="1:1" ht="46.5" customHeight="1" x14ac:dyDescent="0.25">
      <c r="A5431" s="1"/>
    </row>
    <row r="5432" spans="1:1" ht="46.5" customHeight="1" x14ac:dyDescent="0.25">
      <c r="A5432" s="1"/>
    </row>
    <row r="5433" spans="1:1" ht="46.5" customHeight="1" x14ac:dyDescent="0.25">
      <c r="A5433" s="1"/>
    </row>
    <row r="5434" spans="1:1" ht="46.5" customHeight="1" x14ac:dyDescent="0.25">
      <c r="A5434" s="1"/>
    </row>
    <row r="5435" spans="1:1" ht="46.5" customHeight="1" x14ac:dyDescent="0.25">
      <c r="A5435" s="1"/>
    </row>
    <row r="5436" spans="1:1" ht="46.5" customHeight="1" x14ac:dyDescent="0.25">
      <c r="A5436" s="1"/>
    </row>
    <row r="5437" spans="1:1" ht="46.5" customHeight="1" x14ac:dyDescent="0.25">
      <c r="A5437" s="1"/>
    </row>
    <row r="5438" spans="1:1" ht="46.5" customHeight="1" x14ac:dyDescent="0.25">
      <c r="A5438" s="1"/>
    </row>
    <row r="5439" spans="1:1" ht="46.5" customHeight="1" x14ac:dyDescent="0.25">
      <c r="A5439" s="1"/>
    </row>
    <row r="5440" spans="1:1" ht="46.5" customHeight="1" x14ac:dyDescent="0.25">
      <c r="A5440" s="1"/>
    </row>
    <row r="5441" spans="1:1" ht="46.5" customHeight="1" x14ac:dyDescent="0.25">
      <c r="A5441" s="1"/>
    </row>
    <row r="5442" spans="1:1" ht="46.5" customHeight="1" x14ac:dyDescent="0.25">
      <c r="A5442" s="1"/>
    </row>
    <row r="5443" spans="1:1" ht="46.5" customHeight="1" x14ac:dyDescent="0.25">
      <c r="A5443" s="1"/>
    </row>
    <row r="5444" spans="1:1" ht="46.5" customHeight="1" x14ac:dyDescent="0.25">
      <c r="A5444" s="1"/>
    </row>
    <row r="5445" spans="1:1" ht="46.5" customHeight="1" x14ac:dyDescent="0.25">
      <c r="A5445" s="1"/>
    </row>
    <row r="5446" spans="1:1" ht="46.5" customHeight="1" x14ac:dyDescent="0.25">
      <c r="A5446" s="1"/>
    </row>
    <row r="5447" spans="1:1" ht="46.5" customHeight="1" x14ac:dyDescent="0.25">
      <c r="A5447" s="1"/>
    </row>
    <row r="5448" spans="1:1" ht="46.5" customHeight="1" x14ac:dyDescent="0.25">
      <c r="A5448" s="1"/>
    </row>
    <row r="5449" spans="1:1" ht="46.5" customHeight="1" x14ac:dyDescent="0.25">
      <c r="A5449" s="1"/>
    </row>
    <row r="5450" spans="1:1" ht="46.5" customHeight="1" x14ac:dyDescent="0.25">
      <c r="A5450" s="1"/>
    </row>
    <row r="5451" spans="1:1" ht="46.5" customHeight="1" x14ac:dyDescent="0.25">
      <c r="A5451" s="1"/>
    </row>
    <row r="5452" spans="1:1" ht="46.5" customHeight="1" x14ac:dyDescent="0.25">
      <c r="A5452" s="1"/>
    </row>
    <row r="5453" spans="1:1" ht="46.5" customHeight="1" x14ac:dyDescent="0.25">
      <c r="A5453" s="1"/>
    </row>
    <row r="5454" spans="1:1" ht="46.5" customHeight="1" x14ac:dyDescent="0.25">
      <c r="A5454" s="1"/>
    </row>
    <row r="5455" spans="1:1" ht="46.5" customHeight="1" x14ac:dyDescent="0.25">
      <c r="A5455" s="1"/>
    </row>
    <row r="5456" spans="1:1" ht="46.5" customHeight="1" x14ac:dyDescent="0.25">
      <c r="A5456" s="1"/>
    </row>
    <row r="5457" spans="1:1" ht="46.5" customHeight="1" x14ac:dyDescent="0.25">
      <c r="A5457" s="1"/>
    </row>
    <row r="5458" spans="1:1" ht="46.5" customHeight="1" x14ac:dyDescent="0.25">
      <c r="A5458" s="1"/>
    </row>
    <row r="5459" spans="1:1" ht="46.5" customHeight="1" x14ac:dyDescent="0.25">
      <c r="A5459" s="1"/>
    </row>
    <row r="5460" spans="1:1" ht="46.5" customHeight="1" x14ac:dyDescent="0.25">
      <c r="A5460" s="1"/>
    </row>
    <row r="5461" spans="1:1" ht="46.5" customHeight="1" x14ac:dyDescent="0.25">
      <c r="A5461" s="1"/>
    </row>
    <row r="5462" spans="1:1" ht="46.5" customHeight="1" x14ac:dyDescent="0.25">
      <c r="A5462" s="1"/>
    </row>
    <row r="5463" spans="1:1" ht="46.5" customHeight="1" x14ac:dyDescent="0.25">
      <c r="A5463" s="1"/>
    </row>
    <row r="5464" spans="1:1" ht="46.5" customHeight="1" x14ac:dyDescent="0.25">
      <c r="A5464" s="1"/>
    </row>
    <row r="5465" spans="1:1" ht="46.5" customHeight="1" x14ac:dyDescent="0.25">
      <c r="A5465" s="1"/>
    </row>
    <row r="5466" spans="1:1" ht="46.5" customHeight="1" x14ac:dyDescent="0.25">
      <c r="A5466" s="1"/>
    </row>
    <row r="5467" spans="1:1" ht="46.5" customHeight="1" x14ac:dyDescent="0.25">
      <c r="A5467" s="1"/>
    </row>
    <row r="5468" spans="1:1" ht="46.5" customHeight="1" x14ac:dyDescent="0.25">
      <c r="A5468" s="1"/>
    </row>
    <row r="5469" spans="1:1" ht="46.5" customHeight="1" x14ac:dyDescent="0.25">
      <c r="A5469" s="1"/>
    </row>
    <row r="5470" spans="1:1" ht="46.5" customHeight="1" x14ac:dyDescent="0.25">
      <c r="A5470" s="1"/>
    </row>
    <row r="5471" spans="1:1" ht="46.5" customHeight="1" x14ac:dyDescent="0.25">
      <c r="A5471" s="1"/>
    </row>
    <row r="5472" spans="1:1" ht="46.5" customHeight="1" x14ac:dyDescent="0.25">
      <c r="A5472" s="1"/>
    </row>
    <row r="5473" spans="1:1" ht="46.5" customHeight="1" x14ac:dyDescent="0.25">
      <c r="A5473" s="1"/>
    </row>
    <row r="5474" spans="1:1" ht="46.5" customHeight="1" x14ac:dyDescent="0.25">
      <c r="A5474" s="1"/>
    </row>
    <row r="5475" spans="1:1" ht="46.5" customHeight="1" x14ac:dyDescent="0.25">
      <c r="A5475" s="1"/>
    </row>
    <row r="5476" spans="1:1" ht="46.5" customHeight="1" x14ac:dyDescent="0.25">
      <c r="A5476" s="1"/>
    </row>
    <row r="5477" spans="1:1" ht="46.5" customHeight="1" x14ac:dyDescent="0.25">
      <c r="A5477" s="1"/>
    </row>
    <row r="5478" spans="1:1" ht="46.5" customHeight="1" x14ac:dyDescent="0.25">
      <c r="A5478" s="1"/>
    </row>
    <row r="5479" spans="1:1" ht="46.5" customHeight="1" x14ac:dyDescent="0.25">
      <c r="A5479" s="1"/>
    </row>
    <row r="5480" spans="1:1" ht="46.5" customHeight="1" x14ac:dyDescent="0.25">
      <c r="A5480" s="1"/>
    </row>
    <row r="5481" spans="1:1" ht="46.5" customHeight="1" x14ac:dyDescent="0.25">
      <c r="A5481" s="1"/>
    </row>
    <row r="5482" spans="1:1" ht="46.5" customHeight="1" x14ac:dyDescent="0.25">
      <c r="A5482" s="1"/>
    </row>
    <row r="5483" spans="1:1" ht="46.5" customHeight="1" x14ac:dyDescent="0.25">
      <c r="A5483" s="1"/>
    </row>
    <row r="5484" spans="1:1" ht="46.5" customHeight="1" x14ac:dyDescent="0.25">
      <c r="A5484" s="1"/>
    </row>
    <row r="5485" spans="1:1" ht="46.5" customHeight="1" x14ac:dyDescent="0.25">
      <c r="A5485" s="1"/>
    </row>
    <row r="5486" spans="1:1" ht="46.5" customHeight="1" x14ac:dyDescent="0.25">
      <c r="A5486" s="1"/>
    </row>
    <row r="5487" spans="1:1" ht="46.5" customHeight="1" x14ac:dyDescent="0.25">
      <c r="A5487" s="1"/>
    </row>
    <row r="5488" spans="1:1" ht="46.5" customHeight="1" x14ac:dyDescent="0.25">
      <c r="A5488" s="1"/>
    </row>
    <row r="5489" spans="1:1" ht="46.5" customHeight="1" x14ac:dyDescent="0.25">
      <c r="A5489" s="1"/>
    </row>
    <row r="5490" spans="1:1" ht="46.5" customHeight="1" x14ac:dyDescent="0.25">
      <c r="A5490" s="1"/>
    </row>
    <row r="5491" spans="1:1" ht="46.5" customHeight="1" x14ac:dyDescent="0.25">
      <c r="A5491" s="1"/>
    </row>
    <row r="5492" spans="1:1" ht="46.5" customHeight="1" x14ac:dyDescent="0.25">
      <c r="A5492" s="1"/>
    </row>
    <row r="5493" spans="1:1" ht="46.5" customHeight="1" x14ac:dyDescent="0.25">
      <c r="A5493" s="1"/>
    </row>
    <row r="5494" spans="1:1" ht="46.5" customHeight="1" x14ac:dyDescent="0.25">
      <c r="A5494" s="1"/>
    </row>
    <row r="5495" spans="1:1" ht="46.5" customHeight="1" x14ac:dyDescent="0.25">
      <c r="A5495" s="1"/>
    </row>
    <row r="5496" spans="1:1" ht="46.5" customHeight="1" x14ac:dyDescent="0.25">
      <c r="A5496" s="1"/>
    </row>
    <row r="5497" spans="1:1" ht="46.5" customHeight="1" x14ac:dyDescent="0.25">
      <c r="A5497" s="1"/>
    </row>
    <row r="5498" spans="1:1" ht="46.5" customHeight="1" x14ac:dyDescent="0.25">
      <c r="A5498" s="1"/>
    </row>
    <row r="5499" spans="1:1" ht="46.5" customHeight="1" x14ac:dyDescent="0.25">
      <c r="A5499" s="1"/>
    </row>
    <row r="5500" spans="1:1" ht="46.5" customHeight="1" x14ac:dyDescent="0.25">
      <c r="A5500" s="1"/>
    </row>
    <row r="5501" spans="1:1" ht="46.5" customHeight="1" x14ac:dyDescent="0.25">
      <c r="A5501" s="1"/>
    </row>
    <row r="5502" spans="1:1" ht="46.5" customHeight="1" x14ac:dyDescent="0.25">
      <c r="A5502" s="1"/>
    </row>
    <row r="5503" spans="1:1" ht="46.5" customHeight="1" x14ac:dyDescent="0.25">
      <c r="A5503" s="1"/>
    </row>
    <row r="5504" spans="1:1" ht="46.5" customHeight="1" x14ac:dyDescent="0.25">
      <c r="A5504" s="1"/>
    </row>
    <row r="5505" spans="1:1" ht="46.5" customHeight="1" x14ac:dyDescent="0.25">
      <c r="A5505" s="1"/>
    </row>
    <row r="5506" spans="1:1" ht="46.5" customHeight="1" x14ac:dyDescent="0.25">
      <c r="A5506" s="1"/>
    </row>
    <row r="5507" spans="1:1" ht="46.5" customHeight="1" x14ac:dyDescent="0.25">
      <c r="A5507" s="1"/>
    </row>
    <row r="5508" spans="1:1" ht="46.5" customHeight="1" x14ac:dyDescent="0.25">
      <c r="A5508" s="1"/>
    </row>
    <row r="5509" spans="1:1" ht="46.5" customHeight="1" x14ac:dyDescent="0.25">
      <c r="A5509" s="1"/>
    </row>
    <row r="5510" spans="1:1" ht="46.5" customHeight="1" x14ac:dyDescent="0.25">
      <c r="A5510" s="1"/>
    </row>
    <row r="5511" spans="1:1" ht="46.5" customHeight="1" x14ac:dyDescent="0.25">
      <c r="A5511" s="1"/>
    </row>
    <row r="5512" spans="1:1" ht="46.5" customHeight="1" x14ac:dyDescent="0.25">
      <c r="A5512" s="1"/>
    </row>
    <row r="5513" spans="1:1" ht="46.5" customHeight="1" x14ac:dyDescent="0.25">
      <c r="A5513" s="1"/>
    </row>
    <row r="5514" spans="1:1" ht="46.5" customHeight="1" x14ac:dyDescent="0.25">
      <c r="A5514" s="1"/>
    </row>
    <row r="5515" spans="1:1" ht="46.5" customHeight="1" x14ac:dyDescent="0.25">
      <c r="A5515" s="1"/>
    </row>
    <row r="5516" spans="1:1" ht="46.5" customHeight="1" x14ac:dyDescent="0.25">
      <c r="A5516" s="1"/>
    </row>
    <row r="5517" spans="1:1" ht="46.5" customHeight="1" x14ac:dyDescent="0.25">
      <c r="A5517" s="1"/>
    </row>
    <row r="5518" spans="1:1" ht="46.5" customHeight="1" x14ac:dyDescent="0.25">
      <c r="A5518" s="1"/>
    </row>
    <row r="5519" spans="1:1" ht="46.5" customHeight="1" x14ac:dyDescent="0.25">
      <c r="A5519" s="1"/>
    </row>
    <row r="5520" spans="1:1" ht="46.5" customHeight="1" x14ac:dyDescent="0.25">
      <c r="A5520" s="1"/>
    </row>
    <row r="5521" spans="1:1" ht="46.5" customHeight="1" x14ac:dyDescent="0.25">
      <c r="A5521" s="1"/>
    </row>
    <row r="5522" spans="1:1" ht="46.5" customHeight="1" x14ac:dyDescent="0.25">
      <c r="A5522" s="1"/>
    </row>
    <row r="5523" spans="1:1" ht="46.5" customHeight="1" x14ac:dyDescent="0.25">
      <c r="A5523" s="1"/>
    </row>
    <row r="5524" spans="1:1" ht="46.5" customHeight="1" x14ac:dyDescent="0.25">
      <c r="A5524" s="1"/>
    </row>
    <row r="5525" spans="1:1" ht="46.5" customHeight="1" x14ac:dyDescent="0.25">
      <c r="A5525" s="1"/>
    </row>
    <row r="5526" spans="1:1" ht="46.5" customHeight="1" x14ac:dyDescent="0.25">
      <c r="A5526" s="1"/>
    </row>
    <row r="5527" spans="1:1" ht="46.5" customHeight="1" x14ac:dyDescent="0.25">
      <c r="A5527" s="1"/>
    </row>
    <row r="5528" spans="1:1" ht="46.5" customHeight="1" x14ac:dyDescent="0.25">
      <c r="A5528" s="1"/>
    </row>
    <row r="5529" spans="1:1" ht="46.5" customHeight="1" x14ac:dyDescent="0.25">
      <c r="A5529" s="1"/>
    </row>
    <row r="5530" spans="1:1" ht="46.5" customHeight="1" x14ac:dyDescent="0.25">
      <c r="A5530" s="1"/>
    </row>
    <row r="5531" spans="1:1" ht="46.5" customHeight="1" x14ac:dyDescent="0.25">
      <c r="A5531" s="1"/>
    </row>
    <row r="5532" spans="1:1" ht="46.5" customHeight="1" x14ac:dyDescent="0.25">
      <c r="A5532" s="1"/>
    </row>
    <row r="5533" spans="1:1" ht="46.5" customHeight="1" x14ac:dyDescent="0.25">
      <c r="A5533" s="1"/>
    </row>
    <row r="5534" spans="1:1" ht="46.5" customHeight="1" x14ac:dyDescent="0.25">
      <c r="A5534" s="1"/>
    </row>
    <row r="5535" spans="1:1" ht="46.5" customHeight="1" x14ac:dyDescent="0.25">
      <c r="A5535" s="1"/>
    </row>
    <row r="5536" spans="1:1" ht="46.5" customHeight="1" x14ac:dyDescent="0.25">
      <c r="A5536" s="1"/>
    </row>
    <row r="5537" spans="1:1" ht="46.5" customHeight="1" x14ac:dyDescent="0.25">
      <c r="A5537" s="1"/>
    </row>
    <row r="5538" spans="1:1" ht="46.5" customHeight="1" x14ac:dyDescent="0.25">
      <c r="A5538" s="1"/>
    </row>
    <row r="5539" spans="1:1" ht="46.5" customHeight="1" x14ac:dyDescent="0.25">
      <c r="A5539" s="1"/>
    </row>
    <row r="5540" spans="1:1" ht="46.5" customHeight="1" x14ac:dyDescent="0.25">
      <c r="A5540" s="1"/>
    </row>
    <row r="5541" spans="1:1" ht="46.5" customHeight="1" x14ac:dyDescent="0.25">
      <c r="A5541" s="1"/>
    </row>
    <row r="5542" spans="1:1" ht="46.5" customHeight="1" x14ac:dyDescent="0.25">
      <c r="A5542" s="1"/>
    </row>
    <row r="5543" spans="1:1" ht="46.5" customHeight="1" x14ac:dyDescent="0.25">
      <c r="A5543" s="1"/>
    </row>
    <row r="5544" spans="1:1" ht="46.5" customHeight="1" x14ac:dyDescent="0.25">
      <c r="A5544" s="1"/>
    </row>
    <row r="5545" spans="1:1" ht="46.5" customHeight="1" x14ac:dyDescent="0.25">
      <c r="A5545" s="1"/>
    </row>
    <row r="5546" spans="1:1" ht="46.5" customHeight="1" x14ac:dyDescent="0.25">
      <c r="A5546" s="1"/>
    </row>
    <row r="5547" spans="1:1" ht="46.5" customHeight="1" x14ac:dyDescent="0.25">
      <c r="A5547" s="1"/>
    </row>
    <row r="5548" spans="1:1" ht="46.5" customHeight="1" x14ac:dyDescent="0.25">
      <c r="A5548" s="1"/>
    </row>
    <row r="5549" spans="1:1" ht="46.5" customHeight="1" x14ac:dyDescent="0.25">
      <c r="A5549" s="1"/>
    </row>
    <row r="5550" spans="1:1" ht="46.5" customHeight="1" x14ac:dyDescent="0.25">
      <c r="A5550" s="1"/>
    </row>
    <row r="5551" spans="1:1" ht="46.5" customHeight="1" x14ac:dyDescent="0.25">
      <c r="A5551" s="1"/>
    </row>
    <row r="5552" spans="1:1" ht="46.5" customHeight="1" x14ac:dyDescent="0.25">
      <c r="A5552" s="1"/>
    </row>
    <row r="5553" spans="1:1" ht="46.5" customHeight="1" x14ac:dyDescent="0.25">
      <c r="A5553" s="1"/>
    </row>
    <row r="5554" spans="1:1" ht="46.5" customHeight="1" x14ac:dyDescent="0.25">
      <c r="A5554" s="1"/>
    </row>
    <row r="5555" spans="1:1" ht="46.5" customHeight="1" x14ac:dyDescent="0.25">
      <c r="A5555" s="1"/>
    </row>
    <row r="5556" spans="1:1" ht="46.5" customHeight="1" x14ac:dyDescent="0.25">
      <c r="A5556" s="1"/>
    </row>
    <row r="5557" spans="1:1" ht="46.5" customHeight="1" x14ac:dyDescent="0.25">
      <c r="A5557" s="1"/>
    </row>
    <row r="5558" spans="1:1" ht="46.5" customHeight="1" x14ac:dyDescent="0.25">
      <c r="A5558" s="1"/>
    </row>
    <row r="5559" spans="1:1" ht="46.5" customHeight="1" x14ac:dyDescent="0.25">
      <c r="A5559" s="1"/>
    </row>
    <row r="5560" spans="1:1" ht="46.5" customHeight="1" x14ac:dyDescent="0.25">
      <c r="A5560" s="1"/>
    </row>
    <row r="5561" spans="1:1" ht="46.5" customHeight="1" x14ac:dyDescent="0.25">
      <c r="A5561" s="1"/>
    </row>
    <row r="5562" spans="1:1" ht="46.5" customHeight="1" x14ac:dyDescent="0.25">
      <c r="A5562" s="1"/>
    </row>
    <row r="5563" spans="1:1" ht="46.5" customHeight="1" x14ac:dyDescent="0.25">
      <c r="A5563" s="1"/>
    </row>
    <row r="5564" spans="1:1" ht="46.5" customHeight="1" x14ac:dyDescent="0.25">
      <c r="A5564" s="1"/>
    </row>
    <row r="5565" spans="1:1" ht="46.5" customHeight="1" x14ac:dyDescent="0.25">
      <c r="A5565" s="1"/>
    </row>
    <row r="5566" spans="1:1" ht="46.5" customHeight="1" x14ac:dyDescent="0.25">
      <c r="A5566" s="1"/>
    </row>
    <row r="5567" spans="1:1" ht="46.5" customHeight="1" x14ac:dyDescent="0.25">
      <c r="A5567" s="1"/>
    </row>
    <row r="5568" spans="1:1" ht="46.5" customHeight="1" x14ac:dyDescent="0.25">
      <c r="A5568" s="1"/>
    </row>
    <row r="5569" spans="1:1" ht="46.5" customHeight="1" x14ac:dyDescent="0.25">
      <c r="A5569" s="1"/>
    </row>
    <row r="5570" spans="1:1" ht="46.5" customHeight="1" x14ac:dyDescent="0.25">
      <c r="A5570" s="1"/>
    </row>
    <row r="5571" spans="1:1" ht="46.5" customHeight="1" x14ac:dyDescent="0.25">
      <c r="A5571" s="1"/>
    </row>
    <row r="5572" spans="1:1" ht="46.5" customHeight="1" x14ac:dyDescent="0.25">
      <c r="A5572" s="1"/>
    </row>
    <row r="5573" spans="1:1" ht="46.5" customHeight="1" x14ac:dyDescent="0.25">
      <c r="A5573" s="1"/>
    </row>
    <row r="5574" spans="1:1" ht="46.5" customHeight="1" x14ac:dyDescent="0.25">
      <c r="A5574" s="1"/>
    </row>
    <row r="5575" spans="1:1" ht="46.5" customHeight="1" x14ac:dyDescent="0.25">
      <c r="A5575" s="1"/>
    </row>
    <row r="5576" spans="1:1" ht="46.5" customHeight="1" x14ac:dyDescent="0.25">
      <c r="A5576" s="1"/>
    </row>
    <row r="5577" spans="1:1" ht="46.5" customHeight="1" x14ac:dyDescent="0.25">
      <c r="A5577" s="1"/>
    </row>
    <row r="5578" spans="1:1" ht="46.5" customHeight="1" x14ac:dyDescent="0.25">
      <c r="A5578" s="1"/>
    </row>
    <row r="5579" spans="1:1" ht="46.5" customHeight="1" x14ac:dyDescent="0.25">
      <c r="A5579" s="1"/>
    </row>
    <row r="5580" spans="1:1" ht="46.5" customHeight="1" x14ac:dyDescent="0.25">
      <c r="A5580" s="1"/>
    </row>
    <row r="5581" spans="1:1" ht="46.5" customHeight="1" x14ac:dyDescent="0.25">
      <c r="A5581" s="1"/>
    </row>
    <row r="5582" spans="1:1" ht="46.5" customHeight="1" x14ac:dyDescent="0.25">
      <c r="A5582" s="1"/>
    </row>
    <row r="5583" spans="1:1" ht="46.5" customHeight="1" x14ac:dyDescent="0.25">
      <c r="A5583" s="1"/>
    </row>
    <row r="5584" spans="1:1" ht="46.5" customHeight="1" x14ac:dyDescent="0.25">
      <c r="A5584" s="1"/>
    </row>
    <row r="5585" spans="1:1" ht="46.5" customHeight="1" x14ac:dyDescent="0.25">
      <c r="A5585" s="1"/>
    </row>
    <row r="5586" spans="1:1" ht="46.5" customHeight="1" x14ac:dyDescent="0.25">
      <c r="A5586" s="1"/>
    </row>
    <row r="5587" spans="1:1" ht="46.5" customHeight="1" x14ac:dyDescent="0.25">
      <c r="A5587" s="1"/>
    </row>
    <row r="5588" spans="1:1" ht="46.5" customHeight="1" x14ac:dyDescent="0.25">
      <c r="A5588" s="1"/>
    </row>
    <row r="5589" spans="1:1" ht="46.5" customHeight="1" x14ac:dyDescent="0.25">
      <c r="A5589" s="1"/>
    </row>
    <row r="5590" spans="1:1" ht="46.5" customHeight="1" x14ac:dyDescent="0.25">
      <c r="A5590" s="1"/>
    </row>
    <row r="5591" spans="1:1" ht="46.5" customHeight="1" x14ac:dyDescent="0.25">
      <c r="A5591" s="1"/>
    </row>
    <row r="5592" spans="1:1" ht="46.5" customHeight="1" x14ac:dyDescent="0.25">
      <c r="A5592" s="1"/>
    </row>
    <row r="5593" spans="1:1" ht="46.5" customHeight="1" x14ac:dyDescent="0.25">
      <c r="A5593" s="1"/>
    </row>
    <row r="5594" spans="1:1" ht="46.5" customHeight="1" x14ac:dyDescent="0.25">
      <c r="A5594" s="1"/>
    </row>
    <row r="5595" spans="1:1" ht="46.5" customHeight="1" x14ac:dyDescent="0.25">
      <c r="A5595" s="1"/>
    </row>
    <row r="5596" spans="1:1" ht="46.5" customHeight="1" x14ac:dyDescent="0.25">
      <c r="A5596" s="1"/>
    </row>
    <row r="5597" spans="1:1" ht="46.5" customHeight="1" x14ac:dyDescent="0.25">
      <c r="A5597" s="1"/>
    </row>
    <row r="5598" spans="1:1" ht="46.5" customHeight="1" x14ac:dyDescent="0.25">
      <c r="A5598" s="1"/>
    </row>
    <row r="5599" spans="1:1" ht="46.5" customHeight="1" x14ac:dyDescent="0.25">
      <c r="A5599" s="1"/>
    </row>
    <row r="5600" spans="1:1" ht="46.5" customHeight="1" x14ac:dyDescent="0.25">
      <c r="A5600" s="1"/>
    </row>
    <row r="5601" spans="1:1" ht="46.5" customHeight="1" x14ac:dyDescent="0.25">
      <c r="A5601" s="1"/>
    </row>
    <row r="5602" spans="1:1" ht="46.5" customHeight="1" x14ac:dyDescent="0.25">
      <c r="A5602" s="1"/>
    </row>
    <row r="5603" spans="1:1" ht="46.5" customHeight="1" x14ac:dyDescent="0.25">
      <c r="A5603" s="1"/>
    </row>
    <row r="5604" spans="1:1" ht="46.5" customHeight="1" x14ac:dyDescent="0.25">
      <c r="A5604" s="1"/>
    </row>
    <row r="5605" spans="1:1" ht="46.5" customHeight="1" x14ac:dyDescent="0.25">
      <c r="A5605" s="1"/>
    </row>
    <row r="5606" spans="1:1" ht="46.5" customHeight="1" x14ac:dyDescent="0.25">
      <c r="A5606" s="1"/>
    </row>
    <row r="5607" spans="1:1" ht="46.5" customHeight="1" x14ac:dyDescent="0.25">
      <c r="A5607" s="1"/>
    </row>
    <row r="5608" spans="1:1" ht="46.5" customHeight="1" x14ac:dyDescent="0.25">
      <c r="A5608" s="1"/>
    </row>
    <row r="5609" spans="1:1" ht="46.5" customHeight="1" x14ac:dyDescent="0.25">
      <c r="A5609" s="1"/>
    </row>
    <row r="5610" spans="1:1" ht="46.5" customHeight="1" x14ac:dyDescent="0.25">
      <c r="A5610" s="1"/>
    </row>
    <row r="5611" spans="1:1" ht="46.5" customHeight="1" x14ac:dyDescent="0.25">
      <c r="A5611" s="1"/>
    </row>
    <row r="5612" spans="1:1" ht="46.5" customHeight="1" x14ac:dyDescent="0.25">
      <c r="A5612" s="1"/>
    </row>
    <row r="5613" spans="1:1" ht="46.5" customHeight="1" x14ac:dyDescent="0.25">
      <c r="A5613" s="1"/>
    </row>
    <row r="5614" spans="1:1" ht="46.5" customHeight="1" x14ac:dyDescent="0.25">
      <c r="A5614" s="1"/>
    </row>
    <row r="5615" spans="1:1" ht="46.5" customHeight="1" x14ac:dyDescent="0.25">
      <c r="A5615" s="1"/>
    </row>
    <row r="5616" spans="1:1" ht="46.5" customHeight="1" x14ac:dyDescent="0.25">
      <c r="A5616" s="1"/>
    </row>
    <row r="5617" spans="1:1" ht="46.5" customHeight="1" x14ac:dyDescent="0.25">
      <c r="A5617" s="1"/>
    </row>
    <row r="5618" spans="1:1" ht="46.5" customHeight="1" x14ac:dyDescent="0.25">
      <c r="A5618" s="1"/>
    </row>
    <row r="5619" spans="1:1" ht="46.5" customHeight="1" x14ac:dyDescent="0.25">
      <c r="A5619" s="1"/>
    </row>
    <row r="5620" spans="1:1" ht="46.5" customHeight="1" x14ac:dyDescent="0.25">
      <c r="A5620" s="1"/>
    </row>
    <row r="5621" spans="1:1" ht="46.5" customHeight="1" x14ac:dyDescent="0.25">
      <c r="A5621" s="1"/>
    </row>
    <row r="5622" spans="1:1" ht="46.5" customHeight="1" x14ac:dyDescent="0.25">
      <c r="A5622" s="1"/>
    </row>
    <row r="5623" spans="1:1" ht="46.5" customHeight="1" x14ac:dyDescent="0.25">
      <c r="A5623" s="1"/>
    </row>
    <row r="5624" spans="1:1" ht="46.5" customHeight="1" x14ac:dyDescent="0.25">
      <c r="A5624" s="1"/>
    </row>
    <row r="5625" spans="1:1" ht="46.5" customHeight="1" x14ac:dyDescent="0.25">
      <c r="A5625" s="1"/>
    </row>
    <row r="5626" spans="1:1" ht="46.5" customHeight="1" x14ac:dyDescent="0.25">
      <c r="A5626" s="1"/>
    </row>
    <row r="5627" spans="1:1" ht="46.5" customHeight="1" x14ac:dyDescent="0.25">
      <c r="A5627" s="1"/>
    </row>
    <row r="5628" spans="1:1" ht="46.5" customHeight="1" x14ac:dyDescent="0.25">
      <c r="A5628" s="1"/>
    </row>
    <row r="5629" spans="1:1" ht="46.5" customHeight="1" x14ac:dyDescent="0.25">
      <c r="A5629" s="1"/>
    </row>
    <row r="5630" spans="1:1" ht="46.5" customHeight="1" x14ac:dyDescent="0.25">
      <c r="A5630" s="1"/>
    </row>
    <row r="5631" spans="1:1" ht="46.5" customHeight="1" x14ac:dyDescent="0.25">
      <c r="A5631" s="1"/>
    </row>
    <row r="5632" spans="1:1" ht="46.5" customHeight="1" x14ac:dyDescent="0.25">
      <c r="A5632" s="1"/>
    </row>
    <row r="5633" spans="1:1" ht="46.5" customHeight="1" x14ac:dyDescent="0.25">
      <c r="A5633" s="1"/>
    </row>
    <row r="5634" spans="1:1" ht="46.5" customHeight="1" x14ac:dyDescent="0.25">
      <c r="A5634" s="1"/>
    </row>
    <row r="5635" spans="1:1" ht="46.5" customHeight="1" x14ac:dyDescent="0.25">
      <c r="A5635" s="1"/>
    </row>
    <row r="5636" spans="1:1" ht="46.5" customHeight="1" x14ac:dyDescent="0.25">
      <c r="A5636" s="1"/>
    </row>
    <row r="5637" spans="1:1" ht="46.5" customHeight="1" x14ac:dyDescent="0.25">
      <c r="A5637" s="1"/>
    </row>
    <row r="5638" spans="1:1" ht="46.5" customHeight="1" x14ac:dyDescent="0.25">
      <c r="A5638" s="1"/>
    </row>
    <row r="5639" spans="1:1" ht="46.5" customHeight="1" x14ac:dyDescent="0.25">
      <c r="A5639" s="1"/>
    </row>
    <row r="5640" spans="1:1" ht="46.5" customHeight="1" x14ac:dyDescent="0.25">
      <c r="A5640" s="1"/>
    </row>
    <row r="5641" spans="1:1" ht="46.5" customHeight="1" x14ac:dyDescent="0.25">
      <c r="A5641" s="1"/>
    </row>
    <row r="5642" spans="1:1" ht="46.5" customHeight="1" x14ac:dyDescent="0.25">
      <c r="A5642" s="1"/>
    </row>
    <row r="5643" spans="1:1" ht="46.5" customHeight="1" x14ac:dyDescent="0.25">
      <c r="A5643" s="1"/>
    </row>
    <row r="5644" spans="1:1" ht="46.5" customHeight="1" x14ac:dyDescent="0.25">
      <c r="A5644" s="1"/>
    </row>
    <row r="5645" spans="1:1" ht="46.5" customHeight="1" x14ac:dyDescent="0.25">
      <c r="A5645" s="1"/>
    </row>
    <row r="5646" spans="1:1" ht="46.5" customHeight="1" x14ac:dyDescent="0.25">
      <c r="A5646" s="1"/>
    </row>
    <row r="5647" spans="1:1" ht="46.5" customHeight="1" x14ac:dyDescent="0.25">
      <c r="A5647" s="1"/>
    </row>
    <row r="5648" spans="1:1" ht="46.5" customHeight="1" x14ac:dyDescent="0.25">
      <c r="A5648" s="1"/>
    </row>
    <row r="5649" spans="1:1" ht="46.5" customHeight="1" x14ac:dyDescent="0.25">
      <c r="A5649" s="1"/>
    </row>
    <row r="5650" spans="1:1" ht="46.5" customHeight="1" x14ac:dyDescent="0.25">
      <c r="A5650" s="1"/>
    </row>
    <row r="5651" spans="1:1" ht="46.5" customHeight="1" x14ac:dyDescent="0.25">
      <c r="A5651" s="1"/>
    </row>
    <row r="5652" spans="1:1" ht="46.5" customHeight="1" x14ac:dyDescent="0.25">
      <c r="A5652" s="1"/>
    </row>
    <row r="5653" spans="1:1" ht="46.5" customHeight="1" x14ac:dyDescent="0.25">
      <c r="A5653" s="1"/>
    </row>
    <row r="5654" spans="1:1" ht="46.5" customHeight="1" x14ac:dyDescent="0.25">
      <c r="A5654" s="1"/>
    </row>
    <row r="5655" spans="1:1" ht="46.5" customHeight="1" x14ac:dyDescent="0.25">
      <c r="A5655" s="1"/>
    </row>
    <row r="5656" spans="1:1" ht="46.5" customHeight="1" x14ac:dyDescent="0.25">
      <c r="A5656" s="1"/>
    </row>
    <row r="5657" spans="1:1" ht="46.5" customHeight="1" x14ac:dyDescent="0.25">
      <c r="A5657" s="1"/>
    </row>
    <row r="5658" spans="1:1" ht="46.5" customHeight="1" x14ac:dyDescent="0.25">
      <c r="A5658" s="1"/>
    </row>
    <row r="5659" spans="1:1" ht="46.5" customHeight="1" x14ac:dyDescent="0.25">
      <c r="A5659" s="1"/>
    </row>
    <row r="5660" spans="1:1" ht="46.5" customHeight="1" x14ac:dyDescent="0.25">
      <c r="A5660" s="1"/>
    </row>
    <row r="5661" spans="1:1" ht="46.5" customHeight="1" x14ac:dyDescent="0.25">
      <c r="A5661" s="1"/>
    </row>
    <row r="5662" spans="1:1" ht="46.5" customHeight="1" x14ac:dyDescent="0.25">
      <c r="A5662" s="1"/>
    </row>
    <row r="5663" spans="1:1" ht="46.5" customHeight="1" x14ac:dyDescent="0.25">
      <c r="A5663" s="1"/>
    </row>
    <row r="5664" spans="1:1" ht="46.5" customHeight="1" x14ac:dyDescent="0.25">
      <c r="A5664" s="1"/>
    </row>
    <row r="5665" spans="1:1" ht="46.5" customHeight="1" x14ac:dyDescent="0.25">
      <c r="A5665" s="1"/>
    </row>
    <row r="5666" spans="1:1" ht="46.5" customHeight="1" x14ac:dyDescent="0.25">
      <c r="A5666" s="1"/>
    </row>
    <row r="5667" spans="1:1" ht="46.5" customHeight="1" x14ac:dyDescent="0.25">
      <c r="A5667" s="1"/>
    </row>
    <row r="5668" spans="1:1" ht="46.5" customHeight="1" x14ac:dyDescent="0.25">
      <c r="A5668" s="1"/>
    </row>
    <row r="5669" spans="1:1" ht="46.5" customHeight="1" x14ac:dyDescent="0.25">
      <c r="A5669" s="1"/>
    </row>
    <row r="5670" spans="1:1" ht="46.5" customHeight="1" x14ac:dyDescent="0.25">
      <c r="A5670" s="1"/>
    </row>
    <row r="5671" spans="1:1" ht="46.5" customHeight="1" x14ac:dyDescent="0.25">
      <c r="A5671" s="1"/>
    </row>
    <row r="5672" spans="1:1" ht="46.5" customHeight="1" x14ac:dyDescent="0.25">
      <c r="A5672" s="1"/>
    </row>
    <row r="5673" spans="1:1" ht="46.5" customHeight="1" x14ac:dyDescent="0.25">
      <c r="A5673" s="1"/>
    </row>
    <row r="5674" spans="1:1" ht="46.5" customHeight="1" x14ac:dyDescent="0.25">
      <c r="A5674" s="1"/>
    </row>
    <row r="5675" spans="1:1" ht="46.5" customHeight="1" x14ac:dyDescent="0.25">
      <c r="A5675" s="1"/>
    </row>
    <row r="5676" spans="1:1" ht="46.5" customHeight="1" x14ac:dyDescent="0.25">
      <c r="A5676" s="1"/>
    </row>
    <row r="5677" spans="1:1" ht="46.5" customHeight="1" x14ac:dyDescent="0.25">
      <c r="A5677" s="1"/>
    </row>
    <row r="5678" spans="1:1" ht="46.5" customHeight="1" x14ac:dyDescent="0.25">
      <c r="A5678" s="1"/>
    </row>
    <row r="5679" spans="1:1" ht="46.5" customHeight="1" x14ac:dyDescent="0.25">
      <c r="A5679" s="1"/>
    </row>
    <row r="5680" spans="1:1" ht="46.5" customHeight="1" x14ac:dyDescent="0.25">
      <c r="A5680" s="1"/>
    </row>
    <row r="5681" spans="1:1" ht="46.5" customHeight="1" x14ac:dyDescent="0.25">
      <c r="A5681" s="1"/>
    </row>
    <row r="5682" spans="1:1" ht="46.5" customHeight="1" x14ac:dyDescent="0.25">
      <c r="A5682" s="1"/>
    </row>
    <row r="5683" spans="1:1" ht="46.5" customHeight="1" x14ac:dyDescent="0.25">
      <c r="A5683" s="1"/>
    </row>
    <row r="5684" spans="1:1" ht="46.5" customHeight="1" x14ac:dyDescent="0.25">
      <c r="A5684" s="1"/>
    </row>
    <row r="5685" spans="1:1" ht="46.5" customHeight="1" x14ac:dyDescent="0.25">
      <c r="A5685" s="1"/>
    </row>
    <row r="5686" spans="1:1" ht="46.5" customHeight="1" x14ac:dyDescent="0.25">
      <c r="A5686" s="1"/>
    </row>
    <row r="5687" spans="1:1" ht="46.5" customHeight="1" x14ac:dyDescent="0.25">
      <c r="A5687" s="1"/>
    </row>
    <row r="5688" spans="1:1" ht="46.5" customHeight="1" x14ac:dyDescent="0.25">
      <c r="A5688" s="1"/>
    </row>
    <row r="5689" spans="1:1" ht="46.5" customHeight="1" x14ac:dyDescent="0.25">
      <c r="A5689" s="1"/>
    </row>
    <row r="5690" spans="1:1" ht="46.5" customHeight="1" x14ac:dyDescent="0.25">
      <c r="A5690" s="1"/>
    </row>
    <row r="5691" spans="1:1" ht="46.5" customHeight="1" x14ac:dyDescent="0.25">
      <c r="A5691" s="1"/>
    </row>
    <row r="5692" spans="1:1" ht="46.5" customHeight="1" x14ac:dyDescent="0.25">
      <c r="A5692" s="1"/>
    </row>
    <row r="5693" spans="1:1" ht="46.5" customHeight="1" x14ac:dyDescent="0.25">
      <c r="A5693" s="1"/>
    </row>
    <row r="5694" spans="1:1" ht="46.5" customHeight="1" x14ac:dyDescent="0.25">
      <c r="A5694" s="1"/>
    </row>
    <row r="5695" spans="1:1" ht="46.5" customHeight="1" x14ac:dyDescent="0.25">
      <c r="A5695" s="1"/>
    </row>
    <row r="5696" spans="1:1" ht="46.5" customHeight="1" x14ac:dyDescent="0.25">
      <c r="A5696" s="1"/>
    </row>
    <row r="5697" spans="1:1" ht="46.5" customHeight="1" x14ac:dyDescent="0.25">
      <c r="A5697" s="1"/>
    </row>
    <row r="5698" spans="1:1" ht="46.5" customHeight="1" x14ac:dyDescent="0.25">
      <c r="A5698" s="1"/>
    </row>
    <row r="5699" spans="1:1" ht="46.5" customHeight="1" x14ac:dyDescent="0.25">
      <c r="A5699" s="1"/>
    </row>
    <row r="5700" spans="1:1" ht="46.5" customHeight="1" x14ac:dyDescent="0.25">
      <c r="A5700" s="1"/>
    </row>
    <row r="5701" spans="1:1" ht="46.5" customHeight="1" x14ac:dyDescent="0.25">
      <c r="A5701" s="1"/>
    </row>
    <row r="5702" spans="1:1" ht="46.5" customHeight="1" x14ac:dyDescent="0.25">
      <c r="A5702" s="1"/>
    </row>
    <row r="5703" spans="1:1" ht="46.5" customHeight="1" x14ac:dyDescent="0.25">
      <c r="A5703" s="1"/>
    </row>
    <row r="5704" spans="1:1" ht="46.5" customHeight="1" x14ac:dyDescent="0.25">
      <c r="A5704" s="1"/>
    </row>
    <row r="5705" spans="1:1" ht="46.5" customHeight="1" x14ac:dyDescent="0.25">
      <c r="A5705" s="1"/>
    </row>
    <row r="5706" spans="1:1" ht="46.5" customHeight="1" x14ac:dyDescent="0.25">
      <c r="A5706" s="1"/>
    </row>
    <row r="5707" spans="1:1" ht="46.5" customHeight="1" x14ac:dyDescent="0.25">
      <c r="A5707" s="1"/>
    </row>
    <row r="5708" spans="1:1" ht="46.5" customHeight="1" x14ac:dyDescent="0.25">
      <c r="A5708" s="1"/>
    </row>
    <row r="5709" spans="1:1" ht="46.5" customHeight="1" x14ac:dyDescent="0.25">
      <c r="A5709" s="1"/>
    </row>
    <row r="5710" spans="1:1" ht="46.5" customHeight="1" x14ac:dyDescent="0.25">
      <c r="A5710" s="1"/>
    </row>
    <row r="5711" spans="1:1" ht="46.5" customHeight="1" x14ac:dyDescent="0.25">
      <c r="A5711" s="1"/>
    </row>
    <row r="5712" spans="1:1" ht="46.5" customHeight="1" x14ac:dyDescent="0.25">
      <c r="A5712" s="1"/>
    </row>
    <row r="5713" spans="1:1" ht="46.5" customHeight="1" x14ac:dyDescent="0.25">
      <c r="A5713" s="1"/>
    </row>
    <row r="5714" spans="1:1" ht="46.5" customHeight="1" x14ac:dyDescent="0.25">
      <c r="A5714" s="1"/>
    </row>
    <row r="5715" spans="1:1" ht="46.5" customHeight="1" x14ac:dyDescent="0.25">
      <c r="A5715" s="1"/>
    </row>
    <row r="5716" spans="1:1" ht="46.5" customHeight="1" x14ac:dyDescent="0.25">
      <c r="A5716" s="1"/>
    </row>
    <row r="5717" spans="1:1" ht="46.5" customHeight="1" x14ac:dyDescent="0.25">
      <c r="A5717" s="1"/>
    </row>
    <row r="5718" spans="1:1" ht="46.5" customHeight="1" x14ac:dyDescent="0.25">
      <c r="A5718" s="1"/>
    </row>
    <row r="5719" spans="1:1" ht="46.5" customHeight="1" x14ac:dyDescent="0.25">
      <c r="A5719" s="1"/>
    </row>
    <row r="5720" spans="1:1" ht="46.5" customHeight="1" x14ac:dyDescent="0.25">
      <c r="A5720" s="1"/>
    </row>
    <row r="5721" spans="1:1" ht="46.5" customHeight="1" x14ac:dyDescent="0.25">
      <c r="A5721" s="1"/>
    </row>
    <row r="5722" spans="1:1" ht="46.5" customHeight="1" x14ac:dyDescent="0.25">
      <c r="A5722" s="1"/>
    </row>
    <row r="5723" spans="1:1" ht="46.5" customHeight="1" x14ac:dyDescent="0.25">
      <c r="A5723" s="1"/>
    </row>
    <row r="5724" spans="1:1" ht="46.5" customHeight="1" x14ac:dyDescent="0.25">
      <c r="A5724" s="1"/>
    </row>
    <row r="5725" spans="1:1" ht="46.5" customHeight="1" x14ac:dyDescent="0.25">
      <c r="A5725" s="1"/>
    </row>
    <row r="5726" spans="1:1" ht="46.5" customHeight="1" x14ac:dyDescent="0.25">
      <c r="A5726" s="1"/>
    </row>
    <row r="5727" spans="1:1" ht="46.5" customHeight="1" x14ac:dyDescent="0.25">
      <c r="A5727" s="1"/>
    </row>
    <row r="5728" spans="1:1" ht="46.5" customHeight="1" x14ac:dyDescent="0.25">
      <c r="A5728" s="1"/>
    </row>
    <row r="5729" spans="1:1" ht="46.5" customHeight="1" x14ac:dyDescent="0.25">
      <c r="A5729" s="1"/>
    </row>
    <row r="5730" spans="1:1" ht="46.5" customHeight="1" x14ac:dyDescent="0.25">
      <c r="A5730" s="1"/>
    </row>
    <row r="5731" spans="1:1" ht="46.5" customHeight="1" x14ac:dyDescent="0.25">
      <c r="A5731" s="1"/>
    </row>
    <row r="5732" spans="1:1" ht="46.5" customHeight="1" x14ac:dyDescent="0.25">
      <c r="A5732" s="1"/>
    </row>
    <row r="5733" spans="1:1" ht="46.5" customHeight="1" x14ac:dyDescent="0.25">
      <c r="A5733" s="1"/>
    </row>
    <row r="5734" spans="1:1" ht="46.5" customHeight="1" x14ac:dyDescent="0.25">
      <c r="A5734" s="1"/>
    </row>
    <row r="5735" spans="1:1" ht="46.5" customHeight="1" x14ac:dyDescent="0.25">
      <c r="A5735" s="1"/>
    </row>
    <row r="5736" spans="1:1" ht="46.5" customHeight="1" x14ac:dyDescent="0.25">
      <c r="A5736" s="1"/>
    </row>
    <row r="5737" spans="1:1" ht="46.5" customHeight="1" x14ac:dyDescent="0.25">
      <c r="A5737" s="1"/>
    </row>
    <row r="5738" spans="1:1" ht="46.5" customHeight="1" x14ac:dyDescent="0.25">
      <c r="A5738" s="1"/>
    </row>
    <row r="5739" spans="1:1" ht="46.5" customHeight="1" x14ac:dyDescent="0.25">
      <c r="A5739" s="1"/>
    </row>
    <row r="5740" spans="1:1" ht="46.5" customHeight="1" x14ac:dyDescent="0.25">
      <c r="A5740" s="1"/>
    </row>
    <row r="5741" spans="1:1" ht="46.5" customHeight="1" x14ac:dyDescent="0.25">
      <c r="A5741" s="1"/>
    </row>
    <row r="5742" spans="1:1" ht="46.5" customHeight="1" x14ac:dyDescent="0.25">
      <c r="A5742" s="1"/>
    </row>
    <row r="5743" spans="1:1" ht="46.5" customHeight="1" x14ac:dyDescent="0.25">
      <c r="A5743" s="1"/>
    </row>
    <row r="5744" spans="1:1" ht="46.5" customHeight="1" x14ac:dyDescent="0.25">
      <c r="A5744" s="1"/>
    </row>
    <row r="5745" spans="1:1" ht="46.5" customHeight="1" x14ac:dyDescent="0.25">
      <c r="A5745" s="1"/>
    </row>
    <row r="5746" spans="1:1" ht="46.5" customHeight="1" x14ac:dyDescent="0.25">
      <c r="A5746" s="1"/>
    </row>
    <row r="5747" spans="1:1" ht="46.5" customHeight="1" x14ac:dyDescent="0.25">
      <c r="A5747" s="1"/>
    </row>
    <row r="5748" spans="1:1" ht="46.5" customHeight="1" x14ac:dyDescent="0.25">
      <c r="A5748" s="1"/>
    </row>
    <row r="5749" spans="1:1" ht="46.5" customHeight="1" x14ac:dyDescent="0.25">
      <c r="A5749" s="1"/>
    </row>
    <row r="5750" spans="1:1" ht="46.5" customHeight="1" x14ac:dyDescent="0.25">
      <c r="A5750" s="1"/>
    </row>
    <row r="5751" spans="1:1" ht="46.5" customHeight="1" x14ac:dyDescent="0.25">
      <c r="A5751" s="1"/>
    </row>
    <row r="5752" spans="1:1" ht="46.5" customHeight="1" x14ac:dyDescent="0.25">
      <c r="A5752" s="1"/>
    </row>
    <row r="5753" spans="1:1" ht="46.5" customHeight="1" x14ac:dyDescent="0.25">
      <c r="A5753" s="1"/>
    </row>
    <row r="5754" spans="1:1" ht="46.5" customHeight="1" x14ac:dyDescent="0.25">
      <c r="A5754" s="1"/>
    </row>
    <row r="5755" spans="1:1" ht="46.5" customHeight="1" x14ac:dyDescent="0.25">
      <c r="A5755" s="1"/>
    </row>
    <row r="5756" spans="1:1" ht="46.5" customHeight="1" x14ac:dyDescent="0.25">
      <c r="A5756" s="1"/>
    </row>
    <row r="5757" spans="1:1" ht="46.5" customHeight="1" x14ac:dyDescent="0.25">
      <c r="A5757" s="1"/>
    </row>
    <row r="5758" spans="1:1" ht="46.5" customHeight="1" x14ac:dyDescent="0.25">
      <c r="A5758" s="1"/>
    </row>
    <row r="5759" spans="1:1" ht="46.5" customHeight="1" x14ac:dyDescent="0.25">
      <c r="A5759" s="1"/>
    </row>
    <row r="5760" spans="1:1" ht="46.5" customHeight="1" x14ac:dyDescent="0.25">
      <c r="A5760" s="1"/>
    </row>
    <row r="5761" spans="1:1" ht="46.5" customHeight="1" x14ac:dyDescent="0.25">
      <c r="A5761" s="1"/>
    </row>
    <row r="5762" spans="1:1" ht="46.5" customHeight="1" x14ac:dyDescent="0.25">
      <c r="A5762" s="1"/>
    </row>
    <row r="5763" spans="1:1" ht="46.5" customHeight="1" x14ac:dyDescent="0.25">
      <c r="A5763" s="1"/>
    </row>
    <row r="5764" spans="1:1" ht="46.5" customHeight="1" x14ac:dyDescent="0.25">
      <c r="A5764" s="1"/>
    </row>
    <row r="5765" spans="1:1" ht="46.5" customHeight="1" x14ac:dyDescent="0.25">
      <c r="A5765" s="1"/>
    </row>
    <row r="5766" spans="1:1" ht="46.5" customHeight="1" x14ac:dyDescent="0.25">
      <c r="A5766" s="1"/>
    </row>
    <row r="5767" spans="1:1" ht="46.5" customHeight="1" x14ac:dyDescent="0.25">
      <c r="A5767" s="1"/>
    </row>
    <row r="5768" spans="1:1" ht="46.5" customHeight="1" x14ac:dyDescent="0.25">
      <c r="A5768" s="1"/>
    </row>
    <row r="5769" spans="1:1" ht="46.5" customHeight="1" x14ac:dyDescent="0.25">
      <c r="A5769" s="1"/>
    </row>
    <row r="5770" spans="1:1" ht="46.5" customHeight="1" x14ac:dyDescent="0.25">
      <c r="A5770" s="1"/>
    </row>
    <row r="5771" spans="1:1" ht="46.5" customHeight="1" x14ac:dyDescent="0.25">
      <c r="A5771" s="1"/>
    </row>
    <row r="5772" spans="1:1" ht="46.5" customHeight="1" x14ac:dyDescent="0.25">
      <c r="A5772" s="1"/>
    </row>
    <row r="5773" spans="1:1" ht="46.5" customHeight="1" x14ac:dyDescent="0.25">
      <c r="A5773" s="1"/>
    </row>
    <row r="5774" spans="1:1" ht="46.5" customHeight="1" x14ac:dyDescent="0.25">
      <c r="A5774" s="1"/>
    </row>
    <row r="5775" spans="1:1" ht="46.5" customHeight="1" x14ac:dyDescent="0.25">
      <c r="A5775" s="1"/>
    </row>
    <row r="5776" spans="1:1" ht="46.5" customHeight="1" x14ac:dyDescent="0.25">
      <c r="A5776" s="1"/>
    </row>
    <row r="5777" spans="1:1" ht="46.5" customHeight="1" x14ac:dyDescent="0.25">
      <c r="A5777" s="1"/>
    </row>
    <row r="5778" spans="1:1" ht="46.5" customHeight="1" x14ac:dyDescent="0.25">
      <c r="A5778" s="1"/>
    </row>
    <row r="5779" spans="1:1" ht="46.5" customHeight="1" x14ac:dyDescent="0.25">
      <c r="A5779" s="1"/>
    </row>
    <row r="5780" spans="1:1" ht="46.5" customHeight="1" x14ac:dyDescent="0.25">
      <c r="A5780" s="1"/>
    </row>
    <row r="5781" spans="1:1" ht="46.5" customHeight="1" x14ac:dyDescent="0.25">
      <c r="A5781" s="1"/>
    </row>
    <row r="5782" spans="1:1" ht="46.5" customHeight="1" x14ac:dyDescent="0.25">
      <c r="A5782" s="1"/>
    </row>
    <row r="5783" spans="1:1" ht="46.5" customHeight="1" x14ac:dyDescent="0.25">
      <c r="A5783" s="1"/>
    </row>
    <row r="5784" spans="1:1" ht="46.5" customHeight="1" x14ac:dyDescent="0.25">
      <c r="A5784" s="1"/>
    </row>
    <row r="5785" spans="1:1" ht="46.5" customHeight="1" x14ac:dyDescent="0.25">
      <c r="A5785" s="1"/>
    </row>
    <row r="5786" spans="1:1" ht="46.5" customHeight="1" x14ac:dyDescent="0.25">
      <c r="A5786" s="1"/>
    </row>
    <row r="5787" spans="1:1" ht="46.5" customHeight="1" x14ac:dyDescent="0.25">
      <c r="A5787" s="1"/>
    </row>
    <row r="5788" spans="1:1" ht="46.5" customHeight="1" x14ac:dyDescent="0.25">
      <c r="A5788" s="1"/>
    </row>
    <row r="5789" spans="1:1" ht="46.5" customHeight="1" x14ac:dyDescent="0.25">
      <c r="A5789" s="1"/>
    </row>
    <row r="5790" spans="1:1" ht="46.5" customHeight="1" x14ac:dyDescent="0.25">
      <c r="A5790" s="1"/>
    </row>
    <row r="5791" spans="1:1" ht="46.5" customHeight="1" x14ac:dyDescent="0.25">
      <c r="A5791" s="1"/>
    </row>
    <row r="5792" spans="1:1" ht="46.5" customHeight="1" x14ac:dyDescent="0.25">
      <c r="A5792" s="1"/>
    </row>
    <row r="5793" spans="1:1" ht="46.5" customHeight="1" x14ac:dyDescent="0.25">
      <c r="A5793" s="1"/>
    </row>
    <row r="5794" spans="1:1" ht="46.5" customHeight="1" x14ac:dyDescent="0.25">
      <c r="A5794" s="1"/>
    </row>
    <row r="5795" spans="1:1" ht="46.5" customHeight="1" x14ac:dyDescent="0.25">
      <c r="A5795" s="1"/>
    </row>
    <row r="5796" spans="1:1" ht="46.5" customHeight="1" x14ac:dyDescent="0.25">
      <c r="A5796" s="1"/>
    </row>
    <row r="5797" spans="1:1" ht="46.5" customHeight="1" x14ac:dyDescent="0.25">
      <c r="A5797" s="1"/>
    </row>
    <row r="5798" spans="1:1" ht="46.5" customHeight="1" x14ac:dyDescent="0.25">
      <c r="A5798" s="1"/>
    </row>
    <row r="5799" spans="1:1" ht="46.5" customHeight="1" x14ac:dyDescent="0.25">
      <c r="A5799" s="1"/>
    </row>
    <row r="5800" spans="1:1" ht="46.5" customHeight="1" x14ac:dyDescent="0.25">
      <c r="A5800" s="1"/>
    </row>
    <row r="5801" spans="1:1" ht="46.5" customHeight="1" x14ac:dyDescent="0.25">
      <c r="A5801" s="1"/>
    </row>
    <row r="5802" spans="1:1" ht="46.5" customHeight="1" x14ac:dyDescent="0.25">
      <c r="A5802" s="1"/>
    </row>
    <row r="5803" spans="1:1" ht="46.5" customHeight="1" x14ac:dyDescent="0.25">
      <c r="A5803" s="1"/>
    </row>
    <row r="5804" spans="1:1" ht="46.5" customHeight="1" x14ac:dyDescent="0.25">
      <c r="A5804" s="1"/>
    </row>
    <row r="5805" spans="1:1" ht="46.5" customHeight="1" x14ac:dyDescent="0.25">
      <c r="A5805" s="1"/>
    </row>
    <row r="5806" spans="1:1" ht="46.5" customHeight="1" x14ac:dyDescent="0.25">
      <c r="A5806" s="1"/>
    </row>
    <row r="5807" spans="1:1" ht="46.5" customHeight="1" x14ac:dyDescent="0.25">
      <c r="A5807" s="1"/>
    </row>
    <row r="5808" spans="1:1" ht="46.5" customHeight="1" x14ac:dyDescent="0.25">
      <c r="A5808" s="1"/>
    </row>
    <row r="5809" spans="1:1" ht="46.5" customHeight="1" x14ac:dyDescent="0.25">
      <c r="A5809" s="1"/>
    </row>
    <row r="5810" spans="1:1" ht="46.5" customHeight="1" x14ac:dyDescent="0.25">
      <c r="A5810" s="1"/>
    </row>
    <row r="5811" spans="1:1" ht="46.5" customHeight="1" x14ac:dyDescent="0.25">
      <c r="A5811" s="1"/>
    </row>
    <row r="5812" spans="1:1" ht="46.5" customHeight="1" x14ac:dyDescent="0.25">
      <c r="A5812" s="1"/>
    </row>
    <row r="5813" spans="1:1" ht="46.5" customHeight="1" x14ac:dyDescent="0.25">
      <c r="A5813" s="1"/>
    </row>
    <row r="5814" spans="1:1" ht="46.5" customHeight="1" x14ac:dyDescent="0.25">
      <c r="A5814" s="1"/>
    </row>
    <row r="5815" spans="1:1" ht="46.5" customHeight="1" x14ac:dyDescent="0.25">
      <c r="A5815" s="1"/>
    </row>
    <row r="5816" spans="1:1" ht="46.5" customHeight="1" x14ac:dyDescent="0.25">
      <c r="A5816" s="1"/>
    </row>
    <row r="5817" spans="1:1" ht="46.5" customHeight="1" x14ac:dyDescent="0.25">
      <c r="A5817" s="1"/>
    </row>
    <row r="5818" spans="1:1" ht="46.5" customHeight="1" x14ac:dyDescent="0.25">
      <c r="A5818" s="1"/>
    </row>
    <row r="5819" spans="1:1" ht="46.5" customHeight="1" x14ac:dyDescent="0.25">
      <c r="A5819" s="1"/>
    </row>
    <row r="5820" spans="1:1" ht="46.5" customHeight="1" x14ac:dyDescent="0.25">
      <c r="A5820" s="1"/>
    </row>
    <row r="5821" spans="1:1" ht="46.5" customHeight="1" x14ac:dyDescent="0.25">
      <c r="A5821" s="1"/>
    </row>
    <row r="5822" spans="1:1" ht="46.5" customHeight="1" x14ac:dyDescent="0.25">
      <c r="A5822" s="1"/>
    </row>
    <row r="5823" spans="1:1" ht="46.5" customHeight="1" x14ac:dyDescent="0.25">
      <c r="A5823" s="1"/>
    </row>
    <row r="5824" spans="1:1" ht="46.5" customHeight="1" x14ac:dyDescent="0.25">
      <c r="A5824" s="1"/>
    </row>
    <row r="5825" spans="1:1" ht="46.5" customHeight="1" x14ac:dyDescent="0.25">
      <c r="A5825" s="1"/>
    </row>
    <row r="5826" spans="1:1" ht="46.5" customHeight="1" x14ac:dyDescent="0.25">
      <c r="A5826" s="1"/>
    </row>
    <row r="5827" spans="1:1" ht="46.5" customHeight="1" x14ac:dyDescent="0.25">
      <c r="A5827" s="1"/>
    </row>
    <row r="5828" spans="1:1" ht="46.5" customHeight="1" x14ac:dyDescent="0.25">
      <c r="A5828" s="1"/>
    </row>
    <row r="5829" spans="1:1" ht="46.5" customHeight="1" x14ac:dyDescent="0.25">
      <c r="A5829" s="1"/>
    </row>
    <row r="5830" spans="1:1" ht="46.5" customHeight="1" x14ac:dyDescent="0.25">
      <c r="A5830" s="1"/>
    </row>
    <row r="5831" spans="1:1" ht="46.5" customHeight="1" x14ac:dyDescent="0.25">
      <c r="A5831" s="1"/>
    </row>
    <row r="5832" spans="1:1" ht="46.5" customHeight="1" x14ac:dyDescent="0.25">
      <c r="A5832" s="1"/>
    </row>
    <row r="5833" spans="1:1" ht="46.5" customHeight="1" x14ac:dyDescent="0.25">
      <c r="A5833" s="1"/>
    </row>
    <row r="5834" spans="1:1" ht="46.5" customHeight="1" x14ac:dyDescent="0.25">
      <c r="A5834" s="1"/>
    </row>
    <row r="5835" spans="1:1" ht="46.5" customHeight="1" x14ac:dyDescent="0.25">
      <c r="A5835" s="1"/>
    </row>
    <row r="5836" spans="1:1" ht="46.5" customHeight="1" x14ac:dyDescent="0.25">
      <c r="A5836" s="1"/>
    </row>
    <row r="5837" spans="1:1" ht="46.5" customHeight="1" x14ac:dyDescent="0.25">
      <c r="A5837" s="1"/>
    </row>
    <row r="5838" spans="1:1" ht="46.5" customHeight="1" x14ac:dyDescent="0.25">
      <c r="A5838" s="1"/>
    </row>
    <row r="5839" spans="1:1" ht="46.5" customHeight="1" x14ac:dyDescent="0.25">
      <c r="A5839" s="1"/>
    </row>
    <row r="5840" spans="1:1" ht="46.5" customHeight="1" x14ac:dyDescent="0.25">
      <c r="A5840" s="1"/>
    </row>
    <row r="5841" spans="1:1" ht="46.5" customHeight="1" x14ac:dyDescent="0.25">
      <c r="A5841" s="1"/>
    </row>
    <row r="5842" spans="1:1" ht="46.5" customHeight="1" x14ac:dyDescent="0.25">
      <c r="A5842" s="1"/>
    </row>
    <row r="5843" spans="1:1" ht="46.5" customHeight="1" x14ac:dyDescent="0.25">
      <c r="A5843" s="1"/>
    </row>
    <row r="5844" spans="1:1" ht="46.5" customHeight="1" x14ac:dyDescent="0.25">
      <c r="A5844" s="1"/>
    </row>
    <row r="5845" spans="1:1" ht="46.5" customHeight="1" x14ac:dyDescent="0.25">
      <c r="A5845" s="1"/>
    </row>
    <row r="5846" spans="1:1" ht="46.5" customHeight="1" x14ac:dyDescent="0.25">
      <c r="A5846" s="1"/>
    </row>
    <row r="5847" spans="1:1" ht="46.5" customHeight="1" x14ac:dyDescent="0.25">
      <c r="A5847" s="1"/>
    </row>
    <row r="5848" spans="1:1" ht="46.5" customHeight="1" x14ac:dyDescent="0.25">
      <c r="A5848" s="1"/>
    </row>
    <row r="5849" spans="1:1" ht="46.5" customHeight="1" x14ac:dyDescent="0.25">
      <c r="A5849" s="1"/>
    </row>
    <row r="5850" spans="1:1" ht="46.5" customHeight="1" x14ac:dyDescent="0.25">
      <c r="A5850" s="1"/>
    </row>
    <row r="5851" spans="1:1" ht="46.5" customHeight="1" x14ac:dyDescent="0.25">
      <c r="A5851" s="1"/>
    </row>
    <row r="5852" spans="1:1" ht="46.5" customHeight="1" x14ac:dyDescent="0.25">
      <c r="A5852" s="1"/>
    </row>
    <row r="5853" spans="1:1" ht="46.5" customHeight="1" x14ac:dyDescent="0.25">
      <c r="A5853" s="1"/>
    </row>
    <row r="5854" spans="1:1" ht="46.5" customHeight="1" x14ac:dyDescent="0.25">
      <c r="A5854" s="1"/>
    </row>
    <row r="5855" spans="1:1" ht="46.5" customHeight="1" x14ac:dyDescent="0.25">
      <c r="A5855" s="1"/>
    </row>
    <row r="5856" spans="1:1" ht="46.5" customHeight="1" x14ac:dyDescent="0.25">
      <c r="A5856" s="1"/>
    </row>
    <row r="5857" spans="1:1" ht="46.5" customHeight="1" x14ac:dyDescent="0.25">
      <c r="A5857" s="1"/>
    </row>
    <row r="5858" spans="1:1" ht="46.5" customHeight="1" x14ac:dyDescent="0.25">
      <c r="A5858" s="1"/>
    </row>
    <row r="5859" spans="1:1" ht="46.5" customHeight="1" x14ac:dyDescent="0.25">
      <c r="A5859" s="1"/>
    </row>
    <row r="5860" spans="1:1" ht="46.5" customHeight="1" x14ac:dyDescent="0.25">
      <c r="A5860" s="1"/>
    </row>
    <row r="5861" spans="1:1" ht="46.5" customHeight="1" x14ac:dyDescent="0.25">
      <c r="A5861" s="1"/>
    </row>
    <row r="5862" spans="1:1" ht="46.5" customHeight="1" x14ac:dyDescent="0.25">
      <c r="A5862" s="1"/>
    </row>
    <row r="5863" spans="1:1" ht="46.5" customHeight="1" x14ac:dyDescent="0.25">
      <c r="A5863" s="1"/>
    </row>
    <row r="5864" spans="1:1" ht="46.5" customHeight="1" x14ac:dyDescent="0.25">
      <c r="A5864" s="1"/>
    </row>
    <row r="5865" spans="1:1" ht="46.5" customHeight="1" x14ac:dyDescent="0.25">
      <c r="A5865" s="1"/>
    </row>
    <row r="5866" spans="1:1" ht="46.5" customHeight="1" x14ac:dyDescent="0.25">
      <c r="A5866" s="1"/>
    </row>
    <row r="5867" spans="1:1" ht="46.5" customHeight="1" x14ac:dyDescent="0.25">
      <c r="A5867" s="1"/>
    </row>
    <row r="5868" spans="1:1" ht="46.5" customHeight="1" x14ac:dyDescent="0.25">
      <c r="A5868" s="1"/>
    </row>
    <row r="5869" spans="1:1" ht="46.5" customHeight="1" x14ac:dyDescent="0.25">
      <c r="A5869" s="1"/>
    </row>
    <row r="5870" spans="1:1" ht="46.5" customHeight="1" x14ac:dyDescent="0.25">
      <c r="A5870" s="1"/>
    </row>
    <row r="5871" spans="1:1" ht="46.5" customHeight="1" x14ac:dyDescent="0.25">
      <c r="A5871" s="1"/>
    </row>
    <row r="5872" spans="1:1" ht="46.5" customHeight="1" x14ac:dyDescent="0.25">
      <c r="A5872" s="1"/>
    </row>
    <row r="5873" spans="1:1" ht="46.5" customHeight="1" x14ac:dyDescent="0.25">
      <c r="A5873" s="1"/>
    </row>
    <row r="5874" spans="1:1" ht="46.5" customHeight="1" x14ac:dyDescent="0.25">
      <c r="A5874" s="1"/>
    </row>
    <row r="5875" spans="1:1" ht="46.5" customHeight="1" x14ac:dyDescent="0.25">
      <c r="A5875" s="1"/>
    </row>
    <row r="5876" spans="1:1" ht="46.5" customHeight="1" x14ac:dyDescent="0.25">
      <c r="A5876" s="1"/>
    </row>
    <row r="5877" spans="1:1" ht="46.5" customHeight="1" x14ac:dyDescent="0.25">
      <c r="A5877" s="1"/>
    </row>
    <row r="5878" spans="1:1" ht="46.5" customHeight="1" x14ac:dyDescent="0.25">
      <c r="A5878" s="1"/>
    </row>
    <row r="5879" spans="1:1" ht="46.5" customHeight="1" x14ac:dyDescent="0.25">
      <c r="A5879" s="1"/>
    </row>
    <row r="5880" spans="1:1" ht="46.5" customHeight="1" x14ac:dyDescent="0.25">
      <c r="A5880" s="1"/>
    </row>
    <row r="5881" spans="1:1" ht="46.5" customHeight="1" x14ac:dyDescent="0.25">
      <c r="A5881" s="1"/>
    </row>
    <row r="5882" spans="1:1" ht="46.5" customHeight="1" x14ac:dyDescent="0.25">
      <c r="A5882" s="1"/>
    </row>
    <row r="5883" spans="1:1" ht="46.5" customHeight="1" x14ac:dyDescent="0.25">
      <c r="A5883" s="1"/>
    </row>
    <row r="5884" spans="1:1" ht="46.5" customHeight="1" x14ac:dyDescent="0.25">
      <c r="A5884" s="1"/>
    </row>
    <row r="5885" spans="1:1" ht="46.5" customHeight="1" x14ac:dyDescent="0.25">
      <c r="A5885" s="1"/>
    </row>
    <row r="5886" spans="1:1" ht="46.5" customHeight="1" x14ac:dyDescent="0.25">
      <c r="A5886" s="1"/>
    </row>
    <row r="5887" spans="1:1" ht="46.5" customHeight="1" x14ac:dyDescent="0.25">
      <c r="A5887" s="1"/>
    </row>
    <row r="5888" spans="1:1" ht="46.5" customHeight="1" x14ac:dyDescent="0.25">
      <c r="A5888" s="1"/>
    </row>
    <row r="5889" spans="1:1" ht="46.5" customHeight="1" x14ac:dyDescent="0.25">
      <c r="A5889" s="1"/>
    </row>
    <row r="5890" spans="1:1" ht="46.5" customHeight="1" x14ac:dyDescent="0.25">
      <c r="A5890" s="1"/>
    </row>
    <row r="5891" spans="1:1" ht="46.5" customHeight="1" x14ac:dyDescent="0.25">
      <c r="A5891" s="1"/>
    </row>
    <row r="5892" spans="1:1" ht="46.5" customHeight="1" x14ac:dyDescent="0.25">
      <c r="A5892" s="1"/>
    </row>
    <row r="5893" spans="1:1" ht="46.5" customHeight="1" x14ac:dyDescent="0.25">
      <c r="A5893" s="1"/>
    </row>
    <row r="5894" spans="1:1" ht="46.5" customHeight="1" x14ac:dyDescent="0.25">
      <c r="A5894" s="1"/>
    </row>
    <row r="5895" spans="1:1" ht="46.5" customHeight="1" x14ac:dyDescent="0.25">
      <c r="A5895" s="1"/>
    </row>
    <row r="5896" spans="1:1" ht="46.5" customHeight="1" x14ac:dyDescent="0.25">
      <c r="A5896" s="1"/>
    </row>
    <row r="5897" spans="1:1" ht="46.5" customHeight="1" x14ac:dyDescent="0.25">
      <c r="A5897" s="1"/>
    </row>
    <row r="5898" spans="1:1" ht="46.5" customHeight="1" x14ac:dyDescent="0.25">
      <c r="A5898" s="1"/>
    </row>
    <row r="5899" spans="1:1" ht="46.5" customHeight="1" x14ac:dyDescent="0.25">
      <c r="A5899" s="1"/>
    </row>
    <row r="5900" spans="1:1" ht="46.5" customHeight="1" x14ac:dyDescent="0.25">
      <c r="A5900" s="1"/>
    </row>
    <row r="5901" spans="1:1" ht="46.5" customHeight="1" x14ac:dyDescent="0.25">
      <c r="A5901" s="1"/>
    </row>
    <row r="5902" spans="1:1" ht="46.5" customHeight="1" x14ac:dyDescent="0.25">
      <c r="A5902" s="1"/>
    </row>
    <row r="5903" spans="1:1" ht="46.5" customHeight="1" x14ac:dyDescent="0.25">
      <c r="A5903" s="1"/>
    </row>
    <row r="5904" spans="1:1" ht="46.5" customHeight="1" x14ac:dyDescent="0.25">
      <c r="A5904" s="1"/>
    </row>
    <row r="5905" spans="1:1" ht="46.5" customHeight="1" x14ac:dyDescent="0.25">
      <c r="A5905" s="1"/>
    </row>
    <row r="5906" spans="1:1" ht="46.5" customHeight="1" x14ac:dyDescent="0.25">
      <c r="A5906" s="1"/>
    </row>
    <row r="5907" spans="1:1" ht="46.5" customHeight="1" x14ac:dyDescent="0.25">
      <c r="A5907" s="1"/>
    </row>
    <row r="5908" spans="1:1" ht="46.5" customHeight="1" x14ac:dyDescent="0.25">
      <c r="A5908" s="1"/>
    </row>
    <row r="5909" spans="1:1" ht="46.5" customHeight="1" x14ac:dyDescent="0.25">
      <c r="A5909" s="1"/>
    </row>
    <row r="5910" spans="1:1" ht="46.5" customHeight="1" x14ac:dyDescent="0.25">
      <c r="A5910" s="1"/>
    </row>
    <row r="5911" spans="1:1" ht="46.5" customHeight="1" x14ac:dyDescent="0.25">
      <c r="A5911" s="1"/>
    </row>
    <row r="5912" spans="1:1" ht="46.5" customHeight="1" x14ac:dyDescent="0.25">
      <c r="A5912" s="1"/>
    </row>
    <row r="5913" spans="1:1" ht="46.5" customHeight="1" x14ac:dyDescent="0.25">
      <c r="A5913" s="1"/>
    </row>
    <row r="5914" spans="1:1" ht="46.5" customHeight="1" x14ac:dyDescent="0.25">
      <c r="A5914" s="1"/>
    </row>
    <row r="5915" spans="1:1" ht="46.5" customHeight="1" x14ac:dyDescent="0.25">
      <c r="A5915" s="1"/>
    </row>
    <row r="5916" spans="1:1" ht="46.5" customHeight="1" x14ac:dyDescent="0.25">
      <c r="A5916" s="1"/>
    </row>
    <row r="5917" spans="1:1" ht="46.5" customHeight="1" x14ac:dyDescent="0.25">
      <c r="A5917" s="1"/>
    </row>
    <row r="5918" spans="1:1" ht="46.5" customHeight="1" x14ac:dyDescent="0.25">
      <c r="A5918" s="1"/>
    </row>
    <row r="5919" spans="1:1" ht="46.5" customHeight="1" x14ac:dyDescent="0.25">
      <c r="A5919" s="1"/>
    </row>
    <row r="5920" spans="1:1" ht="46.5" customHeight="1" x14ac:dyDescent="0.25">
      <c r="A5920" s="1"/>
    </row>
    <row r="5921" spans="1:1" ht="46.5" customHeight="1" x14ac:dyDescent="0.25">
      <c r="A5921" s="1"/>
    </row>
    <row r="5922" spans="1:1" ht="46.5" customHeight="1" x14ac:dyDescent="0.25">
      <c r="A5922" s="1"/>
    </row>
    <row r="5923" spans="1:1" ht="46.5" customHeight="1" x14ac:dyDescent="0.25">
      <c r="A5923" s="1"/>
    </row>
    <row r="5924" spans="1:1" ht="46.5" customHeight="1" x14ac:dyDescent="0.25">
      <c r="A5924" s="1"/>
    </row>
    <row r="5925" spans="1:1" ht="46.5" customHeight="1" x14ac:dyDescent="0.25">
      <c r="A5925" s="1"/>
    </row>
    <row r="5926" spans="1:1" ht="46.5" customHeight="1" x14ac:dyDescent="0.25">
      <c r="A5926" s="1"/>
    </row>
    <row r="5927" spans="1:1" ht="46.5" customHeight="1" x14ac:dyDescent="0.25">
      <c r="A5927" s="1"/>
    </row>
    <row r="5928" spans="1:1" ht="46.5" customHeight="1" x14ac:dyDescent="0.25">
      <c r="A5928" s="1"/>
    </row>
    <row r="5929" spans="1:1" ht="46.5" customHeight="1" x14ac:dyDescent="0.25">
      <c r="A5929" s="1"/>
    </row>
    <row r="5930" spans="1:1" ht="46.5" customHeight="1" x14ac:dyDescent="0.25">
      <c r="A5930" s="1"/>
    </row>
    <row r="5931" spans="1:1" ht="46.5" customHeight="1" x14ac:dyDescent="0.25">
      <c r="A5931" s="1"/>
    </row>
    <row r="5932" spans="1:1" ht="46.5" customHeight="1" x14ac:dyDescent="0.25">
      <c r="A5932" s="1"/>
    </row>
    <row r="5933" spans="1:1" ht="46.5" customHeight="1" x14ac:dyDescent="0.25">
      <c r="A5933" s="1"/>
    </row>
    <row r="5934" spans="1:1" ht="46.5" customHeight="1" x14ac:dyDescent="0.25">
      <c r="A5934" s="1"/>
    </row>
    <row r="5935" spans="1:1" ht="46.5" customHeight="1" x14ac:dyDescent="0.25">
      <c r="A5935" s="1"/>
    </row>
    <row r="5936" spans="1:1" ht="46.5" customHeight="1" x14ac:dyDescent="0.25">
      <c r="A5936" s="1"/>
    </row>
    <row r="5937" spans="1:1" ht="46.5" customHeight="1" x14ac:dyDescent="0.25">
      <c r="A5937" s="1"/>
    </row>
    <row r="5938" spans="1:1" ht="46.5" customHeight="1" x14ac:dyDescent="0.25">
      <c r="A5938" s="1"/>
    </row>
    <row r="5939" spans="1:1" ht="46.5" customHeight="1" x14ac:dyDescent="0.25">
      <c r="A5939" s="1"/>
    </row>
    <row r="5940" spans="1:1" ht="46.5" customHeight="1" x14ac:dyDescent="0.25">
      <c r="A5940" s="1"/>
    </row>
    <row r="5941" spans="1:1" ht="46.5" customHeight="1" x14ac:dyDescent="0.25">
      <c r="A5941" s="1"/>
    </row>
    <row r="5942" spans="1:1" ht="46.5" customHeight="1" x14ac:dyDescent="0.25">
      <c r="A5942" s="1"/>
    </row>
    <row r="5943" spans="1:1" ht="46.5" customHeight="1" x14ac:dyDescent="0.25">
      <c r="A5943" s="1"/>
    </row>
    <row r="5944" spans="1:1" ht="46.5" customHeight="1" x14ac:dyDescent="0.25">
      <c r="A5944" s="1"/>
    </row>
    <row r="5945" spans="1:1" ht="46.5" customHeight="1" x14ac:dyDescent="0.25">
      <c r="A5945" s="1"/>
    </row>
    <row r="5946" spans="1:1" ht="46.5" customHeight="1" x14ac:dyDescent="0.25">
      <c r="A5946" s="1"/>
    </row>
    <row r="5947" spans="1:1" ht="46.5" customHeight="1" x14ac:dyDescent="0.25">
      <c r="A5947" s="1"/>
    </row>
    <row r="5948" spans="1:1" ht="46.5" customHeight="1" x14ac:dyDescent="0.25">
      <c r="A5948" s="1"/>
    </row>
    <row r="5949" spans="1:1" ht="46.5" customHeight="1" x14ac:dyDescent="0.25">
      <c r="A5949" s="1"/>
    </row>
    <row r="5950" spans="1:1" ht="46.5" customHeight="1" x14ac:dyDescent="0.25">
      <c r="A5950" s="1"/>
    </row>
    <row r="5951" spans="1:1" ht="46.5" customHeight="1" x14ac:dyDescent="0.25">
      <c r="A5951" s="1"/>
    </row>
    <row r="5952" spans="1:1" ht="46.5" customHeight="1" x14ac:dyDescent="0.25">
      <c r="A5952" s="1"/>
    </row>
    <row r="5953" spans="1:1" ht="46.5" customHeight="1" x14ac:dyDescent="0.25">
      <c r="A5953" s="1"/>
    </row>
    <row r="5954" spans="1:1" ht="46.5" customHeight="1" x14ac:dyDescent="0.25">
      <c r="A5954" s="1"/>
    </row>
    <row r="5955" spans="1:1" ht="46.5" customHeight="1" x14ac:dyDescent="0.25">
      <c r="A5955" s="1"/>
    </row>
    <row r="5956" spans="1:1" ht="46.5" customHeight="1" x14ac:dyDescent="0.25">
      <c r="A5956" s="1"/>
    </row>
    <row r="5957" spans="1:1" ht="46.5" customHeight="1" x14ac:dyDescent="0.25">
      <c r="A5957" s="1"/>
    </row>
    <row r="5958" spans="1:1" ht="46.5" customHeight="1" x14ac:dyDescent="0.25">
      <c r="A5958" s="1"/>
    </row>
    <row r="5959" spans="1:1" ht="46.5" customHeight="1" x14ac:dyDescent="0.25">
      <c r="A5959" s="1"/>
    </row>
    <row r="5960" spans="1:1" ht="46.5" customHeight="1" x14ac:dyDescent="0.25">
      <c r="A5960" s="1"/>
    </row>
    <row r="5961" spans="1:1" ht="46.5" customHeight="1" x14ac:dyDescent="0.25">
      <c r="A5961" s="1"/>
    </row>
    <row r="5962" spans="1:1" ht="46.5" customHeight="1" x14ac:dyDescent="0.25">
      <c r="A5962" s="1"/>
    </row>
    <row r="5963" spans="1:1" ht="46.5" customHeight="1" x14ac:dyDescent="0.25">
      <c r="A5963" s="1"/>
    </row>
    <row r="5964" spans="1:1" ht="46.5" customHeight="1" x14ac:dyDescent="0.25">
      <c r="A5964" s="1"/>
    </row>
    <row r="5965" spans="1:1" ht="46.5" customHeight="1" x14ac:dyDescent="0.25">
      <c r="A5965" s="1"/>
    </row>
    <row r="5966" spans="1:1" ht="46.5" customHeight="1" x14ac:dyDescent="0.25">
      <c r="A5966" s="1"/>
    </row>
    <row r="5967" spans="1:1" ht="46.5" customHeight="1" x14ac:dyDescent="0.25">
      <c r="A5967" s="1"/>
    </row>
    <row r="5968" spans="1:1" ht="46.5" customHeight="1" x14ac:dyDescent="0.25">
      <c r="A5968" s="1"/>
    </row>
    <row r="5969" spans="1:1" ht="46.5" customHeight="1" x14ac:dyDescent="0.25">
      <c r="A5969" s="1"/>
    </row>
    <row r="5970" spans="1:1" ht="46.5" customHeight="1" x14ac:dyDescent="0.25">
      <c r="A5970" s="1"/>
    </row>
    <row r="5971" spans="1:1" ht="46.5" customHeight="1" x14ac:dyDescent="0.25">
      <c r="A5971" s="1"/>
    </row>
    <row r="5972" spans="1:1" ht="46.5" customHeight="1" x14ac:dyDescent="0.25">
      <c r="A5972" s="1"/>
    </row>
    <row r="5973" spans="1:1" ht="46.5" customHeight="1" x14ac:dyDescent="0.25">
      <c r="A5973" s="1"/>
    </row>
    <row r="5974" spans="1:1" ht="46.5" customHeight="1" x14ac:dyDescent="0.25">
      <c r="A5974" s="1"/>
    </row>
    <row r="5975" spans="1:1" ht="46.5" customHeight="1" x14ac:dyDescent="0.25">
      <c r="A5975" s="1"/>
    </row>
    <row r="5976" spans="1:1" ht="46.5" customHeight="1" x14ac:dyDescent="0.25">
      <c r="A5976" s="1"/>
    </row>
    <row r="5977" spans="1:1" ht="46.5" customHeight="1" x14ac:dyDescent="0.25">
      <c r="A5977" s="1"/>
    </row>
    <row r="5978" spans="1:1" ht="46.5" customHeight="1" x14ac:dyDescent="0.25">
      <c r="A5978" s="1"/>
    </row>
    <row r="5979" spans="1:1" ht="46.5" customHeight="1" x14ac:dyDescent="0.25">
      <c r="A5979" s="1"/>
    </row>
    <row r="5980" spans="1:1" ht="46.5" customHeight="1" x14ac:dyDescent="0.25">
      <c r="A5980" s="1"/>
    </row>
    <row r="5981" spans="1:1" ht="46.5" customHeight="1" x14ac:dyDescent="0.25">
      <c r="A5981" s="1"/>
    </row>
    <row r="5982" spans="1:1" ht="46.5" customHeight="1" x14ac:dyDescent="0.25">
      <c r="A5982" s="1"/>
    </row>
    <row r="5983" spans="1:1" ht="46.5" customHeight="1" x14ac:dyDescent="0.25">
      <c r="A5983" s="1"/>
    </row>
    <row r="5984" spans="1:1" ht="46.5" customHeight="1" x14ac:dyDescent="0.25">
      <c r="A5984" s="1"/>
    </row>
    <row r="5985" spans="1:1" ht="46.5" customHeight="1" x14ac:dyDescent="0.25">
      <c r="A5985" s="1"/>
    </row>
    <row r="5986" spans="1:1" ht="46.5" customHeight="1" x14ac:dyDescent="0.25">
      <c r="A5986" s="1"/>
    </row>
    <row r="5987" spans="1:1" ht="46.5" customHeight="1" x14ac:dyDescent="0.25">
      <c r="A5987" s="1"/>
    </row>
    <row r="5988" spans="1:1" ht="46.5" customHeight="1" x14ac:dyDescent="0.25">
      <c r="A5988" s="1"/>
    </row>
    <row r="5989" spans="1:1" ht="46.5" customHeight="1" x14ac:dyDescent="0.25">
      <c r="A5989" s="1"/>
    </row>
    <row r="5990" spans="1:1" ht="46.5" customHeight="1" x14ac:dyDescent="0.25">
      <c r="A5990" s="1"/>
    </row>
    <row r="5991" spans="1:1" ht="46.5" customHeight="1" x14ac:dyDescent="0.25">
      <c r="A5991" s="1"/>
    </row>
    <row r="5992" spans="1:1" ht="46.5" customHeight="1" x14ac:dyDescent="0.25">
      <c r="A5992" s="1"/>
    </row>
    <row r="5993" spans="1:1" ht="46.5" customHeight="1" x14ac:dyDescent="0.25">
      <c r="A5993" s="1"/>
    </row>
    <row r="5994" spans="1:1" ht="46.5" customHeight="1" x14ac:dyDescent="0.25">
      <c r="A5994" s="1"/>
    </row>
    <row r="5995" spans="1:1" ht="46.5" customHeight="1" x14ac:dyDescent="0.25">
      <c r="A5995" s="1"/>
    </row>
    <row r="5996" spans="1:1" ht="46.5" customHeight="1" x14ac:dyDescent="0.25">
      <c r="A5996" s="1"/>
    </row>
    <row r="5997" spans="1:1" ht="46.5" customHeight="1" x14ac:dyDescent="0.25">
      <c r="A5997" s="1"/>
    </row>
    <row r="5998" spans="1:1" ht="46.5" customHeight="1" x14ac:dyDescent="0.25">
      <c r="A5998" s="1"/>
    </row>
    <row r="5999" spans="1:1" ht="46.5" customHeight="1" x14ac:dyDescent="0.25">
      <c r="A5999" s="1"/>
    </row>
    <row r="6000" spans="1:1" ht="46.5" customHeight="1" x14ac:dyDescent="0.25">
      <c r="A6000" s="1"/>
    </row>
    <row r="6001" spans="1:1" ht="46.5" customHeight="1" x14ac:dyDescent="0.25">
      <c r="A6001" s="1"/>
    </row>
    <row r="6002" spans="1:1" ht="46.5" customHeight="1" x14ac:dyDescent="0.25">
      <c r="A6002" s="1"/>
    </row>
    <row r="6003" spans="1:1" ht="46.5" customHeight="1" x14ac:dyDescent="0.25">
      <c r="A6003" s="1"/>
    </row>
    <row r="6004" spans="1:1" ht="46.5" customHeight="1" x14ac:dyDescent="0.25">
      <c r="A6004" s="1"/>
    </row>
    <row r="6005" spans="1:1" ht="46.5" customHeight="1" x14ac:dyDescent="0.25">
      <c r="A6005" s="1"/>
    </row>
    <row r="6006" spans="1:1" ht="46.5" customHeight="1" x14ac:dyDescent="0.25">
      <c r="A6006" s="1"/>
    </row>
    <row r="6007" spans="1:1" ht="46.5" customHeight="1" x14ac:dyDescent="0.25">
      <c r="A6007" s="1"/>
    </row>
    <row r="6008" spans="1:1" ht="46.5" customHeight="1" x14ac:dyDescent="0.25">
      <c r="A6008" s="1"/>
    </row>
    <row r="6009" spans="1:1" ht="46.5" customHeight="1" x14ac:dyDescent="0.25">
      <c r="A6009" s="1"/>
    </row>
    <row r="6010" spans="1:1" ht="46.5" customHeight="1" x14ac:dyDescent="0.25">
      <c r="A6010" s="1"/>
    </row>
    <row r="6011" spans="1:1" ht="46.5" customHeight="1" x14ac:dyDescent="0.25">
      <c r="A6011" s="1"/>
    </row>
    <row r="6012" spans="1:1" ht="46.5" customHeight="1" x14ac:dyDescent="0.25">
      <c r="A6012" s="1"/>
    </row>
    <row r="6013" spans="1:1" ht="46.5" customHeight="1" x14ac:dyDescent="0.25">
      <c r="A6013" s="1"/>
    </row>
    <row r="6014" spans="1:1" ht="46.5" customHeight="1" x14ac:dyDescent="0.25">
      <c r="A6014" s="1"/>
    </row>
    <row r="6015" spans="1:1" ht="46.5" customHeight="1" x14ac:dyDescent="0.25">
      <c r="A6015" s="1"/>
    </row>
    <row r="6016" spans="1:1" ht="46.5" customHeight="1" x14ac:dyDescent="0.25">
      <c r="A6016" s="1"/>
    </row>
    <row r="6017" spans="1:1" ht="46.5" customHeight="1" x14ac:dyDescent="0.25">
      <c r="A6017" s="1"/>
    </row>
    <row r="6018" spans="1:1" ht="46.5" customHeight="1" x14ac:dyDescent="0.25">
      <c r="A6018" s="1"/>
    </row>
    <row r="6019" spans="1:1" ht="46.5" customHeight="1" x14ac:dyDescent="0.25">
      <c r="A6019" s="1"/>
    </row>
    <row r="6020" spans="1:1" ht="46.5" customHeight="1" x14ac:dyDescent="0.25">
      <c r="A6020" s="1"/>
    </row>
    <row r="6021" spans="1:1" ht="46.5" customHeight="1" x14ac:dyDescent="0.25">
      <c r="A6021" s="1"/>
    </row>
    <row r="6022" spans="1:1" ht="46.5" customHeight="1" x14ac:dyDescent="0.25">
      <c r="A6022" s="1"/>
    </row>
    <row r="6023" spans="1:1" ht="46.5" customHeight="1" x14ac:dyDescent="0.25">
      <c r="A6023" s="1"/>
    </row>
    <row r="6024" spans="1:1" ht="46.5" customHeight="1" x14ac:dyDescent="0.25">
      <c r="A6024" s="1"/>
    </row>
    <row r="6025" spans="1:1" ht="46.5" customHeight="1" x14ac:dyDescent="0.25">
      <c r="A6025" s="1"/>
    </row>
    <row r="6026" spans="1:1" ht="46.5" customHeight="1" x14ac:dyDescent="0.25">
      <c r="A6026" s="1"/>
    </row>
    <row r="6027" spans="1:1" ht="46.5" customHeight="1" x14ac:dyDescent="0.25">
      <c r="A6027" s="1"/>
    </row>
    <row r="6028" spans="1:1" ht="46.5" customHeight="1" x14ac:dyDescent="0.25">
      <c r="A6028" s="1"/>
    </row>
    <row r="6029" spans="1:1" ht="46.5" customHeight="1" x14ac:dyDescent="0.25">
      <c r="A6029" s="1"/>
    </row>
    <row r="6030" spans="1:1" ht="46.5" customHeight="1" x14ac:dyDescent="0.25">
      <c r="A6030" s="1"/>
    </row>
    <row r="6031" spans="1:1" ht="46.5" customHeight="1" x14ac:dyDescent="0.25">
      <c r="A6031" s="1"/>
    </row>
    <row r="6032" spans="1:1" ht="46.5" customHeight="1" x14ac:dyDescent="0.25">
      <c r="A6032" s="1"/>
    </row>
    <row r="6033" spans="1:1" ht="46.5" customHeight="1" x14ac:dyDescent="0.25">
      <c r="A6033" s="1"/>
    </row>
    <row r="6034" spans="1:1" ht="46.5" customHeight="1" x14ac:dyDescent="0.25">
      <c r="A6034" s="1"/>
    </row>
    <row r="6035" spans="1:1" ht="46.5" customHeight="1" x14ac:dyDescent="0.25">
      <c r="A6035" s="1"/>
    </row>
    <row r="6036" spans="1:1" ht="46.5" customHeight="1" x14ac:dyDescent="0.25">
      <c r="A6036" s="1"/>
    </row>
    <row r="6037" spans="1:1" ht="46.5" customHeight="1" x14ac:dyDescent="0.25">
      <c r="A6037" s="1"/>
    </row>
    <row r="6038" spans="1:1" ht="46.5" customHeight="1" x14ac:dyDescent="0.25">
      <c r="A6038" s="1"/>
    </row>
    <row r="6039" spans="1:1" ht="46.5" customHeight="1" x14ac:dyDescent="0.25">
      <c r="A6039" s="1"/>
    </row>
    <row r="6040" spans="1:1" ht="46.5" customHeight="1" x14ac:dyDescent="0.25">
      <c r="A6040" s="1"/>
    </row>
    <row r="6041" spans="1:1" ht="46.5" customHeight="1" x14ac:dyDescent="0.25">
      <c r="A6041" s="1"/>
    </row>
    <row r="6042" spans="1:1" ht="46.5" customHeight="1" x14ac:dyDescent="0.25">
      <c r="A6042" s="1"/>
    </row>
    <row r="6043" spans="1:1" ht="46.5" customHeight="1" x14ac:dyDescent="0.25">
      <c r="A6043" s="1"/>
    </row>
    <row r="6044" spans="1:1" ht="46.5" customHeight="1" x14ac:dyDescent="0.25">
      <c r="A6044" s="1"/>
    </row>
    <row r="6045" spans="1:1" ht="46.5" customHeight="1" x14ac:dyDescent="0.25">
      <c r="A6045" s="1"/>
    </row>
    <row r="6046" spans="1:1" ht="46.5" customHeight="1" x14ac:dyDescent="0.25">
      <c r="A6046" s="1"/>
    </row>
    <row r="6047" spans="1:1" ht="46.5" customHeight="1" x14ac:dyDescent="0.25">
      <c r="A6047" s="1"/>
    </row>
    <row r="6048" spans="1:1" ht="46.5" customHeight="1" x14ac:dyDescent="0.25">
      <c r="A6048" s="1"/>
    </row>
    <row r="6049" spans="1:1" ht="46.5" customHeight="1" x14ac:dyDescent="0.25">
      <c r="A6049" s="1"/>
    </row>
    <row r="6050" spans="1:1" ht="46.5" customHeight="1" x14ac:dyDescent="0.25">
      <c r="A6050" s="1"/>
    </row>
    <row r="6051" spans="1:1" ht="46.5" customHeight="1" x14ac:dyDescent="0.25">
      <c r="A6051" s="1"/>
    </row>
    <row r="6052" spans="1:1" ht="46.5" customHeight="1" x14ac:dyDescent="0.25">
      <c r="A6052" s="1"/>
    </row>
    <row r="6053" spans="1:1" ht="46.5" customHeight="1" x14ac:dyDescent="0.25">
      <c r="A6053" s="1"/>
    </row>
    <row r="6054" spans="1:1" ht="46.5" customHeight="1" x14ac:dyDescent="0.25">
      <c r="A6054" s="1"/>
    </row>
    <row r="6055" spans="1:1" ht="46.5" customHeight="1" x14ac:dyDescent="0.25">
      <c r="A6055" s="1"/>
    </row>
    <row r="6056" spans="1:1" ht="46.5" customHeight="1" x14ac:dyDescent="0.25">
      <c r="A6056" s="1"/>
    </row>
    <row r="6057" spans="1:1" ht="46.5" customHeight="1" x14ac:dyDescent="0.25">
      <c r="A6057" s="1"/>
    </row>
    <row r="6058" spans="1:1" ht="46.5" customHeight="1" x14ac:dyDescent="0.25">
      <c r="A6058" s="1"/>
    </row>
    <row r="6059" spans="1:1" ht="46.5" customHeight="1" x14ac:dyDescent="0.25">
      <c r="A6059" s="1"/>
    </row>
    <row r="6060" spans="1:1" ht="46.5" customHeight="1" x14ac:dyDescent="0.25">
      <c r="A6060" s="1"/>
    </row>
    <row r="6061" spans="1:1" ht="46.5" customHeight="1" x14ac:dyDescent="0.25">
      <c r="A6061" s="1"/>
    </row>
    <row r="6062" spans="1:1" ht="46.5" customHeight="1" x14ac:dyDescent="0.25">
      <c r="A6062" s="1"/>
    </row>
    <row r="6063" spans="1:1" ht="46.5" customHeight="1" x14ac:dyDescent="0.25">
      <c r="A6063" s="1"/>
    </row>
    <row r="6064" spans="1:1" ht="46.5" customHeight="1" x14ac:dyDescent="0.25">
      <c r="A6064" s="1"/>
    </row>
    <row r="6065" spans="1:1" ht="46.5" customHeight="1" x14ac:dyDescent="0.25">
      <c r="A6065" s="1"/>
    </row>
    <row r="6066" spans="1:1" ht="46.5" customHeight="1" x14ac:dyDescent="0.25">
      <c r="A6066" s="1"/>
    </row>
    <row r="6067" spans="1:1" ht="46.5" customHeight="1" x14ac:dyDescent="0.25">
      <c r="A6067" s="1"/>
    </row>
    <row r="6068" spans="1:1" ht="46.5" customHeight="1" x14ac:dyDescent="0.25">
      <c r="A6068" s="1"/>
    </row>
    <row r="6069" spans="1:1" ht="46.5" customHeight="1" x14ac:dyDescent="0.25">
      <c r="A6069" s="1"/>
    </row>
    <row r="6070" spans="1:1" ht="46.5" customHeight="1" x14ac:dyDescent="0.25">
      <c r="A6070" s="1"/>
    </row>
    <row r="6071" spans="1:1" ht="46.5" customHeight="1" x14ac:dyDescent="0.25">
      <c r="A6071" s="1"/>
    </row>
    <row r="6072" spans="1:1" ht="46.5" customHeight="1" x14ac:dyDescent="0.25">
      <c r="A6072" s="1"/>
    </row>
    <row r="6073" spans="1:1" ht="46.5" customHeight="1" x14ac:dyDescent="0.25">
      <c r="A6073" s="1"/>
    </row>
    <row r="6074" spans="1:1" ht="46.5" customHeight="1" x14ac:dyDescent="0.25">
      <c r="A6074" s="1"/>
    </row>
    <row r="6075" spans="1:1" ht="46.5" customHeight="1" x14ac:dyDescent="0.25">
      <c r="A6075" s="1"/>
    </row>
    <row r="6076" spans="1:1" ht="46.5" customHeight="1" x14ac:dyDescent="0.25">
      <c r="A6076" s="1"/>
    </row>
    <row r="6077" spans="1:1" ht="46.5" customHeight="1" x14ac:dyDescent="0.25">
      <c r="A6077" s="1"/>
    </row>
    <row r="6078" spans="1:1" ht="46.5" customHeight="1" x14ac:dyDescent="0.25">
      <c r="A6078" s="1"/>
    </row>
    <row r="6079" spans="1:1" ht="46.5" customHeight="1" x14ac:dyDescent="0.25">
      <c r="A6079" s="1"/>
    </row>
    <row r="6080" spans="1:1" ht="46.5" customHeight="1" x14ac:dyDescent="0.25">
      <c r="A6080" s="1"/>
    </row>
    <row r="6081" spans="1:1" ht="46.5" customHeight="1" x14ac:dyDescent="0.25">
      <c r="A6081" s="1"/>
    </row>
    <row r="6082" spans="1:1" ht="46.5" customHeight="1" x14ac:dyDescent="0.25">
      <c r="A6082" s="1"/>
    </row>
    <row r="6083" spans="1:1" ht="46.5" customHeight="1" x14ac:dyDescent="0.25">
      <c r="A6083" s="1"/>
    </row>
    <row r="6084" spans="1:1" ht="46.5" customHeight="1" x14ac:dyDescent="0.25">
      <c r="A6084" s="1"/>
    </row>
    <row r="6085" spans="1:1" ht="46.5" customHeight="1" x14ac:dyDescent="0.25">
      <c r="A6085" s="1"/>
    </row>
    <row r="6086" spans="1:1" ht="46.5" customHeight="1" x14ac:dyDescent="0.25">
      <c r="A6086" s="1"/>
    </row>
    <row r="6087" spans="1:1" ht="46.5" customHeight="1" x14ac:dyDescent="0.25">
      <c r="A6087" s="1"/>
    </row>
    <row r="6088" spans="1:1" ht="46.5" customHeight="1" x14ac:dyDescent="0.25">
      <c r="A6088" s="1"/>
    </row>
    <row r="6089" spans="1:1" ht="46.5" customHeight="1" x14ac:dyDescent="0.25">
      <c r="A6089" s="1"/>
    </row>
    <row r="6090" spans="1:1" ht="46.5" customHeight="1" x14ac:dyDescent="0.25">
      <c r="A6090" s="1"/>
    </row>
    <row r="6091" spans="1:1" ht="46.5" customHeight="1" x14ac:dyDescent="0.25">
      <c r="A6091" s="1"/>
    </row>
    <row r="6092" spans="1:1" ht="46.5" customHeight="1" x14ac:dyDescent="0.25">
      <c r="A6092" s="1"/>
    </row>
    <row r="6093" spans="1:1" ht="46.5" customHeight="1" x14ac:dyDescent="0.25">
      <c r="A6093" s="1"/>
    </row>
    <row r="6094" spans="1:1" ht="46.5" customHeight="1" x14ac:dyDescent="0.25">
      <c r="A6094" s="1"/>
    </row>
    <row r="6095" spans="1:1" ht="46.5" customHeight="1" x14ac:dyDescent="0.25">
      <c r="A6095" s="1"/>
    </row>
    <row r="6096" spans="1:1" ht="46.5" customHeight="1" x14ac:dyDescent="0.25">
      <c r="A6096" s="1"/>
    </row>
    <row r="6097" spans="1:1" ht="46.5" customHeight="1" x14ac:dyDescent="0.25">
      <c r="A6097" s="1"/>
    </row>
    <row r="6098" spans="1:1" ht="46.5" customHeight="1" x14ac:dyDescent="0.25">
      <c r="A6098" s="1"/>
    </row>
    <row r="6099" spans="1:1" ht="46.5" customHeight="1" x14ac:dyDescent="0.25">
      <c r="A6099" s="1"/>
    </row>
    <row r="6100" spans="1:1" ht="46.5" customHeight="1" x14ac:dyDescent="0.25">
      <c r="A6100" s="1"/>
    </row>
    <row r="6101" spans="1:1" ht="46.5" customHeight="1" x14ac:dyDescent="0.25">
      <c r="A6101" s="1"/>
    </row>
    <row r="6102" spans="1:1" ht="46.5" customHeight="1" x14ac:dyDescent="0.25">
      <c r="A6102" s="1"/>
    </row>
    <row r="6103" spans="1:1" ht="46.5" customHeight="1" x14ac:dyDescent="0.25">
      <c r="A6103" s="1"/>
    </row>
    <row r="6104" spans="1:1" ht="46.5" customHeight="1" x14ac:dyDescent="0.25">
      <c r="A6104" s="1"/>
    </row>
    <row r="6105" spans="1:1" ht="46.5" customHeight="1" x14ac:dyDescent="0.25">
      <c r="A6105" s="1"/>
    </row>
    <row r="6106" spans="1:1" ht="46.5" customHeight="1" x14ac:dyDescent="0.25">
      <c r="A6106" s="1"/>
    </row>
    <row r="6107" spans="1:1" ht="46.5" customHeight="1" x14ac:dyDescent="0.25">
      <c r="A6107" s="1"/>
    </row>
    <row r="6108" spans="1:1" ht="46.5" customHeight="1" x14ac:dyDescent="0.25">
      <c r="A6108" s="1"/>
    </row>
    <row r="6109" spans="1:1" ht="46.5" customHeight="1" x14ac:dyDescent="0.25">
      <c r="A6109" s="1"/>
    </row>
    <row r="6110" spans="1:1" ht="46.5" customHeight="1" x14ac:dyDescent="0.25">
      <c r="A6110" s="1"/>
    </row>
    <row r="6111" spans="1:1" ht="46.5" customHeight="1" x14ac:dyDescent="0.25">
      <c r="A6111" s="1"/>
    </row>
    <row r="6112" spans="1:1" ht="46.5" customHeight="1" x14ac:dyDescent="0.25">
      <c r="A6112" s="1"/>
    </row>
    <row r="6113" spans="1:1" ht="46.5" customHeight="1" x14ac:dyDescent="0.25">
      <c r="A6113" s="1"/>
    </row>
    <row r="6114" spans="1:1" ht="46.5" customHeight="1" x14ac:dyDescent="0.25">
      <c r="A6114" s="1"/>
    </row>
    <row r="6115" spans="1:1" ht="46.5" customHeight="1" x14ac:dyDescent="0.25">
      <c r="A6115" s="1"/>
    </row>
    <row r="6116" spans="1:1" ht="46.5" customHeight="1" x14ac:dyDescent="0.25">
      <c r="A6116" s="1"/>
    </row>
    <row r="6117" spans="1:1" ht="46.5" customHeight="1" x14ac:dyDescent="0.25">
      <c r="A6117" s="1"/>
    </row>
    <row r="6118" spans="1:1" ht="46.5" customHeight="1" x14ac:dyDescent="0.25">
      <c r="A6118" s="1"/>
    </row>
    <row r="6119" spans="1:1" ht="46.5" customHeight="1" x14ac:dyDescent="0.25">
      <c r="A6119" s="1"/>
    </row>
    <row r="6120" spans="1:1" ht="46.5" customHeight="1" x14ac:dyDescent="0.25">
      <c r="A6120" s="1"/>
    </row>
    <row r="6121" spans="1:1" ht="46.5" customHeight="1" x14ac:dyDescent="0.25">
      <c r="A6121" s="1"/>
    </row>
    <row r="6122" spans="1:1" ht="46.5" customHeight="1" x14ac:dyDescent="0.25">
      <c r="A6122" s="1"/>
    </row>
    <row r="6123" spans="1:1" ht="46.5" customHeight="1" x14ac:dyDescent="0.25">
      <c r="A6123" s="1"/>
    </row>
    <row r="6124" spans="1:1" ht="46.5" customHeight="1" x14ac:dyDescent="0.25">
      <c r="A6124" s="1"/>
    </row>
    <row r="6125" spans="1:1" ht="46.5" customHeight="1" x14ac:dyDescent="0.25">
      <c r="A6125" s="1"/>
    </row>
    <row r="6126" spans="1:1" ht="46.5" customHeight="1" x14ac:dyDescent="0.25">
      <c r="A6126" s="1"/>
    </row>
    <row r="6127" spans="1:1" ht="46.5" customHeight="1" x14ac:dyDescent="0.25">
      <c r="A6127" s="1"/>
    </row>
    <row r="6128" spans="1:1" ht="46.5" customHeight="1" x14ac:dyDescent="0.25">
      <c r="A6128" s="1"/>
    </row>
    <row r="6129" spans="1:1" ht="46.5" customHeight="1" x14ac:dyDescent="0.25">
      <c r="A6129" s="1"/>
    </row>
    <row r="6130" spans="1:1" ht="46.5" customHeight="1" x14ac:dyDescent="0.25">
      <c r="A6130" s="1"/>
    </row>
    <row r="6131" spans="1:1" ht="46.5" customHeight="1" x14ac:dyDescent="0.25">
      <c r="A6131" s="1"/>
    </row>
    <row r="6132" spans="1:1" ht="46.5" customHeight="1" x14ac:dyDescent="0.25">
      <c r="A6132" s="1"/>
    </row>
    <row r="6133" spans="1:1" ht="46.5" customHeight="1" x14ac:dyDescent="0.25">
      <c r="A6133" s="1"/>
    </row>
    <row r="6134" spans="1:1" ht="46.5" customHeight="1" x14ac:dyDescent="0.25">
      <c r="A6134" s="1"/>
    </row>
    <row r="6135" spans="1:1" ht="46.5" customHeight="1" x14ac:dyDescent="0.25">
      <c r="A6135" s="1"/>
    </row>
    <row r="6136" spans="1:1" ht="46.5" customHeight="1" x14ac:dyDescent="0.25">
      <c r="A6136" s="1"/>
    </row>
    <row r="6137" spans="1:1" ht="46.5" customHeight="1" x14ac:dyDescent="0.25">
      <c r="A6137" s="1"/>
    </row>
    <row r="6138" spans="1:1" ht="46.5" customHeight="1" x14ac:dyDescent="0.25">
      <c r="A6138" s="1"/>
    </row>
    <row r="6139" spans="1:1" ht="46.5" customHeight="1" x14ac:dyDescent="0.25">
      <c r="A6139" s="1"/>
    </row>
    <row r="6140" spans="1:1" ht="46.5" customHeight="1" x14ac:dyDescent="0.25">
      <c r="A6140" s="1"/>
    </row>
    <row r="6141" spans="1:1" ht="46.5" customHeight="1" x14ac:dyDescent="0.25">
      <c r="A6141" s="1"/>
    </row>
    <row r="6142" spans="1:1" ht="46.5" customHeight="1" x14ac:dyDescent="0.25">
      <c r="A6142" s="1"/>
    </row>
    <row r="6143" spans="1:1" ht="46.5" customHeight="1" x14ac:dyDescent="0.25">
      <c r="A6143" s="1"/>
    </row>
    <row r="6144" spans="1:1" ht="46.5" customHeight="1" x14ac:dyDescent="0.25">
      <c r="A6144" s="1"/>
    </row>
    <row r="6145" spans="1:1" ht="46.5" customHeight="1" x14ac:dyDescent="0.25">
      <c r="A6145" s="1"/>
    </row>
    <row r="6146" spans="1:1" ht="46.5" customHeight="1" x14ac:dyDescent="0.25">
      <c r="A6146" s="1"/>
    </row>
    <row r="6147" spans="1:1" ht="46.5" customHeight="1" x14ac:dyDescent="0.25">
      <c r="A6147" s="1"/>
    </row>
    <row r="6148" spans="1:1" ht="46.5" customHeight="1" x14ac:dyDescent="0.25">
      <c r="A6148" s="1"/>
    </row>
    <row r="6149" spans="1:1" ht="46.5" customHeight="1" x14ac:dyDescent="0.25">
      <c r="A6149" s="1"/>
    </row>
    <row r="6150" spans="1:1" ht="46.5" customHeight="1" x14ac:dyDescent="0.25">
      <c r="A6150" s="1"/>
    </row>
    <row r="6151" spans="1:1" ht="46.5" customHeight="1" x14ac:dyDescent="0.25">
      <c r="A6151" s="1"/>
    </row>
    <row r="6152" spans="1:1" ht="46.5" customHeight="1" x14ac:dyDescent="0.25">
      <c r="A6152" s="1"/>
    </row>
    <row r="6153" spans="1:1" ht="46.5" customHeight="1" x14ac:dyDescent="0.25">
      <c r="A6153" s="1"/>
    </row>
    <row r="6154" spans="1:1" ht="46.5" customHeight="1" x14ac:dyDescent="0.25">
      <c r="A6154" s="1"/>
    </row>
    <row r="6155" spans="1:1" ht="46.5" customHeight="1" x14ac:dyDescent="0.25">
      <c r="A6155" s="1"/>
    </row>
    <row r="6156" spans="1:1" ht="46.5" customHeight="1" x14ac:dyDescent="0.25">
      <c r="A6156" s="1"/>
    </row>
    <row r="6157" spans="1:1" ht="46.5" customHeight="1" x14ac:dyDescent="0.25">
      <c r="A6157" s="1"/>
    </row>
    <row r="6158" spans="1:1" ht="46.5" customHeight="1" x14ac:dyDescent="0.25">
      <c r="A6158" s="1"/>
    </row>
    <row r="6159" spans="1:1" ht="46.5" customHeight="1" x14ac:dyDescent="0.25">
      <c r="A6159" s="1"/>
    </row>
    <row r="6160" spans="1:1" ht="46.5" customHeight="1" x14ac:dyDescent="0.25">
      <c r="A6160" s="1"/>
    </row>
    <row r="6161" spans="1:1" ht="46.5" customHeight="1" x14ac:dyDescent="0.25">
      <c r="A6161" s="1"/>
    </row>
    <row r="6162" spans="1:1" ht="46.5" customHeight="1" x14ac:dyDescent="0.25">
      <c r="A6162" s="1"/>
    </row>
    <row r="6163" spans="1:1" ht="46.5" customHeight="1" x14ac:dyDescent="0.25">
      <c r="A6163" s="1"/>
    </row>
    <row r="6164" spans="1:1" ht="46.5" customHeight="1" x14ac:dyDescent="0.25">
      <c r="A6164" s="1"/>
    </row>
    <row r="6165" spans="1:1" ht="46.5" customHeight="1" x14ac:dyDescent="0.25">
      <c r="A6165" s="1"/>
    </row>
    <row r="6166" spans="1:1" ht="46.5" customHeight="1" x14ac:dyDescent="0.25">
      <c r="A6166" s="1"/>
    </row>
    <row r="6167" spans="1:1" ht="46.5" customHeight="1" x14ac:dyDescent="0.25">
      <c r="A6167" s="1"/>
    </row>
    <row r="6168" spans="1:1" ht="46.5" customHeight="1" x14ac:dyDescent="0.25">
      <c r="A6168" s="1"/>
    </row>
    <row r="6169" spans="1:1" ht="46.5" customHeight="1" x14ac:dyDescent="0.25">
      <c r="A6169" s="1"/>
    </row>
    <row r="6170" spans="1:1" ht="46.5" customHeight="1" x14ac:dyDescent="0.25">
      <c r="A6170" s="1"/>
    </row>
    <row r="6171" spans="1:1" ht="46.5" customHeight="1" x14ac:dyDescent="0.25">
      <c r="A6171" s="1"/>
    </row>
    <row r="6172" spans="1:1" ht="46.5" customHeight="1" x14ac:dyDescent="0.25">
      <c r="A6172" s="1"/>
    </row>
    <row r="6173" spans="1:1" ht="46.5" customHeight="1" x14ac:dyDescent="0.25">
      <c r="A6173" s="1"/>
    </row>
    <row r="6174" spans="1:1" ht="46.5" customHeight="1" x14ac:dyDescent="0.25">
      <c r="A6174" s="1"/>
    </row>
    <row r="6175" spans="1:1" ht="46.5" customHeight="1" x14ac:dyDescent="0.25">
      <c r="A6175" s="1"/>
    </row>
    <row r="6176" spans="1:1" ht="46.5" customHeight="1" x14ac:dyDescent="0.25">
      <c r="A6176" s="1"/>
    </row>
    <row r="6177" spans="1:1" ht="46.5" customHeight="1" x14ac:dyDescent="0.25">
      <c r="A6177" s="1"/>
    </row>
    <row r="6178" spans="1:1" ht="46.5" customHeight="1" x14ac:dyDescent="0.25">
      <c r="A6178" s="1"/>
    </row>
    <row r="6179" spans="1:1" ht="46.5" customHeight="1" x14ac:dyDescent="0.25">
      <c r="A6179" s="1"/>
    </row>
    <row r="6180" spans="1:1" ht="46.5" customHeight="1" x14ac:dyDescent="0.25">
      <c r="A6180" s="1"/>
    </row>
    <row r="6181" spans="1:1" ht="46.5" customHeight="1" x14ac:dyDescent="0.25">
      <c r="A6181" s="1"/>
    </row>
    <row r="6182" spans="1:1" ht="46.5" customHeight="1" x14ac:dyDescent="0.25">
      <c r="A6182" s="1"/>
    </row>
    <row r="6183" spans="1:1" ht="46.5" customHeight="1" x14ac:dyDescent="0.25">
      <c r="A6183" s="1"/>
    </row>
    <row r="6184" spans="1:1" ht="46.5" customHeight="1" x14ac:dyDescent="0.25">
      <c r="A6184" s="1"/>
    </row>
    <row r="6185" spans="1:1" ht="46.5" customHeight="1" x14ac:dyDescent="0.25">
      <c r="A6185" s="1"/>
    </row>
    <row r="6186" spans="1:1" ht="46.5" customHeight="1" x14ac:dyDescent="0.25">
      <c r="A6186" s="1"/>
    </row>
    <row r="6187" spans="1:1" ht="46.5" customHeight="1" x14ac:dyDescent="0.25">
      <c r="A6187" s="1"/>
    </row>
    <row r="6188" spans="1:1" ht="46.5" customHeight="1" x14ac:dyDescent="0.25">
      <c r="A6188" s="1"/>
    </row>
    <row r="6189" spans="1:1" ht="46.5" customHeight="1" x14ac:dyDescent="0.25">
      <c r="A6189" s="1"/>
    </row>
    <row r="6190" spans="1:1" ht="46.5" customHeight="1" x14ac:dyDescent="0.25">
      <c r="A6190" s="1"/>
    </row>
    <row r="6191" spans="1:1" ht="46.5" customHeight="1" x14ac:dyDescent="0.25">
      <c r="A6191" s="1"/>
    </row>
    <row r="6192" spans="1:1" ht="46.5" customHeight="1" x14ac:dyDescent="0.25">
      <c r="A6192" s="1"/>
    </row>
    <row r="6193" spans="1:1" ht="46.5" customHeight="1" x14ac:dyDescent="0.25">
      <c r="A6193" s="1"/>
    </row>
    <row r="6194" spans="1:1" ht="46.5" customHeight="1" x14ac:dyDescent="0.25">
      <c r="A6194" s="1"/>
    </row>
    <row r="6195" spans="1:1" ht="46.5" customHeight="1" x14ac:dyDescent="0.25">
      <c r="A6195" s="1"/>
    </row>
    <row r="6196" spans="1:1" ht="46.5" customHeight="1" x14ac:dyDescent="0.25">
      <c r="A6196" s="1"/>
    </row>
    <row r="6197" spans="1:1" ht="46.5" customHeight="1" x14ac:dyDescent="0.25">
      <c r="A6197" s="1"/>
    </row>
    <row r="6198" spans="1:1" ht="46.5" customHeight="1" x14ac:dyDescent="0.25">
      <c r="A6198" s="1"/>
    </row>
    <row r="6199" spans="1:1" ht="46.5" customHeight="1" x14ac:dyDescent="0.25">
      <c r="A6199" s="1"/>
    </row>
    <row r="6200" spans="1:1" ht="46.5" customHeight="1" x14ac:dyDescent="0.25">
      <c r="A6200" s="1"/>
    </row>
    <row r="6201" spans="1:1" ht="46.5" customHeight="1" x14ac:dyDescent="0.25">
      <c r="A6201" s="1"/>
    </row>
    <row r="6202" spans="1:1" ht="46.5" customHeight="1" x14ac:dyDescent="0.25">
      <c r="A6202" s="1"/>
    </row>
    <row r="6203" spans="1:1" ht="46.5" customHeight="1" x14ac:dyDescent="0.25">
      <c r="A6203" s="1"/>
    </row>
    <row r="6204" spans="1:1" ht="46.5" customHeight="1" x14ac:dyDescent="0.25">
      <c r="A6204" s="1"/>
    </row>
    <row r="6205" spans="1:1" ht="46.5" customHeight="1" x14ac:dyDescent="0.25">
      <c r="A6205" s="1"/>
    </row>
    <row r="6206" spans="1:1" ht="46.5" customHeight="1" x14ac:dyDescent="0.25">
      <c r="A6206" s="1"/>
    </row>
    <row r="6207" spans="1:1" ht="46.5" customHeight="1" x14ac:dyDescent="0.25">
      <c r="A6207" s="1"/>
    </row>
    <row r="6208" spans="1:1" ht="46.5" customHeight="1" x14ac:dyDescent="0.25">
      <c r="A6208" s="1"/>
    </row>
    <row r="6209" spans="1:1" ht="46.5" customHeight="1" x14ac:dyDescent="0.25">
      <c r="A6209" s="1"/>
    </row>
    <row r="6210" spans="1:1" ht="46.5" customHeight="1" x14ac:dyDescent="0.25">
      <c r="A6210" s="1"/>
    </row>
    <row r="6211" spans="1:1" ht="46.5" customHeight="1" x14ac:dyDescent="0.25">
      <c r="A6211" s="1"/>
    </row>
    <row r="6212" spans="1:1" ht="46.5" customHeight="1" x14ac:dyDescent="0.25">
      <c r="A6212" s="1"/>
    </row>
    <row r="6213" spans="1:1" ht="46.5" customHeight="1" x14ac:dyDescent="0.25">
      <c r="A6213" s="1"/>
    </row>
    <row r="6214" spans="1:1" ht="46.5" customHeight="1" x14ac:dyDescent="0.25">
      <c r="A6214" s="1"/>
    </row>
    <row r="6215" spans="1:1" ht="46.5" customHeight="1" x14ac:dyDescent="0.25">
      <c r="A6215" s="1"/>
    </row>
    <row r="6216" spans="1:1" ht="46.5" customHeight="1" x14ac:dyDescent="0.25">
      <c r="A6216" s="1"/>
    </row>
    <row r="6217" spans="1:1" ht="46.5" customHeight="1" x14ac:dyDescent="0.25">
      <c r="A6217" s="1"/>
    </row>
    <row r="6218" spans="1:1" ht="46.5" customHeight="1" x14ac:dyDescent="0.25">
      <c r="A6218" s="1"/>
    </row>
    <row r="6219" spans="1:1" ht="46.5" customHeight="1" x14ac:dyDescent="0.25">
      <c r="A6219" s="1"/>
    </row>
    <row r="6220" spans="1:1" ht="46.5" customHeight="1" x14ac:dyDescent="0.25">
      <c r="A6220" s="1"/>
    </row>
    <row r="6221" spans="1:1" ht="46.5" customHeight="1" x14ac:dyDescent="0.25">
      <c r="A6221" s="1"/>
    </row>
    <row r="6222" spans="1:1" ht="46.5" customHeight="1" x14ac:dyDescent="0.25">
      <c r="A6222" s="1"/>
    </row>
    <row r="6223" spans="1:1" ht="46.5" customHeight="1" x14ac:dyDescent="0.25">
      <c r="A6223" s="1"/>
    </row>
    <row r="6224" spans="1:1" ht="46.5" customHeight="1" x14ac:dyDescent="0.25">
      <c r="A6224" s="1"/>
    </row>
    <row r="6225" spans="1:1" ht="46.5" customHeight="1" x14ac:dyDescent="0.25">
      <c r="A6225" s="1"/>
    </row>
    <row r="6226" spans="1:1" ht="46.5" customHeight="1" x14ac:dyDescent="0.25">
      <c r="A6226" s="1"/>
    </row>
    <row r="6227" spans="1:1" ht="46.5" customHeight="1" x14ac:dyDescent="0.25">
      <c r="A6227" s="1"/>
    </row>
    <row r="6228" spans="1:1" ht="46.5" customHeight="1" x14ac:dyDescent="0.25">
      <c r="A6228" s="1"/>
    </row>
    <row r="6229" spans="1:1" ht="46.5" customHeight="1" x14ac:dyDescent="0.25">
      <c r="A6229" s="1"/>
    </row>
    <row r="6230" spans="1:1" ht="46.5" customHeight="1" x14ac:dyDescent="0.25">
      <c r="A6230" s="1"/>
    </row>
    <row r="6231" spans="1:1" ht="46.5" customHeight="1" x14ac:dyDescent="0.25">
      <c r="A6231" s="1"/>
    </row>
    <row r="6232" spans="1:1" ht="46.5" customHeight="1" x14ac:dyDescent="0.25">
      <c r="A6232" s="1"/>
    </row>
    <row r="6233" spans="1:1" ht="46.5" customHeight="1" x14ac:dyDescent="0.25">
      <c r="A6233" s="1"/>
    </row>
    <row r="6234" spans="1:1" ht="46.5" customHeight="1" x14ac:dyDescent="0.25">
      <c r="A6234" s="1"/>
    </row>
    <row r="6235" spans="1:1" ht="46.5" customHeight="1" x14ac:dyDescent="0.25">
      <c r="A6235" s="1"/>
    </row>
    <row r="6236" spans="1:1" ht="46.5" customHeight="1" x14ac:dyDescent="0.25">
      <c r="A6236" s="1"/>
    </row>
    <row r="6237" spans="1:1" ht="46.5" customHeight="1" x14ac:dyDescent="0.25">
      <c r="A6237" s="1"/>
    </row>
    <row r="6238" spans="1:1" ht="46.5" customHeight="1" x14ac:dyDescent="0.25">
      <c r="A6238" s="1"/>
    </row>
    <row r="6239" spans="1:1" ht="46.5" customHeight="1" x14ac:dyDescent="0.25">
      <c r="A6239" s="1"/>
    </row>
    <row r="6240" spans="1:1" ht="46.5" customHeight="1" x14ac:dyDescent="0.25">
      <c r="A6240" s="1"/>
    </row>
    <row r="6241" spans="1:1" ht="46.5" customHeight="1" x14ac:dyDescent="0.25">
      <c r="A6241" s="1"/>
    </row>
    <row r="6242" spans="1:1" ht="46.5" customHeight="1" x14ac:dyDescent="0.25">
      <c r="A6242" s="1"/>
    </row>
    <row r="6243" spans="1:1" ht="46.5" customHeight="1" x14ac:dyDescent="0.25">
      <c r="A6243" s="1"/>
    </row>
    <row r="6244" spans="1:1" ht="46.5" customHeight="1" x14ac:dyDescent="0.25">
      <c r="A6244" s="1"/>
    </row>
    <row r="6245" spans="1:1" ht="46.5" customHeight="1" x14ac:dyDescent="0.25">
      <c r="A6245" s="1"/>
    </row>
    <row r="6246" spans="1:1" ht="46.5" customHeight="1" x14ac:dyDescent="0.25">
      <c r="A6246" s="1"/>
    </row>
    <row r="6247" spans="1:1" ht="46.5" customHeight="1" x14ac:dyDescent="0.25">
      <c r="A6247" s="1"/>
    </row>
    <row r="6248" spans="1:1" ht="46.5" customHeight="1" x14ac:dyDescent="0.25">
      <c r="A6248" s="1"/>
    </row>
    <row r="6249" spans="1:1" ht="46.5" customHeight="1" x14ac:dyDescent="0.25">
      <c r="A6249" s="1"/>
    </row>
    <row r="6250" spans="1:1" ht="46.5" customHeight="1" x14ac:dyDescent="0.25">
      <c r="A6250" s="1"/>
    </row>
    <row r="6251" spans="1:1" ht="46.5" customHeight="1" x14ac:dyDescent="0.25">
      <c r="A6251" s="1"/>
    </row>
    <row r="6252" spans="1:1" ht="46.5" customHeight="1" x14ac:dyDescent="0.25">
      <c r="A6252" s="1"/>
    </row>
    <row r="6253" spans="1:1" ht="46.5" customHeight="1" x14ac:dyDescent="0.25">
      <c r="A6253" s="1"/>
    </row>
    <row r="6254" spans="1:1" ht="46.5" customHeight="1" x14ac:dyDescent="0.25">
      <c r="A6254" s="1"/>
    </row>
    <row r="6255" spans="1:1" ht="46.5" customHeight="1" x14ac:dyDescent="0.25">
      <c r="A6255" s="1"/>
    </row>
    <row r="6256" spans="1:1" ht="46.5" customHeight="1" x14ac:dyDescent="0.25">
      <c r="A6256" s="1"/>
    </row>
    <row r="6257" spans="1:1" ht="46.5" customHeight="1" x14ac:dyDescent="0.25">
      <c r="A6257" s="1"/>
    </row>
    <row r="6258" spans="1:1" ht="46.5" customHeight="1" x14ac:dyDescent="0.25">
      <c r="A6258" s="1"/>
    </row>
    <row r="6259" spans="1:1" ht="46.5" customHeight="1" x14ac:dyDescent="0.25">
      <c r="A6259" s="1"/>
    </row>
    <row r="6260" spans="1:1" ht="46.5" customHeight="1" x14ac:dyDescent="0.25">
      <c r="A6260" s="1"/>
    </row>
    <row r="6261" spans="1:1" ht="46.5" customHeight="1" x14ac:dyDescent="0.25">
      <c r="A6261" s="1"/>
    </row>
    <row r="6262" spans="1:1" ht="46.5" customHeight="1" x14ac:dyDescent="0.25">
      <c r="A6262" s="1"/>
    </row>
    <row r="6263" spans="1:1" ht="46.5" customHeight="1" x14ac:dyDescent="0.25">
      <c r="A6263" s="1"/>
    </row>
    <row r="6264" spans="1:1" ht="46.5" customHeight="1" x14ac:dyDescent="0.25">
      <c r="A6264" s="1"/>
    </row>
    <row r="6265" spans="1:1" ht="46.5" customHeight="1" x14ac:dyDescent="0.25">
      <c r="A6265" s="1"/>
    </row>
    <row r="6266" spans="1:1" ht="46.5" customHeight="1" x14ac:dyDescent="0.25">
      <c r="A6266" s="1"/>
    </row>
    <row r="6267" spans="1:1" ht="46.5" customHeight="1" x14ac:dyDescent="0.25">
      <c r="A6267" s="1"/>
    </row>
    <row r="6268" spans="1:1" ht="46.5" customHeight="1" x14ac:dyDescent="0.25">
      <c r="A6268" s="1"/>
    </row>
    <row r="6269" spans="1:1" ht="46.5" customHeight="1" x14ac:dyDescent="0.25">
      <c r="A6269" s="1"/>
    </row>
    <row r="6270" spans="1:1" ht="46.5" customHeight="1" x14ac:dyDescent="0.25">
      <c r="A6270" s="1"/>
    </row>
    <row r="6271" spans="1:1" ht="46.5" customHeight="1" x14ac:dyDescent="0.25">
      <c r="A6271" s="1"/>
    </row>
    <row r="6272" spans="1:1" ht="46.5" customHeight="1" x14ac:dyDescent="0.25">
      <c r="A6272" s="1"/>
    </row>
    <row r="6273" spans="1:1" ht="46.5" customHeight="1" x14ac:dyDescent="0.25">
      <c r="A6273" s="1"/>
    </row>
    <row r="6274" spans="1:1" ht="46.5" customHeight="1" x14ac:dyDescent="0.25">
      <c r="A6274" s="1"/>
    </row>
    <row r="6275" spans="1:1" ht="46.5" customHeight="1" x14ac:dyDescent="0.25">
      <c r="A6275" s="1"/>
    </row>
    <row r="6276" spans="1:1" ht="46.5" customHeight="1" x14ac:dyDescent="0.25">
      <c r="A6276" s="1"/>
    </row>
    <row r="6277" spans="1:1" ht="46.5" customHeight="1" x14ac:dyDescent="0.25">
      <c r="A6277" s="1"/>
    </row>
    <row r="6278" spans="1:1" ht="46.5" customHeight="1" x14ac:dyDescent="0.25">
      <c r="A6278" s="1"/>
    </row>
    <row r="6279" spans="1:1" ht="46.5" customHeight="1" x14ac:dyDescent="0.25">
      <c r="A6279" s="1"/>
    </row>
    <row r="6280" spans="1:1" ht="46.5" customHeight="1" x14ac:dyDescent="0.25">
      <c r="A6280" s="1"/>
    </row>
    <row r="6281" spans="1:1" ht="46.5" customHeight="1" x14ac:dyDescent="0.25">
      <c r="A6281" s="1"/>
    </row>
    <row r="6282" spans="1:1" ht="46.5" customHeight="1" x14ac:dyDescent="0.25">
      <c r="A6282" s="1"/>
    </row>
    <row r="6283" spans="1:1" ht="46.5" customHeight="1" x14ac:dyDescent="0.25">
      <c r="A6283" s="1"/>
    </row>
    <row r="6284" spans="1:1" ht="46.5" customHeight="1" x14ac:dyDescent="0.25">
      <c r="A6284" s="1"/>
    </row>
    <row r="6285" spans="1:1" ht="46.5" customHeight="1" x14ac:dyDescent="0.25">
      <c r="A6285" s="1"/>
    </row>
    <row r="6286" spans="1:1" ht="46.5" customHeight="1" x14ac:dyDescent="0.25">
      <c r="A6286" s="1"/>
    </row>
    <row r="6287" spans="1:1" ht="46.5" customHeight="1" x14ac:dyDescent="0.25">
      <c r="A6287" s="1"/>
    </row>
    <row r="6288" spans="1:1" ht="46.5" customHeight="1" x14ac:dyDescent="0.25">
      <c r="A6288" s="1"/>
    </row>
    <row r="6289" spans="1:1" ht="46.5" customHeight="1" x14ac:dyDescent="0.25">
      <c r="A6289" s="1"/>
    </row>
    <row r="6290" spans="1:1" ht="46.5" customHeight="1" x14ac:dyDescent="0.25">
      <c r="A6290" s="1"/>
    </row>
    <row r="6291" spans="1:1" ht="46.5" customHeight="1" x14ac:dyDescent="0.25">
      <c r="A6291" s="1"/>
    </row>
    <row r="6292" spans="1:1" ht="46.5" customHeight="1" x14ac:dyDescent="0.25">
      <c r="A6292" s="1"/>
    </row>
    <row r="6293" spans="1:1" ht="46.5" customHeight="1" x14ac:dyDescent="0.25">
      <c r="A6293" s="1"/>
    </row>
    <row r="6294" spans="1:1" ht="46.5" customHeight="1" x14ac:dyDescent="0.25">
      <c r="A6294" s="1"/>
    </row>
    <row r="6295" spans="1:1" ht="46.5" customHeight="1" x14ac:dyDescent="0.25">
      <c r="A6295" s="1"/>
    </row>
    <row r="6296" spans="1:1" ht="46.5" customHeight="1" x14ac:dyDescent="0.25">
      <c r="A6296" s="1"/>
    </row>
    <row r="6297" spans="1:1" ht="46.5" customHeight="1" x14ac:dyDescent="0.25">
      <c r="A6297" s="1"/>
    </row>
    <row r="6298" spans="1:1" ht="46.5" customHeight="1" x14ac:dyDescent="0.25">
      <c r="A6298" s="1"/>
    </row>
    <row r="6299" spans="1:1" ht="46.5" customHeight="1" x14ac:dyDescent="0.25">
      <c r="A6299" s="1"/>
    </row>
    <row r="6300" spans="1:1" ht="46.5" customHeight="1" x14ac:dyDescent="0.25">
      <c r="A6300" s="1"/>
    </row>
    <row r="6301" spans="1:1" ht="46.5" customHeight="1" x14ac:dyDescent="0.25">
      <c r="A6301" s="1"/>
    </row>
    <row r="6302" spans="1:1" ht="46.5" customHeight="1" x14ac:dyDescent="0.25">
      <c r="A6302" s="1"/>
    </row>
    <row r="6303" spans="1:1" ht="46.5" customHeight="1" x14ac:dyDescent="0.25">
      <c r="A6303" s="1"/>
    </row>
    <row r="6304" spans="1:1" ht="46.5" customHeight="1" x14ac:dyDescent="0.25">
      <c r="A6304" s="1"/>
    </row>
    <row r="6305" spans="1:1" ht="46.5" customHeight="1" x14ac:dyDescent="0.25">
      <c r="A6305" s="1"/>
    </row>
    <row r="6306" spans="1:1" ht="46.5" customHeight="1" x14ac:dyDescent="0.25">
      <c r="A6306" s="1"/>
    </row>
    <row r="6307" spans="1:1" ht="46.5" customHeight="1" x14ac:dyDescent="0.25">
      <c r="A6307" s="1"/>
    </row>
    <row r="6308" spans="1:1" ht="46.5" customHeight="1" x14ac:dyDescent="0.25">
      <c r="A6308" s="1"/>
    </row>
    <row r="6309" spans="1:1" ht="46.5" customHeight="1" x14ac:dyDescent="0.25">
      <c r="A6309" s="1"/>
    </row>
    <row r="6310" spans="1:1" ht="46.5" customHeight="1" x14ac:dyDescent="0.25">
      <c r="A6310" s="1"/>
    </row>
    <row r="6311" spans="1:1" ht="46.5" customHeight="1" x14ac:dyDescent="0.25">
      <c r="A6311" s="1"/>
    </row>
    <row r="6312" spans="1:1" ht="46.5" customHeight="1" x14ac:dyDescent="0.25">
      <c r="A6312" s="1"/>
    </row>
    <row r="6313" spans="1:1" ht="46.5" customHeight="1" x14ac:dyDescent="0.25">
      <c r="A6313" s="1"/>
    </row>
    <row r="6314" spans="1:1" ht="46.5" customHeight="1" x14ac:dyDescent="0.25">
      <c r="A6314" s="1"/>
    </row>
    <row r="6315" spans="1:1" ht="46.5" customHeight="1" x14ac:dyDescent="0.25">
      <c r="A6315" s="1"/>
    </row>
    <row r="6316" spans="1:1" ht="46.5" customHeight="1" x14ac:dyDescent="0.25">
      <c r="A6316" s="1"/>
    </row>
    <row r="6317" spans="1:1" ht="46.5" customHeight="1" x14ac:dyDescent="0.25">
      <c r="A6317" s="1"/>
    </row>
    <row r="6318" spans="1:1" ht="46.5" customHeight="1" x14ac:dyDescent="0.25">
      <c r="A6318" s="1"/>
    </row>
    <row r="6319" spans="1:1" ht="46.5" customHeight="1" x14ac:dyDescent="0.25">
      <c r="A6319" s="1"/>
    </row>
    <row r="6320" spans="1:1" ht="46.5" customHeight="1" x14ac:dyDescent="0.25">
      <c r="A6320" s="1"/>
    </row>
    <row r="6321" spans="1:1" ht="46.5" customHeight="1" x14ac:dyDescent="0.25">
      <c r="A6321" s="1"/>
    </row>
    <row r="6322" spans="1:1" ht="46.5" customHeight="1" x14ac:dyDescent="0.25">
      <c r="A6322" s="1"/>
    </row>
    <row r="6323" spans="1:1" ht="46.5" customHeight="1" x14ac:dyDescent="0.25">
      <c r="A6323" s="1"/>
    </row>
    <row r="6324" spans="1:1" ht="46.5" customHeight="1" x14ac:dyDescent="0.25">
      <c r="A6324" s="1"/>
    </row>
    <row r="6325" spans="1:1" ht="46.5" customHeight="1" x14ac:dyDescent="0.25">
      <c r="A6325" s="1"/>
    </row>
    <row r="6326" spans="1:1" ht="46.5" customHeight="1" x14ac:dyDescent="0.25">
      <c r="A6326" s="1"/>
    </row>
    <row r="6327" spans="1:1" ht="46.5" customHeight="1" x14ac:dyDescent="0.25">
      <c r="A6327" s="1"/>
    </row>
    <row r="6328" spans="1:1" ht="46.5" customHeight="1" x14ac:dyDescent="0.25">
      <c r="A6328" s="1"/>
    </row>
    <row r="6329" spans="1:1" ht="46.5" customHeight="1" x14ac:dyDescent="0.25">
      <c r="A6329" s="1"/>
    </row>
    <row r="6330" spans="1:1" ht="46.5" customHeight="1" x14ac:dyDescent="0.25">
      <c r="A6330" s="1"/>
    </row>
    <row r="6331" spans="1:1" ht="46.5" customHeight="1" x14ac:dyDescent="0.25">
      <c r="A6331" s="1"/>
    </row>
    <row r="6332" spans="1:1" ht="46.5" customHeight="1" x14ac:dyDescent="0.25">
      <c r="A6332" s="1"/>
    </row>
    <row r="6333" spans="1:1" ht="46.5" customHeight="1" x14ac:dyDescent="0.25">
      <c r="A6333" s="1"/>
    </row>
    <row r="6334" spans="1:1" ht="46.5" customHeight="1" x14ac:dyDescent="0.25">
      <c r="A6334" s="1"/>
    </row>
    <row r="6335" spans="1:1" ht="46.5" customHeight="1" x14ac:dyDescent="0.25">
      <c r="A6335" s="1"/>
    </row>
    <row r="6336" spans="1:1" ht="46.5" customHeight="1" x14ac:dyDescent="0.25">
      <c r="A6336" s="1"/>
    </row>
    <row r="6337" spans="1:1" ht="46.5" customHeight="1" x14ac:dyDescent="0.25">
      <c r="A6337" s="1"/>
    </row>
    <row r="6338" spans="1:1" ht="46.5" customHeight="1" x14ac:dyDescent="0.25">
      <c r="A6338" s="1"/>
    </row>
    <row r="6339" spans="1:1" ht="46.5" customHeight="1" x14ac:dyDescent="0.25">
      <c r="A6339" s="1"/>
    </row>
    <row r="6340" spans="1:1" ht="46.5" customHeight="1" x14ac:dyDescent="0.25">
      <c r="A6340" s="1"/>
    </row>
    <row r="6341" spans="1:1" ht="46.5" customHeight="1" x14ac:dyDescent="0.25">
      <c r="A6341" s="1"/>
    </row>
    <row r="6342" spans="1:1" ht="46.5" customHeight="1" x14ac:dyDescent="0.25">
      <c r="A6342" s="1"/>
    </row>
    <row r="6343" spans="1:1" ht="46.5" customHeight="1" x14ac:dyDescent="0.25">
      <c r="A6343" s="1"/>
    </row>
    <row r="6344" spans="1:1" ht="46.5" customHeight="1" x14ac:dyDescent="0.25">
      <c r="A6344" s="1"/>
    </row>
    <row r="6345" spans="1:1" ht="46.5" customHeight="1" x14ac:dyDescent="0.25">
      <c r="A6345" s="1"/>
    </row>
    <row r="6346" spans="1:1" ht="46.5" customHeight="1" x14ac:dyDescent="0.25">
      <c r="A6346" s="1"/>
    </row>
    <row r="6347" spans="1:1" ht="46.5" customHeight="1" x14ac:dyDescent="0.25">
      <c r="A6347" s="1"/>
    </row>
    <row r="6348" spans="1:1" ht="46.5" customHeight="1" x14ac:dyDescent="0.25">
      <c r="A6348" s="1"/>
    </row>
    <row r="6349" spans="1:1" ht="46.5" customHeight="1" x14ac:dyDescent="0.25">
      <c r="A6349" s="1"/>
    </row>
    <row r="6350" spans="1:1" ht="46.5" customHeight="1" x14ac:dyDescent="0.25">
      <c r="A6350" s="1"/>
    </row>
    <row r="6351" spans="1:1" ht="46.5" customHeight="1" x14ac:dyDescent="0.25">
      <c r="A6351" s="1"/>
    </row>
    <row r="6352" spans="1:1" ht="46.5" customHeight="1" x14ac:dyDescent="0.25">
      <c r="A6352" s="1"/>
    </row>
    <row r="6353" spans="1:1" ht="46.5" customHeight="1" x14ac:dyDescent="0.25">
      <c r="A6353" s="1"/>
    </row>
    <row r="6354" spans="1:1" ht="46.5" customHeight="1" x14ac:dyDescent="0.25">
      <c r="A6354" s="1"/>
    </row>
    <row r="6355" spans="1:1" ht="46.5" customHeight="1" x14ac:dyDescent="0.25">
      <c r="A6355" s="1"/>
    </row>
    <row r="6356" spans="1:1" ht="46.5" customHeight="1" x14ac:dyDescent="0.25">
      <c r="A6356" s="1"/>
    </row>
    <row r="6357" spans="1:1" ht="46.5" customHeight="1" x14ac:dyDescent="0.25">
      <c r="A6357" s="1"/>
    </row>
    <row r="6358" spans="1:1" ht="46.5" customHeight="1" x14ac:dyDescent="0.25">
      <c r="A6358" s="1"/>
    </row>
    <row r="6359" spans="1:1" ht="46.5" customHeight="1" x14ac:dyDescent="0.25">
      <c r="A6359" s="1"/>
    </row>
    <row r="6360" spans="1:1" ht="46.5" customHeight="1" x14ac:dyDescent="0.25">
      <c r="A6360" s="1"/>
    </row>
    <row r="6361" spans="1:1" ht="46.5" customHeight="1" x14ac:dyDescent="0.25">
      <c r="A6361" s="1"/>
    </row>
    <row r="6362" spans="1:1" ht="46.5" customHeight="1" x14ac:dyDescent="0.25">
      <c r="A6362" s="1"/>
    </row>
    <row r="6363" spans="1:1" ht="46.5" customHeight="1" x14ac:dyDescent="0.25">
      <c r="A6363" s="1"/>
    </row>
    <row r="6364" spans="1:1" ht="46.5" customHeight="1" x14ac:dyDescent="0.25">
      <c r="A6364" s="1"/>
    </row>
    <row r="6365" spans="1:1" ht="46.5" customHeight="1" x14ac:dyDescent="0.25">
      <c r="A6365" s="1"/>
    </row>
    <row r="6366" spans="1:1" ht="46.5" customHeight="1" x14ac:dyDescent="0.25">
      <c r="A6366" s="1"/>
    </row>
    <row r="6367" spans="1:1" ht="46.5" customHeight="1" x14ac:dyDescent="0.25">
      <c r="A6367" s="1"/>
    </row>
    <row r="6368" spans="1:1" ht="46.5" customHeight="1" x14ac:dyDescent="0.25">
      <c r="A6368" s="1"/>
    </row>
    <row r="6369" spans="1:1" ht="46.5" customHeight="1" x14ac:dyDescent="0.25">
      <c r="A6369" s="1"/>
    </row>
    <row r="6370" spans="1:1" ht="46.5" customHeight="1" x14ac:dyDescent="0.25">
      <c r="A6370" s="1"/>
    </row>
    <row r="6371" spans="1:1" ht="46.5" customHeight="1" x14ac:dyDescent="0.25">
      <c r="A6371" s="1"/>
    </row>
    <row r="6372" spans="1:1" ht="46.5" customHeight="1" x14ac:dyDescent="0.25">
      <c r="A6372" s="1"/>
    </row>
    <row r="6373" spans="1:1" ht="46.5" customHeight="1" x14ac:dyDescent="0.25">
      <c r="A6373" s="1"/>
    </row>
    <row r="6374" spans="1:1" ht="46.5" customHeight="1" x14ac:dyDescent="0.25">
      <c r="A6374" s="1"/>
    </row>
    <row r="6375" spans="1:1" ht="46.5" customHeight="1" x14ac:dyDescent="0.25">
      <c r="A6375" s="1"/>
    </row>
    <row r="6376" spans="1:1" ht="46.5" customHeight="1" x14ac:dyDescent="0.25">
      <c r="A6376" s="1"/>
    </row>
    <row r="6377" spans="1:1" ht="46.5" customHeight="1" x14ac:dyDescent="0.25">
      <c r="A6377" s="1"/>
    </row>
    <row r="6378" spans="1:1" ht="46.5" customHeight="1" x14ac:dyDescent="0.25">
      <c r="A6378" s="1"/>
    </row>
    <row r="6379" spans="1:1" ht="46.5" customHeight="1" x14ac:dyDescent="0.25">
      <c r="A6379" s="1"/>
    </row>
    <row r="6380" spans="1:1" ht="46.5" customHeight="1" x14ac:dyDescent="0.25">
      <c r="A6380" s="1"/>
    </row>
    <row r="6381" spans="1:1" ht="46.5" customHeight="1" x14ac:dyDescent="0.25">
      <c r="A6381" s="1"/>
    </row>
    <row r="6382" spans="1:1" ht="46.5" customHeight="1" x14ac:dyDescent="0.25">
      <c r="A6382" s="1"/>
    </row>
    <row r="6383" spans="1:1" ht="46.5" customHeight="1" x14ac:dyDescent="0.25">
      <c r="A6383" s="1"/>
    </row>
    <row r="6384" spans="1:1" ht="46.5" customHeight="1" x14ac:dyDescent="0.25">
      <c r="A6384" s="1"/>
    </row>
    <row r="6385" spans="1:1" ht="46.5" customHeight="1" x14ac:dyDescent="0.25">
      <c r="A6385" s="1"/>
    </row>
    <row r="6386" spans="1:1" ht="46.5" customHeight="1" x14ac:dyDescent="0.25">
      <c r="A6386" s="1"/>
    </row>
    <row r="6387" spans="1:1" ht="46.5" customHeight="1" x14ac:dyDescent="0.25">
      <c r="A6387" s="1"/>
    </row>
    <row r="6388" spans="1:1" ht="46.5" customHeight="1" x14ac:dyDescent="0.25">
      <c r="A6388" s="1"/>
    </row>
    <row r="6389" spans="1:1" ht="46.5" customHeight="1" x14ac:dyDescent="0.25">
      <c r="A6389" s="1"/>
    </row>
    <row r="6390" spans="1:1" ht="46.5" customHeight="1" x14ac:dyDescent="0.25">
      <c r="A6390" s="1"/>
    </row>
    <row r="6391" spans="1:1" ht="46.5" customHeight="1" x14ac:dyDescent="0.25">
      <c r="A6391" s="1"/>
    </row>
    <row r="6392" spans="1:1" ht="46.5" customHeight="1" x14ac:dyDescent="0.25">
      <c r="A6392" s="1"/>
    </row>
    <row r="6393" spans="1:1" ht="46.5" customHeight="1" x14ac:dyDescent="0.25">
      <c r="A6393" s="1"/>
    </row>
    <row r="6394" spans="1:1" ht="46.5" customHeight="1" x14ac:dyDescent="0.25">
      <c r="A6394" s="1"/>
    </row>
    <row r="6395" spans="1:1" ht="46.5" customHeight="1" x14ac:dyDescent="0.25">
      <c r="A6395" s="1"/>
    </row>
    <row r="6396" spans="1:1" ht="46.5" customHeight="1" x14ac:dyDescent="0.25">
      <c r="A6396" s="1"/>
    </row>
    <row r="6397" spans="1:1" ht="46.5" customHeight="1" x14ac:dyDescent="0.25">
      <c r="A6397" s="1"/>
    </row>
    <row r="6398" spans="1:1" ht="46.5" customHeight="1" x14ac:dyDescent="0.25">
      <c r="A6398" s="1"/>
    </row>
    <row r="6399" spans="1:1" ht="46.5" customHeight="1" x14ac:dyDescent="0.25">
      <c r="A6399" s="1"/>
    </row>
    <row r="6400" spans="1:1" ht="46.5" customHeight="1" x14ac:dyDescent="0.25">
      <c r="A6400" s="1"/>
    </row>
    <row r="6401" spans="1:1" ht="46.5" customHeight="1" x14ac:dyDescent="0.25">
      <c r="A6401" s="1"/>
    </row>
    <row r="6402" spans="1:1" ht="46.5" customHeight="1" x14ac:dyDescent="0.25">
      <c r="A6402" s="1"/>
    </row>
    <row r="6403" spans="1:1" ht="46.5" customHeight="1" x14ac:dyDescent="0.25">
      <c r="A6403" s="1"/>
    </row>
    <row r="6404" spans="1:1" ht="46.5" customHeight="1" x14ac:dyDescent="0.25">
      <c r="A6404" s="1"/>
    </row>
    <row r="6405" spans="1:1" ht="46.5" customHeight="1" x14ac:dyDescent="0.25">
      <c r="A6405" s="1"/>
    </row>
    <row r="6406" spans="1:1" ht="46.5" customHeight="1" x14ac:dyDescent="0.25">
      <c r="A6406" s="1"/>
    </row>
    <row r="6407" spans="1:1" ht="46.5" customHeight="1" x14ac:dyDescent="0.25">
      <c r="A6407" s="1"/>
    </row>
    <row r="6408" spans="1:1" ht="46.5" customHeight="1" x14ac:dyDescent="0.25">
      <c r="A6408" s="1"/>
    </row>
    <row r="6409" spans="1:1" ht="46.5" customHeight="1" x14ac:dyDescent="0.25">
      <c r="A6409" s="1"/>
    </row>
    <row r="6410" spans="1:1" ht="46.5" customHeight="1" x14ac:dyDescent="0.25">
      <c r="A6410" s="1"/>
    </row>
    <row r="6411" spans="1:1" ht="46.5" customHeight="1" x14ac:dyDescent="0.25">
      <c r="A6411" s="1"/>
    </row>
    <row r="6412" spans="1:1" ht="46.5" customHeight="1" x14ac:dyDescent="0.25">
      <c r="A6412" s="1"/>
    </row>
    <row r="6413" spans="1:1" ht="46.5" customHeight="1" x14ac:dyDescent="0.25">
      <c r="A6413" s="1"/>
    </row>
    <row r="6414" spans="1:1" ht="46.5" customHeight="1" x14ac:dyDescent="0.25">
      <c r="A6414" s="1"/>
    </row>
    <row r="6415" spans="1:1" ht="46.5" customHeight="1" x14ac:dyDescent="0.25">
      <c r="A6415" s="1"/>
    </row>
    <row r="6416" spans="1:1" ht="46.5" customHeight="1" x14ac:dyDescent="0.25">
      <c r="A6416" s="1"/>
    </row>
    <row r="6417" spans="1:1" ht="46.5" customHeight="1" x14ac:dyDescent="0.25">
      <c r="A6417" s="1"/>
    </row>
    <row r="6418" spans="1:1" ht="46.5" customHeight="1" x14ac:dyDescent="0.25">
      <c r="A6418" s="1"/>
    </row>
    <row r="6419" spans="1:1" ht="46.5" customHeight="1" x14ac:dyDescent="0.25">
      <c r="A6419" s="1"/>
    </row>
    <row r="6420" spans="1:1" ht="46.5" customHeight="1" x14ac:dyDescent="0.25">
      <c r="A6420" s="1"/>
    </row>
    <row r="6421" spans="1:1" ht="46.5" customHeight="1" x14ac:dyDescent="0.25">
      <c r="A6421" s="1"/>
    </row>
    <row r="6422" spans="1:1" ht="46.5" customHeight="1" x14ac:dyDescent="0.25">
      <c r="A6422" s="1"/>
    </row>
    <row r="6423" spans="1:1" ht="46.5" customHeight="1" x14ac:dyDescent="0.25">
      <c r="A6423" s="1"/>
    </row>
    <row r="6424" spans="1:1" ht="46.5" customHeight="1" x14ac:dyDescent="0.25">
      <c r="A6424" s="1"/>
    </row>
    <row r="6425" spans="1:1" ht="46.5" customHeight="1" x14ac:dyDescent="0.25">
      <c r="A6425" s="1"/>
    </row>
    <row r="6426" spans="1:1" ht="46.5" customHeight="1" x14ac:dyDescent="0.25">
      <c r="A6426" s="1"/>
    </row>
    <row r="6427" spans="1:1" ht="46.5" customHeight="1" x14ac:dyDescent="0.25">
      <c r="A6427" s="1"/>
    </row>
    <row r="6428" spans="1:1" ht="46.5" customHeight="1" x14ac:dyDescent="0.25">
      <c r="A6428" s="1"/>
    </row>
    <row r="6429" spans="1:1" ht="46.5" customHeight="1" x14ac:dyDescent="0.25">
      <c r="A6429" s="1"/>
    </row>
    <row r="6430" spans="1:1" ht="46.5" customHeight="1" x14ac:dyDescent="0.25">
      <c r="A6430" s="1"/>
    </row>
    <row r="6431" spans="1:1" ht="46.5" customHeight="1" x14ac:dyDescent="0.25">
      <c r="A6431" s="1"/>
    </row>
    <row r="6432" spans="1:1" ht="46.5" customHeight="1" x14ac:dyDescent="0.25">
      <c r="A6432" s="1"/>
    </row>
    <row r="6433" spans="1:1" ht="46.5" customHeight="1" x14ac:dyDescent="0.25">
      <c r="A6433" s="1"/>
    </row>
    <row r="6434" spans="1:1" ht="46.5" customHeight="1" x14ac:dyDescent="0.25">
      <c r="A6434" s="1"/>
    </row>
    <row r="6435" spans="1:1" ht="46.5" customHeight="1" x14ac:dyDescent="0.25">
      <c r="A6435" s="1"/>
    </row>
    <row r="6436" spans="1:1" ht="46.5" customHeight="1" x14ac:dyDescent="0.25">
      <c r="A6436" s="1"/>
    </row>
    <row r="6437" spans="1:1" ht="46.5" customHeight="1" x14ac:dyDescent="0.25">
      <c r="A6437" s="1"/>
    </row>
    <row r="6438" spans="1:1" ht="46.5" customHeight="1" x14ac:dyDescent="0.25">
      <c r="A6438" s="1"/>
    </row>
    <row r="6439" spans="1:1" ht="46.5" customHeight="1" x14ac:dyDescent="0.25">
      <c r="A6439" s="1"/>
    </row>
    <row r="6440" spans="1:1" ht="46.5" customHeight="1" x14ac:dyDescent="0.25">
      <c r="A6440" s="1"/>
    </row>
    <row r="6441" spans="1:1" ht="46.5" customHeight="1" x14ac:dyDescent="0.25">
      <c r="A6441" s="1"/>
    </row>
    <row r="6442" spans="1:1" ht="46.5" customHeight="1" x14ac:dyDescent="0.25">
      <c r="A6442" s="1"/>
    </row>
    <row r="6443" spans="1:1" ht="46.5" customHeight="1" x14ac:dyDescent="0.25">
      <c r="A6443" s="1"/>
    </row>
    <row r="6444" spans="1:1" ht="46.5" customHeight="1" x14ac:dyDescent="0.25">
      <c r="A6444" s="1"/>
    </row>
    <row r="6445" spans="1:1" ht="46.5" customHeight="1" x14ac:dyDescent="0.25">
      <c r="A6445" s="1"/>
    </row>
    <row r="6446" spans="1:1" ht="46.5" customHeight="1" x14ac:dyDescent="0.25">
      <c r="A6446" s="1"/>
    </row>
    <row r="6447" spans="1:1" ht="46.5" customHeight="1" x14ac:dyDescent="0.25">
      <c r="A6447" s="1"/>
    </row>
    <row r="6448" spans="1:1" ht="46.5" customHeight="1" x14ac:dyDescent="0.25">
      <c r="A6448" s="1"/>
    </row>
    <row r="6449" spans="1:1" ht="46.5" customHeight="1" x14ac:dyDescent="0.25">
      <c r="A6449" s="1"/>
    </row>
    <row r="6450" spans="1:1" ht="46.5" customHeight="1" x14ac:dyDescent="0.25">
      <c r="A6450" s="1"/>
    </row>
    <row r="6451" spans="1:1" ht="46.5" customHeight="1" x14ac:dyDescent="0.25">
      <c r="A6451" s="1"/>
    </row>
    <row r="6452" spans="1:1" ht="46.5" customHeight="1" x14ac:dyDescent="0.25">
      <c r="A6452" s="1"/>
    </row>
    <row r="6453" spans="1:1" ht="46.5" customHeight="1" x14ac:dyDescent="0.25">
      <c r="A6453" s="1"/>
    </row>
    <row r="6454" spans="1:1" ht="46.5" customHeight="1" x14ac:dyDescent="0.25">
      <c r="A6454" s="1"/>
    </row>
    <row r="6455" spans="1:1" ht="46.5" customHeight="1" x14ac:dyDescent="0.25">
      <c r="A6455" s="1"/>
    </row>
    <row r="6456" spans="1:1" ht="46.5" customHeight="1" x14ac:dyDescent="0.25">
      <c r="A6456" s="1"/>
    </row>
    <row r="6457" spans="1:1" ht="46.5" customHeight="1" x14ac:dyDescent="0.25">
      <c r="A6457" s="1"/>
    </row>
    <row r="6458" spans="1:1" ht="46.5" customHeight="1" x14ac:dyDescent="0.25">
      <c r="A6458" s="1"/>
    </row>
    <row r="6459" spans="1:1" ht="46.5" customHeight="1" x14ac:dyDescent="0.25">
      <c r="A6459" s="1"/>
    </row>
    <row r="6460" spans="1:1" ht="46.5" customHeight="1" x14ac:dyDescent="0.25">
      <c r="A6460" s="1"/>
    </row>
    <row r="6461" spans="1:1" ht="46.5" customHeight="1" x14ac:dyDescent="0.25">
      <c r="A6461" s="1"/>
    </row>
    <row r="6462" spans="1:1" ht="46.5" customHeight="1" x14ac:dyDescent="0.25">
      <c r="A6462" s="1"/>
    </row>
    <row r="6463" spans="1:1" ht="46.5" customHeight="1" x14ac:dyDescent="0.25">
      <c r="A6463" s="1"/>
    </row>
    <row r="6464" spans="1:1" ht="46.5" customHeight="1" x14ac:dyDescent="0.25">
      <c r="A6464" s="1"/>
    </row>
    <row r="6465" spans="1:1" ht="46.5" customHeight="1" x14ac:dyDescent="0.25">
      <c r="A6465" s="1"/>
    </row>
    <row r="6466" spans="1:1" ht="46.5" customHeight="1" x14ac:dyDescent="0.25">
      <c r="A6466" s="1"/>
    </row>
    <row r="6467" spans="1:1" ht="46.5" customHeight="1" x14ac:dyDescent="0.25">
      <c r="A6467" s="1"/>
    </row>
    <row r="6468" spans="1:1" ht="46.5" customHeight="1" x14ac:dyDescent="0.25">
      <c r="A6468" s="1"/>
    </row>
    <row r="6469" spans="1:1" ht="46.5" customHeight="1" x14ac:dyDescent="0.25">
      <c r="A6469" s="1"/>
    </row>
    <row r="6470" spans="1:1" ht="46.5" customHeight="1" x14ac:dyDescent="0.25">
      <c r="A6470" s="1"/>
    </row>
    <row r="6471" spans="1:1" ht="46.5" customHeight="1" x14ac:dyDescent="0.25">
      <c r="A6471" s="1"/>
    </row>
    <row r="6472" spans="1:1" ht="46.5" customHeight="1" x14ac:dyDescent="0.25">
      <c r="A6472" s="1"/>
    </row>
    <row r="6473" spans="1:1" ht="46.5" customHeight="1" x14ac:dyDescent="0.25">
      <c r="A6473" s="1"/>
    </row>
    <row r="6474" spans="1:1" ht="46.5" customHeight="1" x14ac:dyDescent="0.25">
      <c r="A6474" s="1"/>
    </row>
    <row r="6475" spans="1:1" ht="46.5" customHeight="1" x14ac:dyDescent="0.25">
      <c r="A6475" s="1"/>
    </row>
    <row r="6476" spans="1:1" ht="46.5" customHeight="1" x14ac:dyDescent="0.25">
      <c r="A6476" s="1"/>
    </row>
    <row r="6477" spans="1:1" ht="46.5" customHeight="1" x14ac:dyDescent="0.25">
      <c r="A6477" s="1"/>
    </row>
    <row r="6478" spans="1:1" ht="46.5" customHeight="1" x14ac:dyDescent="0.25">
      <c r="A6478" s="1"/>
    </row>
    <row r="6479" spans="1:1" ht="46.5" customHeight="1" x14ac:dyDescent="0.25">
      <c r="A6479" s="1"/>
    </row>
    <row r="6480" spans="1:1" ht="46.5" customHeight="1" x14ac:dyDescent="0.25">
      <c r="A6480" s="1"/>
    </row>
    <row r="6481" spans="1:1" ht="46.5" customHeight="1" x14ac:dyDescent="0.25">
      <c r="A6481" s="1"/>
    </row>
    <row r="6482" spans="1:1" ht="46.5" customHeight="1" x14ac:dyDescent="0.25">
      <c r="A6482" s="1"/>
    </row>
    <row r="6483" spans="1:1" ht="46.5" customHeight="1" x14ac:dyDescent="0.25">
      <c r="A6483" s="1"/>
    </row>
    <row r="6484" spans="1:1" ht="46.5" customHeight="1" x14ac:dyDescent="0.25">
      <c r="A6484" s="1"/>
    </row>
    <row r="6485" spans="1:1" ht="46.5" customHeight="1" x14ac:dyDescent="0.25">
      <c r="A6485" s="1"/>
    </row>
    <row r="6486" spans="1:1" ht="46.5" customHeight="1" x14ac:dyDescent="0.25">
      <c r="A6486" s="1"/>
    </row>
    <row r="6487" spans="1:1" ht="46.5" customHeight="1" x14ac:dyDescent="0.25">
      <c r="A6487" s="1"/>
    </row>
    <row r="6488" spans="1:1" ht="46.5" customHeight="1" x14ac:dyDescent="0.25">
      <c r="A6488" s="1"/>
    </row>
    <row r="6489" spans="1:1" ht="46.5" customHeight="1" x14ac:dyDescent="0.25">
      <c r="A6489" s="1"/>
    </row>
    <row r="6490" spans="1:1" ht="46.5" customHeight="1" x14ac:dyDescent="0.25">
      <c r="A6490" s="1"/>
    </row>
    <row r="6491" spans="1:1" ht="46.5" customHeight="1" x14ac:dyDescent="0.25">
      <c r="A6491" s="1"/>
    </row>
    <row r="6492" spans="1:1" ht="46.5" customHeight="1" x14ac:dyDescent="0.25">
      <c r="A6492" s="1"/>
    </row>
    <row r="6493" spans="1:1" ht="46.5" customHeight="1" x14ac:dyDescent="0.25">
      <c r="A6493" s="1"/>
    </row>
    <row r="6494" spans="1:1" ht="46.5" customHeight="1" x14ac:dyDescent="0.25">
      <c r="A6494" s="1"/>
    </row>
    <row r="6495" spans="1:1" ht="46.5" customHeight="1" x14ac:dyDescent="0.25">
      <c r="A6495" s="1"/>
    </row>
    <row r="6496" spans="1:1" ht="46.5" customHeight="1" x14ac:dyDescent="0.25">
      <c r="A6496" s="1"/>
    </row>
    <row r="6497" spans="1:1" ht="46.5" customHeight="1" x14ac:dyDescent="0.25">
      <c r="A6497" s="1"/>
    </row>
    <row r="6498" spans="1:1" ht="46.5" customHeight="1" x14ac:dyDescent="0.25">
      <c r="A6498" s="1"/>
    </row>
    <row r="6499" spans="1:1" ht="46.5" customHeight="1" x14ac:dyDescent="0.25">
      <c r="A6499" s="1"/>
    </row>
    <row r="6500" spans="1:1" ht="46.5" customHeight="1" x14ac:dyDescent="0.25">
      <c r="A6500" s="1"/>
    </row>
    <row r="6501" spans="1:1" ht="46.5" customHeight="1" x14ac:dyDescent="0.25">
      <c r="A6501" s="1"/>
    </row>
    <row r="6502" spans="1:1" ht="46.5" customHeight="1" x14ac:dyDescent="0.25">
      <c r="A6502" s="1"/>
    </row>
    <row r="6503" spans="1:1" ht="46.5" customHeight="1" x14ac:dyDescent="0.25">
      <c r="A6503" s="1"/>
    </row>
    <row r="6504" spans="1:1" ht="46.5" customHeight="1" x14ac:dyDescent="0.25">
      <c r="A6504" s="1"/>
    </row>
    <row r="6505" spans="1:1" ht="46.5" customHeight="1" x14ac:dyDescent="0.25">
      <c r="A6505" s="1"/>
    </row>
    <row r="6506" spans="1:1" ht="46.5" customHeight="1" x14ac:dyDescent="0.25">
      <c r="A6506" s="1"/>
    </row>
    <row r="6507" spans="1:1" ht="46.5" customHeight="1" x14ac:dyDescent="0.25">
      <c r="A6507" s="1"/>
    </row>
    <row r="6508" spans="1:1" ht="46.5" customHeight="1" x14ac:dyDescent="0.25">
      <c r="A6508" s="1"/>
    </row>
    <row r="6509" spans="1:1" ht="46.5" customHeight="1" x14ac:dyDescent="0.25">
      <c r="A6509" s="1"/>
    </row>
    <row r="6510" spans="1:1" ht="46.5" customHeight="1" x14ac:dyDescent="0.25">
      <c r="A6510" s="1"/>
    </row>
    <row r="6511" spans="1:1" ht="46.5" customHeight="1" x14ac:dyDescent="0.25">
      <c r="A6511" s="1"/>
    </row>
    <row r="6512" spans="1:1" ht="46.5" customHeight="1" x14ac:dyDescent="0.25">
      <c r="A6512" s="1"/>
    </row>
    <row r="6513" spans="1:1" ht="46.5" customHeight="1" x14ac:dyDescent="0.25">
      <c r="A6513" s="1"/>
    </row>
    <row r="6514" spans="1:1" ht="46.5" customHeight="1" x14ac:dyDescent="0.25">
      <c r="A6514" s="1"/>
    </row>
    <row r="6515" spans="1:1" ht="46.5" customHeight="1" x14ac:dyDescent="0.25">
      <c r="A6515" s="1"/>
    </row>
    <row r="6516" spans="1:1" ht="46.5" customHeight="1" x14ac:dyDescent="0.25">
      <c r="A6516" s="1"/>
    </row>
    <row r="6517" spans="1:1" ht="46.5" customHeight="1" x14ac:dyDescent="0.25">
      <c r="A6517" s="1"/>
    </row>
    <row r="6518" spans="1:1" ht="46.5" customHeight="1" x14ac:dyDescent="0.25">
      <c r="A6518" s="1"/>
    </row>
    <row r="6519" spans="1:1" ht="46.5" customHeight="1" x14ac:dyDescent="0.25">
      <c r="A6519" s="1"/>
    </row>
    <row r="6520" spans="1:1" ht="46.5" customHeight="1" x14ac:dyDescent="0.25">
      <c r="A6520" s="1"/>
    </row>
    <row r="6521" spans="1:1" ht="46.5" customHeight="1" x14ac:dyDescent="0.25">
      <c r="A6521" s="1"/>
    </row>
    <row r="6522" spans="1:1" ht="46.5" customHeight="1" x14ac:dyDescent="0.25">
      <c r="A6522" s="1"/>
    </row>
    <row r="6523" spans="1:1" ht="46.5" customHeight="1" x14ac:dyDescent="0.25">
      <c r="A6523" s="1"/>
    </row>
    <row r="6524" spans="1:1" ht="46.5" customHeight="1" x14ac:dyDescent="0.25">
      <c r="A6524" s="1"/>
    </row>
    <row r="6525" spans="1:1" ht="46.5" customHeight="1" x14ac:dyDescent="0.25">
      <c r="A6525" s="1"/>
    </row>
    <row r="6526" spans="1:1" ht="46.5" customHeight="1" x14ac:dyDescent="0.25">
      <c r="A6526" s="1"/>
    </row>
    <row r="6527" spans="1:1" ht="46.5" customHeight="1" x14ac:dyDescent="0.25">
      <c r="A6527" s="1"/>
    </row>
    <row r="6528" spans="1:1" ht="46.5" customHeight="1" x14ac:dyDescent="0.25">
      <c r="A6528" s="1"/>
    </row>
    <row r="6529" spans="1:1" ht="46.5" customHeight="1" x14ac:dyDescent="0.25">
      <c r="A6529" s="1"/>
    </row>
    <row r="6530" spans="1:1" ht="46.5" customHeight="1" x14ac:dyDescent="0.25">
      <c r="A6530" s="1"/>
    </row>
    <row r="6531" spans="1:1" ht="46.5" customHeight="1" x14ac:dyDescent="0.25">
      <c r="A6531" s="1"/>
    </row>
    <row r="6532" spans="1:1" ht="46.5" customHeight="1" x14ac:dyDescent="0.25">
      <c r="A6532" s="1"/>
    </row>
    <row r="6533" spans="1:1" ht="46.5" customHeight="1" x14ac:dyDescent="0.25">
      <c r="A6533" s="1"/>
    </row>
    <row r="6534" spans="1:1" ht="46.5" customHeight="1" x14ac:dyDescent="0.25">
      <c r="A6534" s="1"/>
    </row>
    <row r="6535" spans="1:1" ht="46.5" customHeight="1" x14ac:dyDescent="0.25">
      <c r="A6535" s="1"/>
    </row>
    <row r="6536" spans="1:1" ht="46.5" customHeight="1" x14ac:dyDescent="0.25">
      <c r="A6536" s="1"/>
    </row>
    <row r="6537" spans="1:1" ht="46.5" customHeight="1" x14ac:dyDescent="0.25">
      <c r="A6537" s="1"/>
    </row>
    <row r="6538" spans="1:1" ht="46.5" customHeight="1" x14ac:dyDescent="0.25">
      <c r="A6538" s="1"/>
    </row>
    <row r="6539" spans="1:1" ht="46.5" customHeight="1" x14ac:dyDescent="0.25">
      <c r="A6539" s="1"/>
    </row>
    <row r="6540" spans="1:1" ht="46.5" customHeight="1" x14ac:dyDescent="0.25">
      <c r="A6540" s="1"/>
    </row>
    <row r="6541" spans="1:1" ht="46.5" customHeight="1" x14ac:dyDescent="0.25">
      <c r="A6541" s="1"/>
    </row>
    <row r="6542" spans="1:1" ht="46.5" customHeight="1" x14ac:dyDescent="0.25">
      <c r="A6542" s="1"/>
    </row>
    <row r="6543" spans="1:1" ht="46.5" customHeight="1" x14ac:dyDescent="0.25">
      <c r="A6543" s="1"/>
    </row>
    <row r="6544" spans="1:1" ht="46.5" customHeight="1" x14ac:dyDescent="0.25">
      <c r="A6544" s="1"/>
    </row>
    <row r="6545" spans="1:1" ht="46.5" customHeight="1" x14ac:dyDescent="0.25">
      <c r="A6545" s="1"/>
    </row>
    <row r="6546" spans="1:1" ht="46.5" customHeight="1" x14ac:dyDescent="0.25">
      <c r="A6546" s="1"/>
    </row>
    <row r="6547" spans="1:1" ht="46.5" customHeight="1" x14ac:dyDescent="0.25">
      <c r="A6547" s="1"/>
    </row>
    <row r="6548" spans="1:1" ht="46.5" customHeight="1" x14ac:dyDescent="0.25">
      <c r="A6548" s="1"/>
    </row>
    <row r="6549" spans="1:1" ht="46.5" customHeight="1" x14ac:dyDescent="0.25">
      <c r="A6549" s="1"/>
    </row>
    <row r="6550" spans="1:1" ht="46.5" customHeight="1" x14ac:dyDescent="0.25">
      <c r="A6550" s="1"/>
    </row>
    <row r="6551" spans="1:1" ht="46.5" customHeight="1" x14ac:dyDescent="0.25">
      <c r="A6551" s="1"/>
    </row>
    <row r="6552" spans="1:1" ht="46.5" customHeight="1" x14ac:dyDescent="0.25">
      <c r="A6552" s="1"/>
    </row>
    <row r="6553" spans="1:1" ht="46.5" customHeight="1" x14ac:dyDescent="0.25">
      <c r="A6553" s="1"/>
    </row>
    <row r="6554" spans="1:1" ht="46.5" customHeight="1" x14ac:dyDescent="0.25">
      <c r="A6554" s="1"/>
    </row>
    <row r="6555" spans="1:1" ht="46.5" customHeight="1" x14ac:dyDescent="0.25">
      <c r="A6555" s="1"/>
    </row>
    <row r="6556" spans="1:1" ht="46.5" customHeight="1" x14ac:dyDescent="0.25">
      <c r="A6556" s="1"/>
    </row>
    <row r="6557" spans="1:1" ht="46.5" customHeight="1" x14ac:dyDescent="0.25">
      <c r="A6557" s="1"/>
    </row>
    <row r="6558" spans="1:1" ht="46.5" customHeight="1" x14ac:dyDescent="0.25">
      <c r="A6558" s="1"/>
    </row>
    <row r="6559" spans="1:1" ht="46.5" customHeight="1" x14ac:dyDescent="0.25">
      <c r="A6559" s="1"/>
    </row>
    <row r="6560" spans="1:1" ht="46.5" customHeight="1" x14ac:dyDescent="0.25">
      <c r="A6560" s="1"/>
    </row>
    <row r="6561" spans="1:1" ht="46.5" customHeight="1" x14ac:dyDescent="0.25">
      <c r="A6561" s="1"/>
    </row>
    <row r="6562" spans="1:1" ht="46.5" customHeight="1" x14ac:dyDescent="0.25">
      <c r="A6562" s="1"/>
    </row>
    <row r="6563" spans="1:1" ht="46.5" customHeight="1" x14ac:dyDescent="0.25">
      <c r="A6563" s="1"/>
    </row>
    <row r="6564" spans="1:1" ht="46.5" customHeight="1" x14ac:dyDescent="0.25">
      <c r="A6564" s="1"/>
    </row>
    <row r="6565" spans="1:1" ht="46.5" customHeight="1" x14ac:dyDescent="0.25">
      <c r="A6565" s="1"/>
    </row>
    <row r="6566" spans="1:1" ht="46.5" customHeight="1" x14ac:dyDescent="0.25">
      <c r="A6566" s="1"/>
    </row>
    <row r="6567" spans="1:1" ht="46.5" customHeight="1" x14ac:dyDescent="0.25">
      <c r="A6567" s="1"/>
    </row>
    <row r="6568" spans="1:1" ht="46.5" customHeight="1" x14ac:dyDescent="0.25">
      <c r="A6568" s="1"/>
    </row>
    <row r="6569" spans="1:1" ht="46.5" customHeight="1" x14ac:dyDescent="0.25">
      <c r="A6569" s="1"/>
    </row>
    <row r="6570" spans="1:1" ht="46.5" customHeight="1" x14ac:dyDescent="0.25">
      <c r="A6570" s="1"/>
    </row>
    <row r="6571" spans="1:1" ht="46.5" customHeight="1" x14ac:dyDescent="0.25">
      <c r="A6571" s="1"/>
    </row>
    <row r="6572" spans="1:1" ht="46.5" customHeight="1" x14ac:dyDescent="0.25">
      <c r="A6572" s="1"/>
    </row>
    <row r="6573" spans="1:1" ht="46.5" customHeight="1" x14ac:dyDescent="0.25">
      <c r="A6573" s="1"/>
    </row>
    <row r="6574" spans="1:1" ht="46.5" customHeight="1" x14ac:dyDescent="0.25">
      <c r="A6574" s="1"/>
    </row>
    <row r="6575" spans="1:1" ht="46.5" customHeight="1" x14ac:dyDescent="0.25">
      <c r="A6575" s="1"/>
    </row>
    <row r="6576" spans="1:1" ht="46.5" customHeight="1" x14ac:dyDescent="0.25">
      <c r="A6576" s="1"/>
    </row>
    <row r="6577" spans="1:1" ht="46.5" customHeight="1" x14ac:dyDescent="0.25">
      <c r="A6577" s="1"/>
    </row>
    <row r="6578" spans="1:1" ht="46.5" customHeight="1" x14ac:dyDescent="0.25">
      <c r="A6578" s="1"/>
    </row>
    <row r="6579" spans="1:1" ht="46.5" customHeight="1" x14ac:dyDescent="0.25">
      <c r="A6579" s="1"/>
    </row>
    <row r="6580" spans="1:1" ht="46.5" customHeight="1" x14ac:dyDescent="0.25">
      <c r="A6580" s="1"/>
    </row>
    <row r="6581" spans="1:1" ht="46.5" customHeight="1" x14ac:dyDescent="0.25">
      <c r="A6581" s="1"/>
    </row>
    <row r="6582" spans="1:1" ht="46.5" customHeight="1" x14ac:dyDescent="0.25">
      <c r="A6582" s="1"/>
    </row>
    <row r="6583" spans="1:1" ht="46.5" customHeight="1" x14ac:dyDescent="0.25">
      <c r="A6583" s="1"/>
    </row>
    <row r="6584" spans="1:1" ht="46.5" customHeight="1" x14ac:dyDescent="0.25">
      <c r="A6584" s="1"/>
    </row>
    <row r="6585" spans="1:1" ht="46.5" customHeight="1" x14ac:dyDescent="0.25">
      <c r="A6585" s="1"/>
    </row>
    <row r="6586" spans="1:1" ht="46.5" customHeight="1" x14ac:dyDescent="0.25">
      <c r="A6586" s="1"/>
    </row>
    <row r="6587" spans="1:1" ht="46.5" customHeight="1" x14ac:dyDescent="0.25">
      <c r="A6587" s="1"/>
    </row>
    <row r="6588" spans="1:1" ht="46.5" customHeight="1" x14ac:dyDescent="0.25">
      <c r="A6588" s="1"/>
    </row>
    <row r="6589" spans="1:1" ht="46.5" customHeight="1" x14ac:dyDescent="0.25">
      <c r="A6589" s="1"/>
    </row>
    <row r="6590" spans="1:1" ht="46.5" customHeight="1" x14ac:dyDescent="0.25">
      <c r="A6590" s="1"/>
    </row>
    <row r="6591" spans="1:1" ht="46.5" customHeight="1" x14ac:dyDescent="0.25">
      <c r="A6591" s="1"/>
    </row>
    <row r="6592" spans="1:1" ht="46.5" customHeight="1" x14ac:dyDescent="0.25">
      <c r="A6592" s="1"/>
    </row>
    <row r="6593" spans="1:1" ht="46.5" customHeight="1" x14ac:dyDescent="0.25">
      <c r="A6593" s="1"/>
    </row>
    <row r="6594" spans="1:1" ht="46.5" customHeight="1" x14ac:dyDescent="0.25">
      <c r="A6594" s="1"/>
    </row>
    <row r="6595" spans="1:1" ht="46.5" customHeight="1" x14ac:dyDescent="0.25">
      <c r="A6595" s="1"/>
    </row>
    <row r="6596" spans="1:1" ht="46.5" customHeight="1" x14ac:dyDescent="0.25">
      <c r="A6596" s="1"/>
    </row>
    <row r="6597" spans="1:1" ht="46.5" customHeight="1" x14ac:dyDescent="0.25">
      <c r="A6597" s="1"/>
    </row>
    <row r="6598" spans="1:1" ht="46.5" customHeight="1" x14ac:dyDescent="0.25">
      <c r="A6598" s="1"/>
    </row>
    <row r="6599" spans="1:1" ht="46.5" customHeight="1" x14ac:dyDescent="0.25">
      <c r="A6599" s="1"/>
    </row>
    <row r="6600" spans="1:1" ht="46.5" customHeight="1" x14ac:dyDescent="0.25">
      <c r="A6600" s="1"/>
    </row>
    <row r="6601" spans="1:1" ht="46.5" customHeight="1" x14ac:dyDescent="0.25">
      <c r="A6601" s="1"/>
    </row>
    <row r="6602" spans="1:1" ht="46.5" customHeight="1" x14ac:dyDescent="0.25">
      <c r="A6602" s="1"/>
    </row>
    <row r="6603" spans="1:1" ht="46.5" customHeight="1" x14ac:dyDescent="0.25">
      <c r="A6603" s="1"/>
    </row>
    <row r="6604" spans="1:1" ht="46.5" customHeight="1" x14ac:dyDescent="0.25">
      <c r="A6604" s="1"/>
    </row>
    <row r="6605" spans="1:1" ht="46.5" customHeight="1" x14ac:dyDescent="0.25">
      <c r="A6605" s="1"/>
    </row>
    <row r="6606" spans="1:1" ht="46.5" customHeight="1" x14ac:dyDescent="0.25">
      <c r="A6606" s="1"/>
    </row>
    <row r="6607" spans="1:1" ht="46.5" customHeight="1" x14ac:dyDescent="0.25">
      <c r="A6607" s="1"/>
    </row>
    <row r="6608" spans="1:1" ht="46.5" customHeight="1" x14ac:dyDescent="0.25">
      <c r="A6608" s="1"/>
    </row>
    <row r="6609" spans="1:1" ht="46.5" customHeight="1" x14ac:dyDescent="0.25">
      <c r="A6609" s="1"/>
    </row>
    <row r="6610" spans="1:1" ht="46.5" customHeight="1" x14ac:dyDescent="0.25">
      <c r="A6610" s="1"/>
    </row>
    <row r="6611" spans="1:1" ht="46.5" customHeight="1" x14ac:dyDescent="0.25">
      <c r="A6611" s="1"/>
    </row>
    <row r="6612" spans="1:1" ht="46.5" customHeight="1" x14ac:dyDescent="0.25">
      <c r="A6612" s="1"/>
    </row>
    <row r="6613" spans="1:1" ht="46.5" customHeight="1" x14ac:dyDescent="0.25">
      <c r="A6613" s="1"/>
    </row>
    <row r="6614" spans="1:1" ht="46.5" customHeight="1" x14ac:dyDescent="0.25">
      <c r="A6614" s="1"/>
    </row>
    <row r="6615" spans="1:1" ht="46.5" customHeight="1" x14ac:dyDescent="0.25">
      <c r="A6615" s="1"/>
    </row>
    <row r="6616" spans="1:1" ht="46.5" customHeight="1" x14ac:dyDescent="0.25">
      <c r="A6616" s="1"/>
    </row>
    <row r="6617" spans="1:1" ht="46.5" customHeight="1" x14ac:dyDescent="0.25">
      <c r="A6617" s="1"/>
    </row>
    <row r="6618" spans="1:1" ht="46.5" customHeight="1" x14ac:dyDescent="0.25">
      <c r="A6618" s="1"/>
    </row>
    <row r="6619" spans="1:1" ht="46.5" customHeight="1" x14ac:dyDescent="0.25">
      <c r="A6619" s="1"/>
    </row>
    <row r="6620" spans="1:1" ht="46.5" customHeight="1" x14ac:dyDescent="0.25">
      <c r="A6620" s="1"/>
    </row>
    <row r="6621" spans="1:1" ht="46.5" customHeight="1" x14ac:dyDescent="0.25">
      <c r="A6621" s="1"/>
    </row>
    <row r="6622" spans="1:1" ht="46.5" customHeight="1" x14ac:dyDescent="0.25">
      <c r="A6622" s="1"/>
    </row>
    <row r="6623" spans="1:1" ht="46.5" customHeight="1" x14ac:dyDescent="0.25">
      <c r="A6623" s="1"/>
    </row>
    <row r="6624" spans="1:1" ht="46.5" customHeight="1" x14ac:dyDescent="0.25">
      <c r="A6624" s="1"/>
    </row>
    <row r="6625" spans="1:1" ht="46.5" customHeight="1" x14ac:dyDescent="0.25">
      <c r="A6625" s="1"/>
    </row>
    <row r="6626" spans="1:1" ht="46.5" customHeight="1" x14ac:dyDescent="0.25">
      <c r="A6626" s="1"/>
    </row>
    <row r="6627" spans="1:1" ht="46.5" customHeight="1" x14ac:dyDescent="0.25">
      <c r="A6627" s="1"/>
    </row>
    <row r="6628" spans="1:1" ht="46.5" customHeight="1" x14ac:dyDescent="0.25">
      <c r="A6628" s="1"/>
    </row>
    <row r="6629" spans="1:1" ht="46.5" customHeight="1" x14ac:dyDescent="0.25">
      <c r="A6629" s="1"/>
    </row>
    <row r="6630" spans="1:1" ht="46.5" customHeight="1" x14ac:dyDescent="0.25">
      <c r="A6630" s="1"/>
    </row>
    <row r="6631" spans="1:1" ht="46.5" customHeight="1" x14ac:dyDescent="0.25">
      <c r="A6631" s="1"/>
    </row>
    <row r="6632" spans="1:1" ht="46.5" customHeight="1" x14ac:dyDescent="0.25">
      <c r="A6632" s="1"/>
    </row>
    <row r="6633" spans="1:1" ht="46.5" customHeight="1" x14ac:dyDescent="0.25">
      <c r="A6633" s="1"/>
    </row>
    <row r="6634" spans="1:1" ht="46.5" customHeight="1" x14ac:dyDescent="0.25">
      <c r="A6634" s="1"/>
    </row>
    <row r="6635" spans="1:1" ht="46.5" customHeight="1" x14ac:dyDescent="0.25">
      <c r="A6635" s="1"/>
    </row>
    <row r="6636" spans="1:1" ht="46.5" customHeight="1" x14ac:dyDescent="0.25">
      <c r="A6636" s="1"/>
    </row>
    <row r="6637" spans="1:1" ht="46.5" customHeight="1" x14ac:dyDescent="0.25">
      <c r="A6637" s="1"/>
    </row>
    <row r="6638" spans="1:1" ht="46.5" customHeight="1" x14ac:dyDescent="0.25">
      <c r="A6638" s="1"/>
    </row>
    <row r="6639" spans="1:1" ht="46.5" customHeight="1" x14ac:dyDescent="0.25">
      <c r="A6639" s="1"/>
    </row>
    <row r="6640" spans="1:1" ht="46.5" customHeight="1" x14ac:dyDescent="0.25">
      <c r="A6640" s="1"/>
    </row>
    <row r="6641" spans="1:1" ht="46.5" customHeight="1" x14ac:dyDescent="0.25">
      <c r="A6641" s="1"/>
    </row>
    <row r="6642" spans="1:1" ht="46.5" customHeight="1" x14ac:dyDescent="0.25">
      <c r="A6642" s="1"/>
    </row>
    <row r="6643" spans="1:1" ht="46.5" customHeight="1" x14ac:dyDescent="0.25">
      <c r="A6643" s="1"/>
    </row>
    <row r="6644" spans="1:1" ht="46.5" customHeight="1" x14ac:dyDescent="0.25">
      <c r="A6644" s="1"/>
    </row>
    <row r="6645" spans="1:1" ht="46.5" customHeight="1" x14ac:dyDescent="0.25">
      <c r="A6645" s="1"/>
    </row>
    <row r="6646" spans="1:1" ht="46.5" customHeight="1" x14ac:dyDescent="0.25">
      <c r="A6646" s="1"/>
    </row>
    <row r="6647" spans="1:1" ht="46.5" customHeight="1" x14ac:dyDescent="0.25">
      <c r="A6647" s="1"/>
    </row>
    <row r="6648" spans="1:1" ht="46.5" customHeight="1" x14ac:dyDescent="0.25">
      <c r="A6648" s="1"/>
    </row>
    <row r="6649" spans="1:1" ht="46.5" customHeight="1" x14ac:dyDescent="0.25">
      <c r="A6649" s="1"/>
    </row>
    <row r="6650" spans="1:1" ht="46.5" customHeight="1" x14ac:dyDescent="0.25">
      <c r="A6650" s="1"/>
    </row>
    <row r="6651" spans="1:1" ht="46.5" customHeight="1" x14ac:dyDescent="0.25">
      <c r="A6651" s="1"/>
    </row>
    <row r="6652" spans="1:1" ht="46.5" customHeight="1" x14ac:dyDescent="0.25">
      <c r="A6652" s="1"/>
    </row>
    <row r="6653" spans="1:1" ht="46.5" customHeight="1" x14ac:dyDescent="0.25">
      <c r="A6653" s="1"/>
    </row>
    <row r="6654" spans="1:1" ht="46.5" customHeight="1" x14ac:dyDescent="0.25">
      <c r="A6654" s="1"/>
    </row>
    <row r="6655" spans="1:1" ht="46.5" customHeight="1" x14ac:dyDescent="0.25">
      <c r="A6655" s="1"/>
    </row>
    <row r="6656" spans="1:1" ht="46.5" customHeight="1" x14ac:dyDescent="0.25">
      <c r="A6656" s="1"/>
    </row>
    <row r="6657" spans="1:1" ht="46.5" customHeight="1" x14ac:dyDescent="0.25">
      <c r="A6657" s="1"/>
    </row>
    <row r="6658" spans="1:1" ht="46.5" customHeight="1" x14ac:dyDescent="0.25">
      <c r="A6658" s="1"/>
    </row>
    <row r="6659" spans="1:1" ht="46.5" customHeight="1" x14ac:dyDescent="0.25">
      <c r="A6659" s="1"/>
    </row>
    <row r="6660" spans="1:1" ht="46.5" customHeight="1" x14ac:dyDescent="0.25">
      <c r="A6660" s="1"/>
    </row>
    <row r="6661" spans="1:1" ht="46.5" customHeight="1" x14ac:dyDescent="0.25">
      <c r="A6661" s="1"/>
    </row>
    <row r="6662" spans="1:1" ht="46.5" customHeight="1" x14ac:dyDescent="0.25">
      <c r="A6662" s="1"/>
    </row>
    <row r="6663" spans="1:1" ht="46.5" customHeight="1" x14ac:dyDescent="0.25">
      <c r="A6663" s="1"/>
    </row>
    <row r="6664" spans="1:1" ht="46.5" customHeight="1" x14ac:dyDescent="0.25">
      <c r="A6664" s="1"/>
    </row>
    <row r="6665" spans="1:1" ht="46.5" customHeight="1" x14ac:dyDescent="0.25">
      <c r="A6665" s="1"/>
    </row>
    <row r="6666" spans="1:1" ht="46.5" customHeight="1" x14ac:dyDescent="0.25">
      <c r="A6666" s="1"/>
    </row>
    <row r="6667" spans="1:1" ht="46.5" customHeight="1" x14ac:dyDescent="0.25">
      <c r="A6667" s="1"/>
    </row>
    <row r="6668" spans="1:1" ht="46.5" customHeight="1" x14ac:dyDescent="0.25">
      <c r="A6668" s="1"/>
    </row>
    <row r="6669" spans="1:1" ht="46.5" customHeight="1" x14ac:dyDescent="0.25">
      <c r="A6669" s="1"/>
    </row>
    <row r="6670" spans="1:1" ht="46.5" customHeight="1" x14ac:dyDescent="0.25">
      <c r="A6670" s="1"/>
    </row>
    <row r="6671" spans="1:1" ht="46.5" customHeight="1" x14ac:dyDescent="0.25">
      <c r="A6671" s="1"/>
    </row>
    <row r="6672" spans="1:1" ht="46.5" customHeight="1" x14ac:dyDescent="0.25">
      <c r="A6672" s="1"/>
    </row>
    <row r="6673" spans="1:1" ht="46.5" customHeight="1" x14ac:dyDescent="0.25">
      <c r="A6673" s="1"/>
    </row>
    <row r="6674" spans="1:1" ht="46.5" customHeight="1" x14ac:dyDescent="0.25">
      <c r="A6674" s="1"/>
    </row>
    <row r="6675" spans="1:1" ht="46.5" customHeight="1" x14ac:dyDescent="0.25">
      <c r="A6675" s="1"/>
    </row>
    <row r="6676" spans="1:1" ht="46.5" customHeight="1" x14ac:dyDescent="0.25">
      <c r="A6676" s="1"/>
    </row>
    <row r="6677" spans="1:1" ht="46.5" customHeight="1" x14ac:dyDescent="0.25">
      <c r="A6677" s="1"/>
    </row>
    <row r="6678" spans="1:1" ht="46.5" customHeight="1" x14ac:dyDescent="0.25">
      <c r="A6678" s="1"/>
    </row>
    <row r="6679" spans="1:1" ht="46.5" customHeight="1" x14ac:dyDescent="0.25">
      <c r="A6679" s="1"/>
    </row>
    <row r="6680" spans="1:1" ht="46.5" customHeight="1" x14ac:dyDescent="0.25">
      <c r="A6680" s="1"/>
    </row>
    <row r="6681" spans="1:1" ht="46.5" customHeight="1" x14ac:dyDescent="0.25">
      <c r="A6681" s="1"/>
    </row>
    <row r="6682" spans="1:1" ht="46.5" customHeight="1" x14ac:dyDescent="0.25">
      <c r="A6682" s="1"/>
    </row>
    <row r="6683" spans="1:1" ht="46.5" customHeight="1" x14ac:dyDescent="0.25">
      <c r="A6683" s="1"/>
    </row>
    <row r="6684" spans="1:1" ht="46.5" customHeight="1" x14ac:dyDescent="0.25">
      <c r="A6684" s="1"/>
    </row>
    <row r="6685" spans="1:1" ht="46.5" customHeight="1" x14ac:dyDescent="0.25">
      <c r="A6685" s="1"/>
    </row>
    <row r="6686" spans="1:1" ht="46.5" customHeight="1" x14ac:dyDescent="0.25">
      <c r="A6686" s="1"/>
    </row>
    <row r="6687" spans="1:1" ht="46.5" customHeight="1" x14ac:dyDescent="0.25">
      <c r="A6687" s="1"/>
    </row>
    <row r="6688" spans="1:1" ht="46.5" customHeight="1" x14ac:dyDescent="0.25">
      <c r="A6688" s="1"/>
    </row>
    <row r="6689" spans="1:1" ht="46.5" customHeight="1" x14ac:dyDescent="0.25">
      <c r="A6689" s="1"/>
    </row>
    <row r="6690" spans="1:1" ht="46.5" customHeight="1" x14ac:dyDescent="0.25">
      <c r="A6690" s="1"/>
    </row>
    <row r="6691" spans="1:1" ht="46.5" customHeight="1" x14ac:dyDescent="0.25">
      <c r="A6691" s="1"/>
    </row>
    <row r="6692" spans="1:1" ht="46.5" customHeight="1" x14ac:dyDescent="0.25">
      <c r="A6692" s="1"/>
    </row>
    <row r="6693" spans="1:1" ht="46.5" customHeight="1" x14ac:dyDescent="0.25">
      <c r="A6693" s="1"/>
    </row>
    <row r="6694" spans="1:1" ht="46.5" customHeight="1" x14ac:dyDescent="0.25">
      <c r="A6694" s="1"/>
    </row>
    <row r="6695" spans="1:1" ht="46.5" customHeight="1" x14ac:dyDescent="0.25">
      <c r="A6695" s="1"/>
    </row>
    <row r="6696" spans="1:1" ht="46.5" customHeight="1" x14ac:dyDescent="0.25">
      <c r="A6696" s="1"/>
    </row>
    <row r="6697" spans="1:1" ht="46.5" customHeight="1" x14ac:dyDescent="0.25">
      <c r="A6697" s="1"/>
    </row>
    <row r="6698" spans="1:1" ht="46.5" customHeight="1" x14ac:dyDescent="0.25">
      <c r="A6698" s="1"/>
    </row>
    <row r="6699" spans="1:1" ht="46.5" customHeight="1" x14ac:dyDescent="0.25">
      <c r="A6699" s="1"/>
    </row>
    <row r="6700" spans="1:1" ht="46.5" customHeight="1" x14ac:dyDescent="0.25">
      <c r="A6700" s="1"/>
    </row>
    <row r="6701" spans="1:1" ht="46.5" customHeight="1" x14ac:dyDescent="0.25">
      <c r="A6701" s="1"/>
    </row>
    <row r="6702" spans="1:1" ht="46.5" customHeight="1" x14ac:dyDescent="0.25">
      <c r="A6702" s="1"/>
    </row>
    <row r="6703" spans="1:1" ht="46.5" customHeight="1" x14ac:dyDescent="0.25">
      <c r="A6703" s="1"/>
    </row>
    <row r="6704" spans="1:1" ht="46.5" customHeight="1" x14ac:dyDescent="0.25">
      <c r="A6704" s="1"/>
    </row>
    <row r="6705" spans="1:1" ht="46.5" customHeight="1" x14ac:dyDescent="0.25">
      <c r="A6705" s="1"/>
    </row>
    <row r="6706" spans="1:1" ht="46.5" customHeight="1" x14ac:dyDescent="0.25">
      <c r="A6706" s="1"/>
    </row>
    <row r="6707" spans="1:1" ht="46.5" customHeight="1" x14ac:dyDescent="0.25">
      <c r="A6707" s="1"/>
    </row>
    <row r="6708" spans="1:1" ht="46.5" customHeight="1" x14ac:dyDescent="0.25">
      <c r="A6708" s="1"/>
    </row>
    <row r="6709" spans="1:1" ht="46.5" customHeight="1" x14ac:dyDescent="0.25">
      <c r="A6709" s="1"/>
    </row>
    <row r="6710" spans="1:1" ht="46.5" customHeight="1" x14ac:dyDescent="0.25">
      <c r="A6710" s="1"/>
    </row>
    <row r="6711" spans="1:1" ht="46.5" customHeight="1" x14ac:dyDescent="0.25">
      <c r="A6711" s="1"/>
    </row>
    <row r="6712" spans="1:1" ht="46.5" customHeight="1" x14ac:dyDescent="0.25">
      <c r="A6712" s="1"/>
    </row>
    <row r="6713" spans="1:1" ht="46.5" customHeight="1" x14ac:dyDescent="0.25">
      <c r="A6713" s="1"/>
    </row>
    <row r="6714" spans="1:1" ht="46.5" customHeight="1" x14ac:dyDescent="0.25">
      <c r="A6714" s="1"/>
    </row>
    <row r="6715" spans="1:1" ht="46.5" customHeight="1" x14ac:dyDescent="0.25">
      <c r="A6715" s="1"/>
    </row>
    <row r="6716" spans="1:1" ht="46.5" customHeight="1" x14ac:dyDescent="0.25">
      <c r="A6716" s="1"/>
    </row>
    <row r="6717" spans="1:1" ht="46.5" customHeight="1" x14ac:dyDescent="0.25">
      <c r="A6717" s="1"/>
    </row>
    <row r="6718" spans="1:1" ht="46.5" customHeight="1" x14ac:dyDescent="0.25">
      <c r="A6718" s="1"/>
    </row>
    <row r="6719" spans="1:1" ht="46.5" customHeight="1" x14ac:dyDescent="0.25">
      <c r="A6719" s="1"/>
    </row>
    <row r="6720" spans="1:1" ht="46.5" customHeight="1" x14ac:dyDescent="0.25">
      <c r="A6720" s="1"/>
    </row>
    <row r="6721" spans="1:1" ht="46.5" customHeight="1" x14ac:dyDescent="0.25">
      <c r="A6721" s="1"/>
    </row>
    <row r="6722" spans="1:1" ht="46.5" customHeight="1" x14ac:dyDescent="0.25">
      <c r="A6722" s="1"/>
    </row>
    <row r="6723" spans="1:1" ht="46.5" customHeight="1" x14ac:dyDescent="0.25">
      <c r="A6723" s="1"/>
    </row>
    <row r="6724" spans="1:1" ht="46.5" customHeight="1" x14ac:dyDescent="0.25">
      <c r="A6724" s="1"/>
    </row>
    <row r="6725" spans="1:1" ht="46.5" customHeight="1" x14ac:dyDescent="0.25">
      <c r="A6725" s="1"/>
    </row>
    <row r="6726" spans="1:1" ht="46.5" customHeight="1" x14ac:dyDescent="0.25">
      <c r="A6726" s="1"/>
    </row>
    <row r="6727" spans="1:1" ht="46.5" customHeight="1" x14ac:dyDescent="0.25">
      <c r="A6727" s="1"/>
    </row>
    <row r="6728" spans="1:1" ht="46.5" customHeight="1" x14ac:dyDescent="0.25">
      <c r="A6728" s="1"/>
    </row>
    <row r="6729" spans="1:1" ht="46.5" customHeight="1" x14ac:dyDescent="0.25">
      <c r="A6729" s="1"/>
    </row>
    <row r="6730" spans="1:1" ht="46.5" customHeight="1" x14ac:dyDescent="0.25">
      <c r="A6730" s="1"/>
    </row>
    <row r="6731" spans="1:1" ht="46.5" customHeight="1" x14ac:dyDescent="0.25">
      <c r="A6731" s="1"/>
    </row>
    <row r="6732" spans="1:1" ht="46.5" customHeight="1" x14ac:dyDescent="0.25">
      <c r="A6732" s="1"/>
    </row>
    <row r="6733" spans="1:1" ht="46.5" customHeight="1" x14ac:dyDescent="0.25">
      <c r="A6733" s="1"/>
    </row>
    <row r="6734" spans="1:1" ht="46.5" customHeight="1" x14ac:dyDescent="0.25">
      <c r="A6734" s="1"/>
    </row>
    <row r="6735" spans="1:1" ht="46.5" customHeight="1" x14ac:dyDescent="0.25">
      <c r="A6735" s="1"/>
    </row>
    <row r="6736" spans="1:1" ht="46.5" customHeight="1" x14ac:dyDescent="0.25">
      <c r="A6736" s="1"/>
    </row>
    <row r="6737" spans="1:1" ht="46.5" customHeight="1" x14ac:dyDescent="0.25">
      <c r="A6737" s="1"/>
    </row>
    <row r="6738" spans="1:1" ht="46.5" customHeight="1" x14ac:dyDescent="0.25">
      <c r="A6738" s="1"/>
    </row>
    <row r="6739" spans="1:1" ht="46.5" customHeight="1" x14ac:dyDescent="0.25">
      <c r="A6739" s="1"/>
    </row>
    <row r="6740" spans="1:1" ht="46.5" customHeight="1" x14ac:dyDescent="0.25">
      <c r="A6740" s="1"/>
    </row>
    <row r="6741" spans="1:1" ht="46.5" customHeight="1" x14ac:dyDescent="0.25">
      <c r="A6741" s="1"/>
    </row>
    <row r="6742" spans="1:1" ht="46.5" customHeight="1" x14ac:dyDescent="0.25">
      <c r="A6742" s="1"/>
    </row>
    <row r="6743" spans="1:1" ht="46.5" customHeight="1" x14ac:dyDescent="0.25">
      <c r="A6743" s="1"/>
    </row>
    <row r="6744" spans="1:1" ht="46.5" customHeight="1" x14ac:dyDescent="0.25">
      <c r="A6744" s="1"/>
    </row>
    <row r="6745" spans="1:1" ht="46.5" customHeight="1" x14ac:dyDescent="0.25">
      <c r="A6745" s="1"/>
    </row>
    <row r="6746" spans="1:1" ht="46.5" customHeight="1" x14ac:dyDescent="0.25">
      <c r="A6746" s="1"/>
    </row>
    <row r="6747" spans="1:1" ht="46.5" customHeight="1" x14ac:dyDescent="0.25">
      <c r="A6747" s="1"/>
    </row>
    <row r="6748" spans="1:1" ht="46.5" customHeight="1" x14ac:dyDescent="0.25">
      <c r="A6748" s="1"/>
    </row>
    <row r="6749" spans="1:1" ht="46.5" customHeight="1" x14ac:dyDescent="0.25">
      <c r="A6749" s="1"/>
    </row>
    <row r="6750" spans="1:1" ht="46.5" customHeight="1" x14ac:dyDescent="0.25">
      <c r="A6750" s="1"/>
    </row>
    <row r="6751" spans="1:1" ht="46.5" customHeight="1" x14ac:dyDescent="0.25">
      <c r="A6751" s="1"/>
    </row>
    <row r="6752" spans="1:1" ht="46.5" customHeight="1" x14ac:dyDescent="0.25">
      <c r="A6752" s="1"/>
    </row>
    <row r="6753" spans="1:1" ht="46.5" customHeight="1" x14ac:dyDescent="0.25">
      <c r="A6753" s="1"/>
    </row>
    <row r="6754" spans="1:1" ht="46.5" customHeight="1" x14ac:dyDescent="0.25">
      <c r="A6754" s="1"/>
    </row>
    <row r="6755" spans="1:1" ht="46.5" customHeight="1" x14ac:dyDescent="0.25">
      <c r="A6755" s="1"/>
    </row>
    <row r="6756" spans="1:1" ht="46.5" customHeight="1" x14ac:dyDescent="0.25">
      <c r="A6756" s="1"/>
    </row>
    <row r="6757" spans="1:1" ht="46.5" customHeight="1" x14ac:dyDescent="0.25">
      <c r="A6757" s="1"/>
    </row>
    <row r="6758" spans="1:1" ht="46.5" customHeight="1" x14ac:dyDescent="0.25">
      <c r="A6758" s="1"/>
    </row>
    <row r="6759" spans="1:1" ht="46.5" customHeight="1" x14ac:dyDescent="0.25">
      <c r="A6759" s="1"/>
    </row>
    <row r="6760" spans="1:1" ht="46.5" customHeight="1" x14ac:dyDescent="0.25">
      <c r="A6760" s="1"/>
    </row>
    <row r="6761" spans="1:1" ht="46.5" customHeight="1" x14ac:dyDescent="0.25">
      <c r="A6761" s="1"/>
    </row>
    <row r="6762" spans="1:1" ht="46.5" customHeight="1" x14ac:dyDescent="0.25">
      <c r="A6762" s="1"/>
    </row>
    <row r="6763" spans="1:1" ht="46.5" customHeight="1" x14ac:dyDescent="0.25">
      <c r="A6763" s="1"/>
    </row>
    <row r="6764" spans="1:1" ht="46.5" customHeight="1" x14ac:dyDescent="0.25">
      <c r="A6764" s="1"/>
    </row>
    <row r="6765" spans="1:1" ht="46.5" customHeight="1" x14ac:dyDescent="0.25">
      <c r="A6765" s="1"/>
    </row>
    <row r="6766" spans="1:1" ht="46.5" customHeight="1" x14ac:dyDescent="0.25">
      <c r="A6766" s="1"/>
    </row>
    <row r="6767" spans="1:1" ht="46.5" customHeight="1" x14ac:dyDescent="0.25">
      <c r="A6767" s="1"/>
    </row>
    <row r="6768" spans="1:1" ht="46.5" customHeight="1" x14ac:dyDescent="0.25">
      <c r="A6768" s="1"/>
    </row>
    <row r="6769" spans="1:1" ht="46.5" customHeight="1" x14ac:dyDescent="0.25">
      <c r="A6769" s="1"/>
    </row>
    <row r="6770" spans="1:1" ht="46.5" customHeight="1" x14ac:dyDescent="0.25">
      <c r="A6770" s="1"/>
    </row>
    <row r="6771" spans="1:1" ht="46.5" customHeight="1" x14ac:dyDescent="0.25">
      <c r="A6771" s="1"/>
    </row>
    <row r="6772" spans="1:1" ht="46.5" customHeight="1" x14ac:dyDescent="0.25">
      <c r="A6772" s="1"/>
    </row>
    <row r="6773" spans="1:1" ht="46.5" customHeight="1" x14ac:dyDescent="0.25">
      <c r="A6773" s="1"/>
    </row>
    <row r="6774" spans="1:1" ht="46.5" customHeight="1" x14ac:dyDescent="0.25">
      <c r="A6774" s="1"/>
    </row>
    <row r="6775" spans="1:1" ht="46.5" customHeight="1" x14ac:dyDescent="0.25">
      <c r="A6775" s="1"/>
    </row>
    <row r="6776" spans="1:1" ht="46.5" customHeight="1" x14ac:dyDescent="0.25">
      <c r="A6776" s="1"/>
    </row>
    <row r="6777" spans="1:1" ht="46.5" customHeight="1" x14ac:dyDescent="0.25">
      <c r="A6777" s="1"/>
    </row>
    <row r="6778" spans="1:1" ht="46.5" customHeight="1" x14ac:dyDescent="0.25">
      <c r="A6778" s="1"/>
    </row>
    <row r="6779" spans="1:1" ht="46.5" customHeight="1" x14ac:dyDescent="0.25">
      <c r="A6779" s="1"/>
    </row>
    <row r="6780" spans="1:1" ht="46.5" customHeight="1" x14ac:dyDescent="0.25">
      <c r="A6780" s="1"/>
    </row>
    <row r="6781" spans="1:1" ht="46.5" customHeight="1" x14ac:dyDescent="0.25">
      <c r="A6781" s="1"/>
    </row>
    <row r="6782" spans="1:1" ht="46.5" customHeight="1" x14ac:dyDescent="0.25">
      <c r="A6782" s="1"/>
    </row>
    <row r="6783" spans="1:1" ht="46.5" customHeight="1" x14ac:dyDescent="0.25">
      <c r="A6783" s="1"/>
    </row>
    <row r="6784" spans="1:1" ht="46.5" customHeight="1" x14ac:dyDescent="0.25">
      <c r="A6784" s="1"/>
    </row>
    <row r="6785" spans="1:1" ht="46.5" customHeight="1" x14ac:dyDescent="0.25">
      <c r="A6785" s="1"/>
    </row>
    <row r="6786" spans="1:1" ht="46.5" customHeight="1" x14ac:dyDescent="0.25">
      <c r="A6786" s="1"/>
    </row>
    <row r="6787" spans="1:1" ht="46.5" customHeight="1" x14ac:dyDescent="0.25">
      <c r="A6787" s="1"/>
    </row>
    <row r="6788" spans="1:1" ht="46.5" customHeight="1" x14ac:dyDescent="0.25">
      <c r="A6788" s="1"/>
    </row>
    <row r="6789" spans="1:1" ht="46.5" customHeight="1" x14ac:dyDescent="0.25">
      <c r="A6789" s="1"/>
    </row>
    <row r="6790" spans="1:1" ht="46.5" customHeight="1" x14ac:dyDescent="0.25">
      <c r="A6790" s="1"/>
    </row>
    <row r="6791" spans="1:1" ht="46.5" customHeight="1" x14ac:dyDescent="0.25">
      <c r="A6791" s="1"/>
    </row>
    <row r="6792" spans="1:1" ht="46.5" customHeight="1" x14ac:dyDescent="0.25">
      <c r="A6792" s="1"/>
    </row>
    <row r="6793" spans="1:1" ht="46.5" customHeight="1" x14ac:dyDescent="0.25">
      <c r="A6793" s="1"/>
    </row>
    <row r="6794" spans="1:1" ht="46.5" customHeight="1" x14ac:dyDescent="0.25">
      <c r="A6794" s="1"/>
    </row>
    <row r="6795" spans="1:1" ht="46.5" customHeight="1" x14ac:dyDescent="0.25">
      <c r="A6795" s="1"/>
    </row>
    <row r="6796" spans="1:1" ht="46.5" customHeight="1" x14ac:dyDescent="0.25">
      <c r="A6796" s="1"/>
    </row>
    <row r="6797" spans="1:1" ht="46.5" customHeight="1" x14ac:dyDescent="0.25">
      <c r="A6797" s="1"/>
    </row>
    <row r="6798" spans="1:1" ht="46.5" customHeight="1" x14ac:dyDescent="0.25">
      <c r="A6798" s="1"/>
    </row>
    <row r="6799" spans="1:1" ht="46.5" customHeight="1" x14ac:dyDescent="0.25">
      <c r="A6799" s="1"/>
    </row>
    <row r="6800" spans="1:1" ht="46.5" customHeight="1" x14ac:dyDescent="0.25">
      <c r="A6800" s="1"/>
    </row>
    <row r="6801" spans="1:1" ht="46.5" customHeight="1" x14ac:dyDescent="0.25">
      <c r="A6801" s="1"/>
    </row>
    <row r="6802" spans="1:1" ht="46.5" customHeight="1" x14ac:dyDescent="0.25">
      <c r="A6802" s="1"/>
    </row>
    <row r="6803" spans="1:1" ht="46.5" customHeight="1" x14ac:dyDescent="0.25">
      <c r="A6803" s="1"/>
    </row>
    <row r="6804" spans="1:1" ht="46.5" customHeight="1" x14ac:dyDescent="0.25">
      <c r="A6804" s="1"/>
    </row>
    <row r="6805" spans="1:1" ht="46.5" customHeight="1" x14ac:dyDescent="0.25">
      <c r="A6805" s="1"/>
    </row>
    <row r="6806" spans="1:1" ht="46.5" customHeight="1" x14ac:dyDescent="0.25">
      <c r="A6806" s="1"/>
    </row>
    <row r="6807" spans="1:1" ht="46.5" customHeight="1" x14ac:dyDescent="0.25">
      <c r="A6807" s="1"/>
    </row>
    <row r="6808" spans="1:1" ht="46.5" customHeight="1" x14ac:dyDescent="0.25">
      <c r="A6808" s="1"/>
    </row>
    <row r="6809" spans="1:1" ht="46.5" customHeight="1" x14ac:dyDescent="0.25">
      <c r="A6809" s="1"/>
    </row>
    <row r="6810" spans="1:1" ht="46.5" customHeight="1" x14ac:dyDescent="0.25">
      <c r="A6810" s="1"/>
    </row>
    <row r="6811" spans="1:1" ht="46.5" customHeight="1" x14ac:dyDescent="0.25">
      <c r="A6811" s="1"/>
    </row>
    <row r="6812" spans="1:1" ht="46.5" customHeight="1" x14ac:dyDescent="0.25">
      <c r="A6812" s="1"/>
    </row>
    <row r="6813" spans="1:1" ht="46.5" customHeight="1" x14ac:dyDescent="0.25">
      <c r="A6813" s="1"/>
    </row>
    <row r="6814" spans="1:1" ht="46.5" customHeight="1" x14ac:dyDescent="0.25">
      <c r="A6814" s="1"/>
    </row>
    <row r="6815" spans="1:1" ht="46.5" customHeight="1" x14ac:dyDescent="0.25">
      <c r="A6815" s="1"/>
    </row>
    <row r="6816" spans="1:1" ht="46.5" customHeight="1" x14ac:dyDescent="0.25">
      <c r="A6816" s="1"/>
    </row>
    <row r="6817" spans="1:1" ht="46.5" customHeight="1" x14ac:dyDescent="0.25">
      <c r="A6817" s="1"/>
    </row>
    <row r="6818" spans="1:1" ht="46.5" customHeight="1" x14ac:dyDescent="0.25">
      <c r="A6818" s="1"/>
    </row>
    <row r="6819" spans="1:1" ht="46.5" customHeight="1" x14ac:dyDescent="0.25">
      <c r="A6819" s="1"/>
    </row>
    <row r="6820" spans="1:1" ht="46.5" customHeight="1" x14ac:dyDescent="0.25">
      <c r="A6820" s="1"/>
    </row>
    <row r="6821" spans="1:1" ht="46.5" customHeight="1" x14ac:dyDescent="0.25">
      <c r="A6821" s="1"/>
    </row>
    <row r="6822" spans="1:1" ht="46.5" customHeight="1" x14ac:dyDescent="0.25">
      <c r="A6822" s="1"/>
    </row>
    <row r="6823" spans="1:1" ht="46.5" customHeight="1" x14ac:dyDescent="0.25">
      <c r="A6823" s="1"/>
    </row>
    <row r="6824" spans="1:1" ht="46.5" customHeight="1" x14ac:dyDescent="0.25">
      <c r="A6824" s="1"/>
    </row>
    <row r="6825" spans="1:1" ht="46.5" customHeight="1" x14ac:dyDescent="0.25">
      <c r="A6825" s="1"/>
    </row>
    <row r="6826" spans="1:1" ht="46.5" customHeight="1" x14ac:dyDescent="0.25">
      <c r="A6826" s="1"/>
    </row>
    <row r="6827" spans="1:1" ht="46.5" customHeight="1" x14ac:dyDescent="0.25">
      <c r="A6827" s="1"/>
    </row>
    <row r="6828" spans="1:1" ht="46.5" customHeight="1" x14ac:dyDescent="0.25">
      <c r="A6828" s="1"/>
    </row>
    <row r="6829" spans="1:1" ht="46.5" customHeight="1" x14ac:dyDescent="0.25">
      <c r="A6829" s="1"/>
    </row>
    <row r="6830" spans="1:1" ht="46.5" customHeight="1" x14ac:dyDescent="0.25">
      <c r="A6830" s="1"/>
    </row>
    <row r="6831" spans="1:1" ht="46.5" customHeight="1" x14ac:dyDescent="0.25">
      <c r="A6831" s="1"/>
    </row>
    <row r="6832" spans="1:1" ht="46.5" customHeight="1" x14ac:dyDescent="0.25">
      <c r="A6832" s="1"/>
    </row>
    <row r="6833" spans="1:1" ht="46.5" customHeight="1" x14ac:dyDescent="0.25">
      <c r="A6833" s="1"/>
    </row>
    <row r="6834" spans="1:1" ht="46.5" customHeight="1" x14ac:dyDescent="0.25">
      <c r="A6834" s="1"/>
    </row>
    <row r="6835" spans="1:1" ht="46.5" customHeight="1" x14ac:dyDescent="0.25">
      <c r="A6835" s="1"/>
    </row>
    <row r="6836" spans="1:1" ht="46.5" customHeight="1" x14ac:dyDescent="0.25">
      <c r="A6836" s="1"/>
    </row>
    <row r="6837" spans="1:1" ht="46.5" customHeight="1" x14ac:dyDescent="0.25">
      <c r="A6837" s="1"/>
    </row>
    <row r="6838" spans="1:1" ht="46.5" customHeight="1" x14ac:dyDescent="0.25">
      <c r="A6838" s="1"/>
    </row>
    <row r="6839" spans="1:1" ht="46.5" customHeight="1" x14ac:dyDescent="0.25">
      <c r="A6839" s="1"/>
    </row>
    <row r="6840" spans="1:1" ht="46.5" customHeight="1" x14ac:dyDescent="0.25">
      <c r="A6840" s="1"/>
    </row>
    <row r="6841" spans="1:1" ht="46.5" customHeight="1" x14ac:dyDescent="0.25">
      <c r="A6841" s="1"/>
    </row>
    <row r="6842" spans="1:1" ht="46.5" customHeight="1" x14ac:dyDescent="0.25">
      <c r="A6842" s="1"/>
    </row>
    <row r="6843" spans="1:1" ht="46.5" customHeight="1" x14ac:dyDescent="0.25">
      <c r="A6843" s="1"/>
    </row>
    <row r="6844" spans="1:1" ht="46.5" customHeight="1" x14ac:dyDescent="0.25">
      <c r="A6844" s="1"/>
    </row>
    <row r="6845" spans="1:1" ht="46.5" customHeight="1" x14ac:dyDescent="0.25">
      <c r="A6845" s="1"/>
    </row>
    <row r="6846" spans="1:1" ht="46.5" customHeight="1" x14ac:dyDescent="0.25">
      <c r="A6846" s="1"/>
    </row>
    <row r="6847" spans="1:1" ht="46.5" customHeight="1" x14ac:dyDescent="0.25">
      <c r="A6847" s="1"/>
    </row>
    <row r="6848" spans="1:1" ht="46.5" customHeight="1" x14ac:dyDescent="0.25">
      <c r="A6848" s="1"/>
    </row>
    <row r="6849" spans="1:1" ht="46.5" customHeight="1" x14ac:dyDescent="0.25">
      <c r="A6849" s="1"/>
    </row>
    <row r="6850" spans="1:1" ht="46.5" customHeight="1" x14ac:dyDescent="0.25">
      <c r="A6850" s="1"/>
    </row>
    <row r="6851" spans="1:1" ht="46.5" customHeight="1" x14ac:dyDescent="0.25">
      <c r="A6851" s="1"/>
    </row>
    <row r="6852" spans="1:1" ht="46.5" customHeight="1" x14ac:dyDescent="0.25">
      <c r="A6852" s="1"/>
    </row>
    <row r="6853" spans="1:1" ht="46.5" customHeight="1" x14ac:dyDescent="0.25">
      <c r="A6853" s="1"/>
    </row>
    <row r="6854" spans="1:1" ht="46.5" customHeight="1" x14ac:dyDescent="0.25">
      <c r="A6854" s="1"/>
    </row>
    <row r="6855" spans="1:1" ht="46.5" customHeight="1" x14ac:dyDescent="0.25">
      <c r="A6855" s="1"/>
    </row>
    <row r="6856" spans="1:1" ht="46.5" customHeight="1" x14ac:dyDescent="0.25">
      <c r="A6856" s="1"/>
    </row>
    <row r="6857" spans="1:1" ht="46.5" customHeight="1" x14ac:dyDescent="0.25">
      <c r="A6857" s="1"/>
    </row>
    <row r="6858" spans="1:1" ht="46.5" customHeight="1" x14ac:dyDescent="0.25">
      <c r="A6858" s="1"/>
    </row>
    <row r="6859" spans="1:1" ht="46.5" customHeight="1" x14ac:dyDescent="0.25">
      <c r="A6859" s="1"/>
    </row>
    <row r="6860" spans="1:1" ht="46.5" customHeight="1" x14ac:dyDescent="0.25">
      <c r="A6860" s="1"/>
    </row>
    <row r="6861" spans="1:1" ht="46.5" customHeight="1" x14ac:dyDescent="0.25">
      <c r="A6861" s="1"/>
    </row>
    <row r="6862" spans="1:1" ht="46.5" customHeight="1" x14ac:dyDescent="0.25">
      <c r="A6862" s="1"/>
    </row>
    <row r="6863" spans="1:1" ht="46.5" customHeight="1" x14ac:dyDescent="0.25">
      <c r="A6863" s="1"/>
    </row>
    <row r="6864" spans="1:1" ht="46.5" customHeight="1" x14ac:dyDescent="0.25">
      <c r="A6864" s="1"/>
    </row>
    <row r="6865" spans="1:1" ht="46.5" customHeight="1" x14ac:dyDescent="0.25">
      <c r="A6865" s="1"/>
    </row>
    <row r="6866" spans="1:1" ht="46.5" customHeight="1" x14ac:dyDescent="0.25">
      <c r="A6866" s="1"/>
    </row>
    <row r="6867" spans="1:1" ht="46.5" customHeight="1" x14ac:dyDescent="0.25">
      <c r="A6867" s="1"/>
    </row>
    <row r="6868" spans="1:1" ht="46.5" customHeight="1" x14ac:dyDescent="0.25">
      <c r="A6868" s="1"/>
    </row>
    <row r="6869" spans="1:1" ht="46.5" customHeight="1" x14ac:dyDescent="0.25">
      <c r="A6869" s="1"/>
    </row>
    <row r="6870" spans="1:1" ht="46.5" customHeight="1" x14ac:dyDescent="0.25">
      <c r="A6870" s="1"/>
    </row>
    <row r="6871" spans="1:1" ht="46.5" customHeight="1" x14ac:dyDescent="0.25">
      <c r="A6871" s="1"/>
    </row>
    <row r="6872" spans="1:1" ht="46.5" customHeight="1" x14ac:dyDescent="0.25">
      <c r="A6872" s="1"/>
    </row>
    <row r="6873" spans="1:1" ht="46.5" customHeight="1" x14ac:dyDescent="0.25">
      <c r="A6873" s="1"/>
    </row>
    <row r="6874" spans="1:1" ht="46.5" customHeight="1" x14ac:dyDescent="0.25">
      <c r="A6874" s="1"/>
    </row>
    <row r="6875" spans="1:1" ht="46.5" customHeight="1" x14ac:dyDescent="0.25">
      <c r="A6875" s="1"/>
    </row>
    <row r="6876" spans="1:1" ht="46.5" customHeight="1" x14ac:dyDescent="0.25">
      <c r="A6876" s="1"/>
    </row>
    <row r="6877" spans="1:1" ht="46.5" customHeight="1" x14ac:dyDescent="0.25">
      <c r="A6877" s="1"/>
    </row>
    <row r="6878" spans="1:1" ht="46.5" customHeight="1" x14ac:dyDescent="0.25">
      <c r="A6878" s="1"/>
    </row>
    <row r="6879" spans="1:1" ht="46.5" customHeight="1" x14ac:dyDescent="0.25">
      <c r="A6879" s="1"/>
    </row>
    <row r="6880" spans="1:1" ht="46.5" customHeight="1" x14ac:dyDescent="0.25">
      <c r="A6880" s="1"/>
    </row>
    <row r="6881" spans="1:1" ht="46.5" customHeight="1" x14ac:dyDescent="0.25">
      <c r="A6881" s="1"/>
    </row>
    <row r="6882" spans="1:1" ht="46.5" customHeight="1" x14ac:dyDescent="0.25">
      <c r="A6882" s="1"/>
    </row>
    <row r="6883" spans="1:1" ht="46.5" customHeight="1" x14ac:dyDescent="0.25">
      <c r="A6883" s="1"/>
    </row>
    <row r="6884" spans="1:1" ht="46.5" customHeight="1" x14ac:dyDescent="0.25">
      <c r="A6884" s="1"/>
    </row>
    <row r="6885" spans="1:1" ht="46.5" customHeight="1" x14ac:dyDescent="0.25">
      <c r="A6885" s="1"/>
    </row>
    <row r="6886" spans="1:1" ht="46.5" customHeight="1" x14ac:dyDescent="0.25">
      <c r="A6886" s="1"/>
    </row>
    <row r="6887" spans="1:1" ht="46.5" customHeight="1" x14ac:dyDescent="0.25">
      <c r="A6887" s="1"/>
    </row>
    <row r="6888" spans="1:1" ht="46.5" customHeight="1" x14ac:dyDescent="0.25">
      <c r="A6888" s="1"/>
    </row>
    <row r="6889" spans="1:1" ht="46.5" customHeight="1" x14ac:dyDescent="0.25">
      <c r="A6889" s="1"/>
    </row>
    <row r="6890" spans="1:1" ht="46.5" customHeight="1" x14ac:dyDescent="0.25">
      <c r="A6890" s="1"/>
    </row>
    <row r="6891" spans="1:1" ht="46.5" customHeight="1" x14ac:dyDescent="0.25">
      <c r="A6891" s="1"/>
    </row>
    <row r="6892" spans="1:1" ht="46.5" customHeight="1" x14ac:dyDescent="0.25">
      <c r="A6892" s="1"/>
    </row>
    <row r="6893" spans="1:1" ht="46.5" customHeight="1" x14ac:dyDescent="0.25">
      <c r="A6893" s="1"/>
    </row>
    <row r="6894" spans="1:1" ht="46.5" customHeight="1" x14ac:dyDescent="0.25">
      <c r="A6894" s="1"/>
    </row>
    <row r="6895" spans="1:1" ht="46.5" customHeight="1" x14ac:dyDescent="0.25">
      <c r="A6895" s="1"/>
    </row>
    <row r="6896" spans="1:1" ht="46.5" customHeight="1" x14ac:dyDescent="0.25">
      <c r="A6896" s="1"/>
    </row>
    <row r="6897" spans="1:1" ht="46.5" customHeight="1" x14ac:dyDescent="0.25">
      <c r="A6897" s="1"/>
    </row>
    <row r="6898" spans="1:1" ht="46.5" customHeight="1" x14ac:dyDescent="0.25">
      <c r="A6898" s="1"/>
    </row>
    <row r="6899" spans="1:1" ht="46.5" customHeight="1" x14ac:dyDescent="0.25">
      <c r="A6899" s="1"/>
    </row>
    <row r="6900" spans="1:1" ht="46.5" customHeight="1" x14ac:dyDescent="0.25">
      <c r="A6900" s="1"/>
    </row>
    <row r="6901" spans="1:1" ht="46.5" customHeight="1" x14ac:dyDescent="0.25">
      <c r="A6901" s="1"/>
    </row>
    <row r="6902" spans="1:1" ht="46.5" customHeight="1" x14ac:dyDescent="0.25">
      <c r="A6902" s="1"/>
    </row>
    <row r="6903" spans="1:1" ht="46.5" customHeight="1" x14ac:dyDescent="0.25">
      <c r="A6903" s="1"/>
    </row>
    <row r="6904" spans="1:1" ht="46.5" customHeight="1" x14ac:dyDescent="0.25">
      <c r="A6904" s="1"/>
    </row>
    <row r="6905" spans="1:1" ht="46.5" customHeight="1" x14ac:dyDescent="0.25">
      <c r="A6905" s="1"/>
    </row>
    <row r="6906" spans="1:1" ht="46.5" customHeight="1" x14ac:dyDescent="0.25">
      <c r="A6906" s="1"/>
    </row>
    <row r="6907" spans="1:1" ht="46.5" customHeight="1" x14ac:dyDescent="0.25">
      <c r="A6907" s="1"/>
    </row>
    <row r="6908" spans="1:1" ht="46.5" customHeight="1" x14ac:dyDescent="0.25">
      <c r="A6908" s="1"/>
    </row>
    <row r="6909" spans="1:1" ht="46.5" customHeight="1" x14ac:dyDescent="0.25">
      <c r="A6909" s="1"/>
    </row>
    <row r="6910" spans="1:1" ht="46.5" customHeight="1" x14ac:dyDescent="0.25">
      <c r="A6910" s="1"/>
    </row>
    <row r="6911" spans="1:1" ht="46.5" customHeight="1" x14ac:dyDescent="0.25">
      <c r="A6911" s="1"/>
    </row>
    <row r="6912" spans="1:1" ht="46.5" customHeight="1" x14ac:dyDescent="0.25">
      <c r="A6912" s="1"/>
    </row>
    <row r="6913" spans="1:1" ht="46.5" customHeight="1" x14ac:dyDescent="0.25">
      <c r="A6913" s="1"/>
    </row>
    <row r="6914" spans="1:1" ht="46.5" customHeight="1" x14ac:dyDescent="0.25">
      <c r="A6914" s="1"/>
    </row>
    <row r="6915" spans="1:1" ht="46.5" customHeight="1" x14ac:dyDescent="0.25">
      <c r="A6915" s="1"/>
    </row>
    <row r="6916" spans="1:1" ht="46.5" customHeight="1" x14ac:dyDescent="0.25">
      <c r="A6916" s="1"/>
    </row>
    <row r="6917" spans="1:1" ht="46.5" customHeight="1" x14ac:dyDescent="0.25">
      <c r="A6917" s="1"/>
    </row>
    <row r="6918" spans="1:1" ht="46.5" customHeight="1" x14ac:dyDescent="0.25">
      <c r="A6918" s="1"/>
    </row>
    <row r="6919" spans="1:1" ht="46.5" customHeight="1" x14ac:dyDescent="0.25">
      <c r="A6919" s="1"/>
    </row>
    <row r="6920" spans="1:1" ht="46.5" customHeight="1" x14ac:dyDescent="0.25">
      <c r="A6920" s="1"/>
    </row>
    <row r="6921" spans="1:1" ht="46.5" customHeight="1" x14ac:dyDescent="0.25">
      <c r="A6921" s="1"/>
    </row>
    <row r="6922" spans="1:1" ht="46.5" customHeight="1" x14ac:dyDescent="0.25">
      <c r="A6922" s="1"/>
    </row>
    <row r="6923" spans="1:1" ht="46.5" customHeight="1" x14ac:dyDescent="0.25">
      <c r="A6923" s="1"/>
    </row>
    <row r="6924" spans="1:1" ht="46.5" customHeight="1" x14ac:dyDescent="0.25">
      <c r="A6924" s="1"/>
    </row>
    <row r="6925" spans="1:1" ht="46.5" customHeight="1" x14ac:dyDescent="0.25">
      <c r="A6925" s="1"/>
    </row>
    <row r="6926" spans="1:1" ht="46.5" customHeight="1" x14ac:dyDescent="0.25">
      <c r="A6926" s="1"/>
    </row>
    <row r="6927" spans="1:1" ht="46.5" customHeight="1" x14ac:dyDescent="0.25">
      <c r="A6927" s="1"/>
    </row>
    <row r="6928" spans="1:1" ht="46.5" customHeight="1" x14ac:dyDescent="0.25">
      <c r="A6928" s="1"/>
    </row>
    <row r="6929" spans="1:1" ht="46.5" customHeight="1" x14ac:dyDescent="0.25">
      <c r="A6929" s="1"/>
    </row>
    <row r="6930" spans="1:1" ht="46.5" customHeight="1" x14ac:dyDescent="0.25">
      <c r="A6930" s="1"/>
    </row>
    <row r="6931" spans="1:1" ht="46.5" customHeight="1" x14ac:dyDescent="0.25">
      <c r="A6931" s="1"/>
    </row>
    <row r="6932" spans="1:1" ht="46.5" customHeight="1" x14ac:dyDescent="0.25">
      <c r="A6932" s="1"/>
    </row>
    <row r="6933" spans="1:1" ht="46.5" customHeight="1" x14ac:dyDescent="0.25">
      <c r="A6933" s="1"/>
    </row>
    <row r="6934" spans="1:1" ht="46.5" customHeight="1" x14ac:dyDescent="0.25">
      <c r="A6934" s="1"/>
    </row>
    <row r="6935" spans="1:1" ht="46.5" customHeight="1" x14ac:dyDescent="0.25">
      <c r="A6935" s="1"/>
    </row>
    <row r="6936" spans="1:1" ht="46.5" customHeight="1" x14ac:dyDescent="0.25">
      <c r="A6936" s="1"/>
    </row>
    <row r="6937" spans="1:1" ht="46.5" customHeight="1" x14ac:dyDescent="0.25">
      <c r="A6937" s="1"/>
    </row>
    <row r="6938" spans="1:1" ht="46.5" customHeight="1" x14ac:dyDescent="0.25">
      <c r="A6938" s="1"/>
    </row>
    <row r="6939" spans="1:1" ht="46.5" customHeight="1" x14ac:dyDescent="0.25">
      <c r="A6939" s="1"/>
    </row>
    <row r="6940" spans="1:1" ht="46.5" customHeight="1" x14ac:dyDescent="0.25">
      <c r="A6940" s="1"/>
    </row>
    <row r="6941" spans="1:1" ht="46.5" customHeight="1" x14ac:dyDescent="0.25">
      <c r="A6941" s="1"/>
    </row>
    <row r="6942" spans="1:1" ht="46.5" customHeight="1" x14ac:dyDescent="0.25">
      <c r="A6942" s="1"/>
    </row>
    <row r="6943" spans="1:1" ht="46.5" customHeight="1" x14ac:dyDescent="0.25">
      <c r="A6943" s="1"/>
    </row>
    <row r="6944" spans="1:1" ht="46.5" customHeight="1" x14ac:dyDescent="0.25">
      <c r="A6944" s="1"/>
    </row>
    <row r="6945" spans="1:1" ht="46.5" customHeight="1" x14ac:dyDescent="0.25">
      <c r="A6945" s="1"/>
    </row>
    <row r="6946" spans="1:1" ht="46.5" customHeight="1" x14ac:dyDescent="0.25">
      <c r="A6946" s="1"/>
    </row>
    <row r="6947" spans="1:1" ht="46.5" customHeight="1" x14ac:dyDescent="0.25">
      <c r="A6947" s="1"/>
    </row>
    <row r="6948" spans="1:1" ht="46.5" customHeight="1" x14ac:dyDescent="0.25">
      <c r="A6948" s="1"/>
    </row>
    <row r="6949" spans="1:1" ht="46.5" customHeight="1" x14ac:dyDescent="0.25">
      <c r="A6949" s="1"/>
    </row>
    <row r="6950" spans="1:1" ht="46.5" customHeight="1" x14ac:dyDescent="0.25">
      <c r="A6950" s="1"/>
    </row>
    <row r="6951" spans="1:1" ht="46.5" customHeight="1" x14ac:dyDescent="0.25">
      <c r="A6951" s="1"/>
    </row>
    <row r="6952" spans="1:1" ht="46.5" customHeight="1" x14ac:dyDescent="0.25">
      <c r="A6952" s="1"/>
    </row>
    <row r="6953" spans="1:1" ht="46.5" customHeight="1" x14ac:dyDescent="0.25">
      <c r="A6953" s="1"/>
    </row>
    <row r="6954" spans="1:1" ht="46.5" customHeight="1" x14ac:dyDescent="0.25">
      <c r="A6954" s="1"/>
    </row>
    <row r="6955" spans="1:1" ht="46.5" customHeight="1" x14ac:dyDescent="0.25">
      <c r="A6955" s="1"/>
    </row>
    <row r="6956" spans="1:1" ht="46.5" customHeight="1" x14ac:dyDescent="0.25">
      <c r="A6956" s="1"/>
    </row>
    <row r="6957" spans="1:1" ht="46.5" customHeight="1" x14ac:dyDescent="0.25">
      <c r="A6957" s="1"/>
    </row>
    <row r="6958" spans="1:1" ht="46.5" customHeight="1" x14ac:dyDescent="0.25">
      <c r="A6958" s="1"/>
    </row>
    <row r="6959" spans="1:1" ht="46.5" customHeight="1" x14ac:dyDescent="0.25">
      <c r="A6959" s="1"/>
    </row>
    <row r="6960" spans="1:1" ht="46.5" customHeight="1" x14ac:dyDescent="0.25">
      <c r="A6960" s="1"/>
    </row>
    <row r="6961" spans="1:1" ht="46.5" customHeight="1" x14ac:dyDescent="0.25">
      <c r="A6961" s="1"/>
    </row>
    <row r="6962" spans="1:1" ht="46.5" customHeight="1" x14ac:dyDescent="0.25">
      <c r="A6962" s="1"/>
    </row>
    <row r="6963" spans="1:1" ht="46.5" customHeight="1" x14ac:dyDescent="0.25">
      <c r="A6963" s="1"/>
    </row>
    <row r="6964" spans="1:1" ht="46.5" customHeight="1" x14ac:dyDescent="0.25">
      <c r="A6964" s="1"/>
    </row>
    <row r="6965" spans="1:1" ht="46.5" customHeight="1" x14ac:dyDescent="0.25">
      <c r="A6965" s="1"/>
    </row>
    <row r="6966" spans="1:1" ht="46.5" customHeight="1" x14ac:dyDescent="0.25">
      <c r="A6966" s="1"/>
    </row>
    <row r="6967" spans="1:1" ht="46.5" customHeight="1" x14ac:dyDescent="0.25">
      <c r="A6967" s="1"/>
    </row>
    <row r="6968" spans="1:1" ht="46.5" customHeight="1" x14ac:dyDescent="0.25">
      <c r="A6968" s="1"/>
    </row>
    <row r="6969" spans="1:1" ht="46.5" customHeight="1" x14ac:dyDescent="0.25">
      <c r="A6969" s="1"/>
    </row>
    <row r="6970" spans="1:1" ht="46.5" customHeight="1" x14ac:dyDescent="0.25">
      <c r="A6970" s="1"/>
    </row>
    <row r="6971" spans="1:1" ht="46.5" customHeight="1" x14ac:dyDescent="0.25">
      <c r="A6971" s="1"/>
    </row>
    <row r="6972" spans="1:1" ht="46.5" customHeight="1" x14ac:dyDescent="0.25">
      <c r="A6972" s="1"/>
    </row>
    <row r="6973" spans="1:1" ht="46.5" customHeight="1" x14ac:dyDescent="0.25">
      <c r="A6973" s="1"/>
    </row>
    <row r="6974" spans="1:1" ht="46.5" customHeight="1" x14ac:dyDescent="0.25">
      <c r="A6974" s="1"/>
    </row>
    <row r="6975" spans="1:1" ht="46.5" customHeight="1" x14ac:dyDescent="0.25">
      <c r="A6975" s="1"/>
    </row>
    <row r="6976" spans="1:1" ht="46.5" customHeight="1" x14ac:dyDescent="0.25">
      <c r="A6976" s="1"/>
    </row>
    <row r="6977" spans="1:1" ht="46.5" customHeight="1" x14ac:dyDescent="0.25">
      <c r="A6977" s="1"/>
    </row>
    <row r="6978" spans="1:1" ht="46.5" customHeight="1" x14ac:dyDescent="0.25">
      <c r="A6978" s="1"/>
    </row>
    <row r="6979" spans="1:1" ht="46.5" customHeight="1" x14ac:dyDescent="0.25">
      <c r="A6979" s="1"/>
    </row>
    <row r="6980" spans="1:1" ht="46.5" customHeight="1" x14ac:dyDescent="0.25">
      <c r="A6980" s="1"/>
    </row>
    <row r="6981" spans="1:1" ht="46.5" customHeight="1" x14ac:dyDescent="0.25">
      <c r="A6981" s="1"/>
    </row>
    <row r="6982" spans="1:1" ht="46.5" customHeight="1" x14ac:dyDescent="0.25">
      <c r="A6982" s="1"/>
    </row>
    <row r="6983" spans="1:1" ht="46.5" customHeight="1" x14ac:dyDescent="0.25">
      <c r="A6983" s="1"/>
    </row>
    <row r="6984" spans="1:1" ht="46.5" customHeight="1" x14ac:dyDescent="0.25">
      <c r="A6984" s="1"/>
    </row>
    <row r="6985" spans="1:1" ht="46.5" customHeight="1" x14ac:dyDescent="0.25">
      <c r="A6985" s="1"/>
    </row>
    <row r="6986" spans="1:1" ht="46.5" customHeight="1" x14ac:dyDescent="0.25">
      <c r="A6986" s="1"/>
    </row>
    <row r="6987" spans="1:1" ht="46.5" customHeight="1" x14ac:dyDescent="0.25">
      <c r="A6987" s="1"/>
    </row>
    <row r="6988" spans="1:1" ht="46.5" customHeight="1" x14ac:dyDescent="0.25">
      <c r="A6988" s="1"/>
    </row>
    <row r="6989" spans="1:1" ht="46.5" customHeight="1" x14ac:dyDescent="0.25">
      <c r="A6989" s="1"/>
    </row>
    <row r="6990" spans="1:1" ht="46.5" customHeight="1" x14ac:dyDescent="0.25">
      <c r="A6990" s="1"/>
    </row>
    <row r="6991" spans="1:1" ht="46.5" customHeight="1" x14ac:dyDescent="0.25">
      <c r="A6991" s="1"/>
    </row>
    <row r="6992" spans="1:1" ht="46.5" customHeight="1" x14ac:dyDescent="0.25">
      <c r="A6992" s="1"/>
    </row>
    <row r="6993" spans="1:1" ht="46.5" customHeight="1" x14ac:dyDescent="0.25">
      <c r="A6993" s="1"/>
    </row>
    <row r="6994" spans="1:1" ht="46.5" customHeight="1" x14ac:dyDescent="0.25">
      <c r="A6994" s="1"/>
    </row>
    <row r="6995" spans="1:1" ht="46.5" customHeight="1" x14ac:dyDescent="0.25">
      <c r="A6995" s="1"/>
    </row>
    <row r="6996" spans="1:1" ht="46.5" customHeight="1" x14ac:dyDescent="0.25">
      <c r="A6996" s="1"/>
    </row>
    <row r="6997" spans="1:1" ht="46.5" customHeight="1" x14ac:dyDescent="0.25">
      <c r="A6997" s="1"/>
    </row>
    <row r="6998" spans="1:1" ht="46.5" customHeight="1" x14ac:dyDescent="0.25">
      <c r="A6998" s="1"/>
    </row>
    <row r="6999" spans="1:1" ht="46.5" customHeight="1" x14ac:dyDescent="0.25">
      <c r="A6999" s="1"/>
    </row>
    <row r="7000" spans="1:1" ht="46.5" customHeight="1" x14ac:dyDescent="0.25">
      <c r="A7000" s="1"/>
    </row>
    <row r="7001" spans="1:1" ht="46.5" customHeight="1" x14ac:dyDescent="0.25">
      <c r="A7001" s="1"/>
    </row>
    <row r="7002" spans="1:1" ht="46.5" customHeight="1" x14ac:dyDescent="0.25">
      <c r="A7002" s="1"/>
    </row>
    <row r="7003" spans="1:1" ht="46.5" customHeight="1" x14ac:dyDescent="0.25">
      <c r="A7003" s="1"/>
    </row>
    <row r="7004" spans="1:1" ht="46.5" customHeight="1" x14ac:dyDescent="0.25">
      <c r="A7004" s="1"/>
    </row>
    <row r="7005" spans="1:1" ht="46.5" customHeight="1" x14ac:dyDescent="0.25">
      <c r="A7005" s="1"/>
    </row>
    <row r="7006" spans="1:1" ht="46.5" customHeight="1" x14ac:dyDescent="0.25">
      <c r="A7006" s="1"/>
    </row>
    <row r="7007" spans="1:1" ht="46.5" customHeight="1" x14ac:dyDescent="0.25">
      <c r="A7007" s="1"/>
    </row>
    <row r="7008" spans="1:1" ht="46.5" customHeight="1" x14ac:dyDescent="0.25">
      <c r="A7008" s="1"/>
    </row>
    <row r="7009" spans="1:1" ht="46.5" customHeight="1" x14ac:dyDescent="0.25">
      <c r="A7009" s="1"/>
    </row>
    <row r="7010" spans="1:1" ht="46.5" customHeight="1" x14ac:dyDescent="0.25">
      <c r="A7010" s="1"/>
    </row>
    <row r="7011" spans="1:1" ht="46.5" customHeight="1" x14ac:dyDescent="0.25">
      <c r="A7011" s="1"/>
    </row>
    <row r="7012" spans="1:1" ht="46.5" customHeight="1" x14ac:dyDescent="0.25">
      <c r="A7012" s="1"/>
    </row>
    <row r="7013" spans="1:1" ht="46.5" customHeight="1" x14ac:dyDescent="0.25">
      <c r="A7013" s="1"/>
    </row>
    <row r="7014" spans="1:1" ht="46.5" customHeight="1" x14ac:dyDescent="0.25">
      <c r="A7014" s="1"/>
    </row>
    <row r="7015" spans="1:1" ht="46.5" customHeight="1" x14ac:dyDescent="0.25">
      <c r="A7015" s="1"/>
    </row>
    <row r="7016" spans="1:1" ht="46.5" customHeight="1" x14ac:dyDescent="0.25">
      <c r="A7016" s="1"/>
    </row>
    <row r="7017" spans="1:1" ht="46.5" customHeight="1" x14ac:dyDescent="0.25">
      <c r="A7017" s="1"/>
    </row>
    <row r="7018" spans="1:1" ht="46.5" customHeight="1" x14ac:dyDescent="0.25">
      <c r="A7018" s="1"/>
    </row>
    <row r="7019" spans="1:1" ht="46.5" customHeight="1" x14ac:dyDescent="0.25">
      <c r="A7019" s="1"/>
    </row>
    <row r="7020" spans="1:1" ht="46.5" customHeight="1" x14ac:dyDescent="0.25">
      <c r="A7020" s="1"/>
    </row>
    <row r="7021" spans="1:1" ht="46.5" customHeight="1" x14ac:dyDescent="0.25">
      <c r="A7021" s="1"/>
    </row>
    <row r="7022" spans="1:1" ht="46.5" customHeight="1" x14ac:dyDescent="0.25">
      <c r="A7022" s="1"/>
    </row>
    <row r="7023" spans="1:1" ht="46.5" customHeight="1" x14ac:dyDescent="0.25">
      <c r="A7023" s="1"/>
    </row>
    <row r="7024" spans="1:1" ht="46.5" customHeight="1" x14ac:dyDescent="0.25">
      <c r="A7024" s="1"/>
    </row>
    <row r="7025" spans="1:1" ht="46.5" customHeight="1" x14ac:dyDescent="0.25">
      <c r="A7025" s="1"/>
    </row>
    <row r="7026" spans="1:1" ht="46.5" customHeight="1" x14ac:dyDescent="0.25">
      <c r="A7026" s="1"/>
    </row>
    <row r="7027" spans="1:1" ht="46.5" customHeight="1" x14ac:dyDescent="0.25">
      <c r="A7027" s="1"/>
    </row>
    <row r="7028" spans="1:1" ht="46.5" customHeight="1" x14ac:dyDescent="0.25">
      <c r="A7028" s="1"/>
    </row>
    <row r="7029" spans="1:1" ht="46.5" customHeight="1" x14ac:dyDescent="0.25">
      <c r="A7029" s="1"/>
    </row>
    <row r="7030" spans="1:1" ht="46.5" customHeight="1" x14ac:dyDescent="0.25">
      <c r="A7030" s="1"/>
    </row>
    <row r="7031" spans="1:1" ht="46.5" customHeight="1" x14ac:dyDescent="0.25">
      <c r="A7031" s="1"/>
    </row>
    <row r="7032" spans="1:1" ht="46.5" customHeight="1" x14ac:dyDescent="0.25">
      <c r="A7032" s="1"/>
    </row>
    <row r="7033" spans="1:1" ht="46.5" customHeight="1" x14ac:dyDescent="0.25">
      <c r="A7033" s="1"/>
    </row>
    <row r="7034" spans="1:1" ht="46.5" customHeight="1" x14ac:dyDescent="0.25">
      <c r="A7034" s="1"/>
    </row>
    <row r="7035" spans="1:1" ht="46.5" customHeight="1" x14ac:dyDescent="0.25">
      <c r="A7035" s="1"/>
    </row>
    <row r="7036" spans="1:1" ht="46.5" customHeight="1" x14ac:dyDescent="0.25">
      <c r="A7036" s="1"/>
    </row>
    <row r="7037" spans="1:1" ht="46.5" customHeight="1" x14ac:dyDescent="0.25">
      <c r="A7037" s="1"/>
    </row>
    <row r="7038" spans="1:1" ht="46.5" customHeight="1" x14ac:dyDescent="0.25">
      <c r="A7038" s="1"/>
    </row>
    <row r="7039" spans="1:1" ht="46.5" customHeight="1" x14ac:dyDescent="0.25">
      <c r="A7039" s="1"/>
    </row>
    <row r="7040" spans="1:1" ht="46.5" customHeight="1" x14ac:dyDescent="0.25">
      <c r="A7040" s="1"/>
    </row>
    <row r="7041" spans="1:1" ht="46.5" customHeight="1" x14ac:dyDescent="0.25">
      <c r="A7041" s="1"/>
    </row>
    <row r="7042" spans="1:1" ht="46.5" customHeight="1" x14ac:dyDescent="0.25">
      <c r="A7042" s="1"/>
    </row>
    <row r="7043" spans="1:1" ht="46.5" customHeight="1" x14ac:dyDescent="0.25">
      <c r="A7043" s="1"/>
    </row>
    <row r="7044" spans="1:1" ht="46.5" customHeight="1" x14ac:dyDescent="0.25">
      <c r="A7044" s="1"/>
    </row>
    <row r="7045" spans="1:1" ht="46.5" customHeight="1" x14ac:dyDescent="0.25">
      <c r="A7045" s="1"/>
    </row>
    <row r="7046" spans="1:1" ht="46.5" customHeight="1" x14ac:dyDescent="0.25">
      <c r="A7046" s="1"/>
    </row>
    <row r="7047" spans="1:1" ht="46.5" customHeight="1" x14ac:dyDescent="0.25">
      <c r="A7047" s="1"/>
    </row>
    <row r="7048" spans="1:1" ht="46.5" customHeight="1" x14ac:dyDescent="0.25">
      <c r="A7048" s="1"/>
    </row>
    <row r="7049" spans="1:1" ht="46.5" customHeight="1" x14ac:dyDescent="0.25">
      <c r="A7049" s="1"/>
    </row>
    <row r="7050" spans="1:1" ht="46.5" customHeight="1" x14ac:dyDescent="0.25">
      <c r="A7050" s="1"/>
    </row>
    <row r="7051" spans="1:1" ht="46.5" customHeight="1" x14ac:dyDescent="0.25">
      <c r="A7051" s="1"/>
    </row>
    <row r="7052" spans="1:1" ht="46.5" customHeight="1" x14ac:dyDescent="0.25">
      <c r="A7052" s="1"/>
    </row>
    <row r="7053" spans="1:1" ht="46.5" customHeight="1" x14ac:dyDescent="0.25">
      <c r="A7053" s="1"/>
    </row>
    <row r="7054" spans="1:1" ht="46.5" customHeight="1" x14ac:dyDescent="0.25">
      <c r="A7054" s="1"/>
    </row>
    <row r="7055" spans="1:1" ht="46.5" customHeight="1" x14ac:dyDescent="0.25">
      <c r="A7055" s="1"/>
    </row>
    <row r="7056" spans="1:1" ht="46.5" customHeight="1" x14ac:dyDescent="0.25">
      <c r="A7056" s="1"/>
    </row>
    <row r="7057" spans="1:1" ht="46.5" customHeight="1" x14ac:dyDescent="0.25">
      <c r="A7057" s="1"/>
    </row>
    <row r="7058" spans="1:1" ht="46.5" customHeight="1" x14ac:dyDescent="0.25">
      <c r="A7058" s="1"/>
    </row>
    <row r="7059" spans="1:1" ht="46.5" customHeight="1" x14ac:dyDescent="0.25">
      <c r="A7059" s="1"/>
    </row>
    <row r="7060" spans="1:1" ht="46.5" customHeight="1" x14ac:dyDescent="0.25">
      <c r="A7060" s="1"/>
    </row>
    <row r="7061" spans="1:1" ht="46.5" customHeight="1" x14ac:dyDescent="0.25">
      <c r="A7061" s="1"/>
    </row>
    <row r="7062" spans="1:1" ht="46.5" customHeight="1" x14ac:dyDescent="0.25">
      <c r="A7062" s="1"/>
    </row>
    <row r="7063" spans="1:1" ht="46.5" customHeight="1" x14ac:dyDescent="0.25">
      <c r="A7063" s="1"/>
    </row>
    <row r="7064" spans="1:1" ht="46.5" customHeight="1" x14ac:dyDescent="0.25">
      <c r="A7064" s="1"/>
    </row>
    <row r="7065" spans="1:1" ht="46.5" customHeight="1" x14ac:dyDescent="0.25">
      <c r="A7065" s="1"/>
    </row>
    <row r="7066" spans="1:1" ht="46.5" customHeight="1" x14ac:dyDescent="0.25">
      <c r="A7066" s="1"/>
    </row>
    <row r="7067" spans="1:1" ht="46.5" customHeight="1" x14ac:dyDescent="0.25">
      <c r="A7067" s="1"/>
    </row>
    <row r="7068" spans="1:1" ht="46.5" customHeight="1" x14ac:dyDescent="0.25">
      <c r="A7068" s="1"/>
    </row>
    <row r="7069" spans="1:1" ht="46.5" customHeight="1" x14ac:dyDescent="0.25">
      <c r="A7069" s="1"/>
    </row>
    <row r="7070" spans="1:1" ht="46.5" customHeight="1" x14ac:dyDescent="0.25">
      <c r="A7070" s="1"/>
    </row>
    <row r="7071" spans="1:1" ht="46.5" customHeight="1" x14ac:dyDescent="0.25">
      <c r="A7071" s="1"/>
    </row>
    <row r="7072" spans="1:1" ht="46.5" customHeight="1" x14ac:dyDescent="0.25">
      <c r="A7072" s="1"/>
    </row>
    <row r="7073" spans="1:1" ht="46.5" customHeight="1" x14ac:dyDescent="0.25">
      <c r="A7073" s="1"/>
    </row>
    <row r="7074" spans="1:1" ht="46.5" customHeight="1" x14ac:dyDescent="0.25">
      <c r="A7074" s="1"/>
    </row>
    <row r="7075" spans="1:1" ht="46.5" customHeight="1" x14ac:dyDescent="0.25">
      <c r="A7075" s="1"/>
    </row>
    <row r="7076" spans="1:1" ht="46.5" customHeight="1" x14ac:dyDescent="0.25">
      <c r="A7076" s="1"/>
    </row>
    <row r="7077" spans="1:1" ht="46.5" customHeight="1" x14ac:dyDescent="0.25">
      <c r="A7077" s="1"/>
    </row>
    <row r="7078" spans="1:1" ht="46.5" customHeight="1" x14ac:dyDescent="0.25">
      <c r="A7078" s="1"/>
    </row>
    <row r="7079" spans="1:1" ht="46.5" customHeight="1" x14ac:dyDescent="0.25">
      <c r="A7079" s="1"/>
    </row>
    <row r="7080" spans="1:1" ht="46.5" customHeight="1" x14ac:dyDescent="0.25">
      <c r="A7080" s="1"/>
    </row>
    <row r="7081" spans="1:1" ht="46.5" customHeight="1" x14ac:dyDescent="0.25">
      <c r="A7081" s="1"/>
    </row>
    <row r="7082" spans="1:1" ht="46.5" customHeight="1" x14ac:dyDescent="0.25">
      <c r="A7082" s="1"/>
    </row>
    <row r="7083" spans="1:1" ht="46.5" customHeight="1" x14ac:dyDescent="0.25">
      <c r="A7083" s="1"/>
    </row>
    <row r="7084" spans="1:1" ht="46.5" customHeight="1" x14ac:dyDescent="0.25">
      <c r="A7084" s="1"/>
    </row>
    <row r="7085" spans="1:1" ht="46.5" customHeight="1" x14ac:dyDescent="0.25">
      <c r="A7085" s="1"/>
    </row>
    <row r="7086" spans="1:1" ht="46.5" customHeight="1" x14ac:dyDescent="0.25">
      <c r="A7086" s="1"/>
    </row>
    <row r="7087" spans="1:1" ht="46.5" customHeight="1" x14ac:dyDescent="0.25">
      <c r="A7087" s="1"/>
    </row>
    <row r="7088" spans="1:1" ht="46.5" customHeight="1" x14ac:dyDescent="0.25">
      <c r="A7088" s="1"/>
    </row>
    <row r="7089" spans="1:1" ht="46.5" customHeight="1" x14ac:dyDescent="0.25">
      <c r="A7089" s="1"/>
    </row>
    <row r="7090" spans="1:1" ht="46.5" customHeight="1" x14ac:dyDescent="0.25">
      <c r="A7090" s="1"/>
    </row>
    <row r="7091" spans="1:1" ht="46.5" customHeight="1" x14ac:dyDescent="0.25">
      <c r="A7091" s="1"/>
    </row>
    <row r="7092" spans="1:1" ht="46.5" customHeight="1" x14ac:dyDescent="0.25">
      <c r="A7092" s="1"/>
    </row>
    <row r="7093" spans="1:1" ht="46.5" customHeight="1" x14ac:dyDescent="0.25">
      <c r="A7093" s="1"/>
    </row>
    <row r="7094" spans="1:1" ht="46.5" customHeight="1" x14ac:dyDescent="0.25">
      <c r="A7094" s="1"/>
    </row>
    <row r="7095" spans="1:1" ht="46.5" customHeight="1" x14ac:dyDescent="0.25">
      <c r="A7095" s="1"/>
    </row>
    <row r="7096" spans="1:1" ht="46.5" customHeight="1" x14ac:dyDescent="0.25">
      <c r="A7096" s="1"/>
    </row>
    <row r="7097" spans="1:1" ht="46.5" customHeight="1" x14ac:dyDescent="0.25">
      <c r="A7097" s="1"/>
    </row>
    <row r="7098" spans="1:1" ht="46.5" customHeight="1" x14ac:dyDescent="0.25">
      <c r="A7098" s="1"/>
    </row>
    <row r="7099" spans="1:1" ht="46.5" customHeight="1" x14ac:dyDescent="0.25">
      <c r="A7099" s="1"/>
    </row>
    <row r="7100" spans="1:1" ht="46.5" customHeight="1" x14ac:dyDescent="0.25">
      <c r="A7100" s="1"/>
    </row>
    <row r="7101" spans="1:1" ht="46.5" customHeight="1" x14ac:dyDescent="0.25">
      <c r="A7101" s="1"/>
    </row>
    <row r="7102" spans="1:1" ht="46.5" customHeight="1" x14ac:dyDescent="0.25">
      <c r="A7102" s="1"/>
    </row>
    <row r="7103" spans="1:1" ht="46.5" customHeight="1" x14ac:dyDescent="0.25">
      <c r="A7103" s="1"/>
    </row>
    <row r="7104" spans="1:1" ht="46.5" customHeight="1" x14ac:dyDescent="0.25">
      <c r="A7104" s="1"/>
    </row>
    <row r="7105" spans="1:1" ht="46.5" customHeight="1" x14ac:dyDescent="0.25">
      <c r="A7105" s="1"/>
    </row>
    <row r="7106" spans="1:1" ht="46.5" customHeight="1" x14ac:dyDescent="0.25">
      <c r="A7106" s="1"/>
    </row>
    <row r="7107" spans="1:1" ht="46.5" customHeight="1" x14ac:dyDescent="0.25">
      <c r="A7107" s="1"/>
    </row>
    <row r="7108" spans="1:1" ht="46.5" customHeight="1" x14ac:dyDescent="0.25">
      <c r="A7108" s="1"/>
    </row>
    <row r="7109" spans="1:1" ht="46.5" customHeight="1" x14ac:dyDescent="0.25">
      <c r="A7109" s="1"/>
    </row>
    <row r="7110" spans="1:1" ht="46.5" customHeight="1" x14ac:dyDescent="0.25">
      <c r="A7110" s="1"/>
    </row>
    <row r="7111" spans="1:1" ht="46.5" customHeight="1" x14ac:dyDescent="0.25">
      <c r="A7111" s="1"/>
    </row>
    <row r="7112" spans="1:1" ht="46.5" customHeight="1" x14ac:dyDescent="0.25">
      <c r="A7112" s="1"/>
    </row>
    <row r="7113" spans="1:1" ht="46.5" customHeight="1" x14ac:dyDescent="0.25">
      <c r="A7113" s="1"/>
    </row>
    <row r="7114" spans="1:1" ht="46.5" customHeight="1" x14ac:dyDescent="0.25">
      <c r="A7114" s="1"/>
    </row>
    <row r="7115" spans="1:1" ht="46.5" customHeight="1" x14ac:dyDescent="0.25">
      <c r="A7115" s="1"/>
    </row>
    <row r="7116" spans="1:1" ht="46.5" customHeight="1" x14ac:dyDescent="0.25">
      <c r="A7116" s="1"/>
    </row>
    <row r="7117" spans="1:1" ht="46.5" customHeight="1" x14ac:dyDescent="0.25">
      <c r="A7117" s="1"/>
    </row>
    <row r="7118" spans="1:1" ht="46.5" customHeight="1" x14ac:dyDescent="0.25">
      <c r="A7118" s="1"/>
    </row>
    <row r="7119" spans="1:1" ht="46.5" customHeight="1" x14ac:dyDescent="0.25">
      <c r="A7119" s="1"/>
    </row>
    <row r="7120" spans="1:1" ht="46.5" customHeight="1" x14ac:dyDescent="0.25">
      <c r="A7120" s="1"/>
    </row>
    <row r="7121" spans="1:1" ht="46.5" customHeight="1" x14ac:dyDescent="0.25">
      <c r="A7121" s="1"/>
    </row>
    <row r="7122" spans="1:1" ht="46.5" customHeight="1" x14ac:dyDescent="0.25">
      <c r="A7122" s="1"/>
    </row>
    <row r="7123" spans="1:1" ht="46.5" customHeight="1" x14ac:dyDescent="0.25">
      <c r="A7123" s="1"/>
    </row>
    <row r="7124" spans="1:1" ht="46.5" customHeight="1" x14ac:dyDescent="0.25">
      <c r="A7124" s="1"/>
    </row>
    <row r="7125" spans="1:1" ht="46.5" customHeight="1" x14ac:dyDescent="0.25">
      <c r="A7125" s="1"/>
    </row>
    <row r="7126" spans="1:1" ht="46.5" customHeight="1" x14ac:dyDescent="0.25">
      <c r="A7126" s="1"/>
    </row>
    <row r="7127" spans="1:1" ht="46.5" customHeight="1" x14ac:dyDescent="0.25">
      <c r="A7127" s="1"/>
    </row>
    <row r="7128" spans="1:1" ht="46.5" customHeight="1" x14ac:dyDescent="0.25">
      <c r="A7128" s="1"/>
    </row>
    <row r="7129" spans="1:1" ht="46.5" customHeight="1" x14ac:dyDescent="0.25">
      <c r="A7129" s="1"/>
    </row>
    <row r="7130" spans="1:1" ht="46.5" customHeight="1" x14ac:dyDescent="0.25">
      <c r="A7130" s="1"/>
    </row>
    <row r="7131" spans="1:1" ht="46.5" customHeight="1" x14ac:dyDescent="0.25">
      <c r="A7131" s="1"/>
    </row>
    <row r="7132" spans="1:1" ht="46.5" customHeight="1" x14ac:dyDescent="0.25">
      <c r="A7132" s="1"/>
    </row>
    <row r="7133" spans="1:1" ht="46.5" customHeight="1" x14ac:dyDescent="0.25">
      <c r="A7133" s="1"/>
    </row>
    <row r="7134" spans="1:1" ht="46.5" customHeight="1" x14ac:dyDescent="0.25">
      <c r="A7134" s="1"/>
    </row>
    <row r="7135" spans="1:1" ht="46.5" customHeight="1" x14ac:dyDescent="0.25">
      <c r="A7135" s="1"/>
    </row>
    <row r="7136" spans="1:1" ht="46.5" customHeight="1" x14ac:dyDescent="0.25">
      <c r="A7136" s="1"/>
    </row>
    <row r="7137" spans="1:1" ht="46.5" customHeight="1" x14ac:dyDescent="0.25">
      <c r="A7137" s="1"/>
    </row>
    <row r="7138" spans="1:1" ht="46.5" customHeight="1" x14ac:dyDescent="0.25">
      <c r="A7138" s="1"/>
    </row>
    <row r="7139" spans="1:1" ht="46.5" customHeight="1" x14ac:dyDescent="0.25">
      <c r="A7139" s="1"/>
    </row>
    <row r="7140" spans="1:1" ht="46.5" customHeight="1" x14ac:dyDescent="0.25">
      <c r="A7140" s="1"/>
    </row>
    <row r="7141" spans="1:1" ht="46.5" customHeight="1" x14ac:dyDescent="0.25">
      <c r="A7141" s="1"/>
    </row>
    <row r="7142" spans="1:1" ht="46.5" customHeight="1" x14ac:dyDescent="0.25">
      <c r="A7142" s="1"/>
    </row>
    <row r="7143" spans="1:1" ht="46.5" customHeight="1" x14ac:dyDescent="0.25">
      <c r="A7143" s="1"/>
    </row>
    <row r="7144" spans="1:1" ht="46.5" customHeight="1" x14ac:dyDescent="0.25">
      <c r="A7144" s="1"/>
    </row>
    <row r="7145" spans="1:1" ht="46.5" customHeight="1" x14ac:dyDescent="0.25">
      <c r="A7145" s="1"/>
    </row>
    <row r="7146" spans="1:1" ht="46.5" customHeight="1" x14ac:dyDescent="0.25">
      <c r="A7146" s="1"/>
    </row>
    <row r="7147" spans="1:1" ht="46.5" customHeight="1" x14ac:dyDescent="0.25">
      <c r="A7147" s="1"/>
    </row>
    <row r="7148" spans="1:1" ht="46.5" customHeight="1" x14ac:dyDescent="0.25">
      <c r="A7148" s="1"/>
    </row>
    <row r="7149" spans="1:1" ht="46.5" customHeight="1" x14ac:dyDescent="0.25">
      <c r="A7149" s="1"/>
    </row>
    <row r="7150" spans="1:1" ht="46.5" customHeight="1" x14ac:dyDescent="0.25">
      <c r="A7150" s="1"/>
    </row>
    <row r="7151" spans="1:1" ht="46.5" customHeight="1" x14ac:dyDescent="0.25">
      <c r="A7151" s="1"/>
    </row>
    <row r="7152" spans="1:1" ht="46.5" customHeight="1" x14ac:dyDescent="0.25">
      <c r="A7152" s="1"/>
    </row>
    <row r="7153" spans="1:1" ht="46.5" customHeight="1" x14ac:dyDescent="0.25">
      <c r="A7153" s="1"/>
    </row>
    <row r="7154" spans="1:1" ht="46.5" customHeight="1" x14ac:dyDescent="0.25">
      <c r="A7154" s="1"/>
    </row>
    <row r="7155" spans="1:1" ht="46.5" customHeight="1" x14ac:dyDescent="0.25">
      <c r="A7155" s="1"/>
    </row>
    <row r="7156" spans="1:1" ht="46.5" customHeight="1" x14ac:dyDescent="0.25">
      <c r="A7156" s="1"/>
    </row>
    <row r="7157" spans="1:1" ht="46.5" customHeight="1" x14ac:dyDescent="0.25">
      <c r="A7157" s="1"/>
    </row>
    <row r="7158" spans="1:1" ht="46.5" customHeight="1" x14ac:dyDescent="0.25">
      <c r="A7158" s="1"/>
    </row>
    <row r="7159" spans="1:1" ht="46.5" customHeight="1" x14ac:dyDescent="0.25">
      <c r="A7159" s="1"/>
    </row>
    <row r="7160" spans="1:1" ht="46.5" customHeight="1" x14ac:dyDescent="0.25">
      <c r="A7160" s="1"/>
    </row>
    <row r="7161" spans="1:1" ht="46.5" customHeight="1" x14ac:dyDescent="0.25">
      <c r="A7161" s="1"/>
    </row>
    <row r="7162" spans="1:1" ht="46.5" customHeight="1" x14ac:dyDescent="0.25">
      <c r="A7162" s="1"/>
    </row>
    <row r="7163" spans="1:1" ht="46.5" customHeight="1" x14ac:dyDescent="0.25">
      <c r="A7163" s="1"/>
    </row>
    <row r="7164" spans="1:1" ht="46.5" customHeight="1" x14ac:dyDescent="0.25">
      <c r="A7164" s="1"/>
    </row>
    <row r="7165" spans="1:1" ht="46.5" customHeight="1" x14ac:dyDescent="0.25">
      <c r="A7165" s="1"/>
    </row>
    <row r="7166" spans="1:1" ht="46.5" customHeight="1" x14ac:dyDescent="0.25">
      <c r="A7166" s="1"/>
    </row>
    <row r="7167" spans="1:1" ht="46.5" customHeight="1" x14ac:dyDescent="0.25">
      <c r="A7167" s="1"/>
    </row>
    <row r="7168" spans="1:1" ht="46.5" customHeight="1" x14ac:dyDescent="0.25">
      <c r="A7168" s="1"/>
    </row>
    <row r="7169" spans="1:1" ht="46.5" customHeight="1" x14ac:dyDescent="0.25">
      <c r="A7169" s="1"/>
    </row>
    <row r="7170" spans="1:1" ht="46.5" customHeight="1" x14ac:dyDescent="0.25">
      <c r="A7170" s="1"/>
    </row>
    <row r="7171" spans="1:1" ht="46.5" customHeight="1" x14ac:dyDescent="0.25">
      <c r="A7171" s="1"/>
    </row>
    <row r="7172" spans="1:1" ht="46.5" customHeight="1" x14ac:dyDescent="0.25">
      <c r="A7172" s="1"/>
    </row>
    <row r="7173" spans="1:1" ht="46.5" customHeight="1" x14ac:dyDescent="0.25">
      <c r="A7173" s="1"/>
    </row>
    <row r="7174" spans="1:1" ht="46.5" customHeight="1" x14ac:dyDescent="0.25">
      <c r="A7174" s="1"/>
    </row>
    <row r="7175" spans="1:1" ht="46.5" customHeight="1" x14ac:dyDescent="0.25">
      <c r="A7175" s="1"/>
    </row>
    <row r="7176" spans="1:1" ht="46.5" customHeight="1" x14ac:dyDescent="0.25">
      <c r="A7176" s="1"/>
    </row>
    <row r="7177" spans="1:1" ht="46.5" customHeight="1" x14ac:dyDescent="0.25">
      <c r="A7177" s="1"/>
    </row>
    <row r="7178" spans="1:1" ht="46.5" customHeight="1" x14ac:dyDescent="0.25">
      <c r="A7178" s="1"/>
    </row>
    <row r="7179" spans="1:1" ht="46.5" customHeight="1" x14ac:dyDescent="0.25">
      <c r="A7179" s="1"/>
    </row>
    <row r="7180" spans="1:1" ht="46.5" customHeight="1" x14ac:dyDescent="0.25">
      <c r="A7180" s="1"/>
    </row>
    <row r="7181" spans="1:1" ht="46.5" customHeight="1" x14ac:dyDescent="0.25">
      <c r="A7181" s="1"/>
    </row>
    <row r="7182" spans="1:1" ht="46.5" customHeight="1" x14ac:dyDescent="0.25">
      <c r="A7182" s="1"/>
    </row>
    <row r="7183" spans="1:1" ht="46.5" customHeight="1" x14ac:dyDescent="0.25">
      <c r="A7183" s="1"/>
    </row>
    <row r="7184" spans="1:1" ht="46.5" customHeight="1" x14ac:dyDescent="0.25">
      <c r="A7184" s="1"/>
    </row>
    <row r="7185" spans="1:1" ht="46.5" customHeight="1" x14ac:dyDescent="0.25">
      <c r="A7185" s="1"/>
    </row>
    <row r="7186" spans="1:1" ht="46.5" customHeight="1" x14ac:dyDescent="0.25">
      <c r="A7186" s="1"/>
    </row>
    <row r="7187" spans="1:1" ht="46.5" customHeight="1" x14ac:dyDescent="0.25">
      <c r="A7187" s="1"/>
    </row>
    <row r="7188" spans="1:1" ht="46.5" customHeight="1" x14ac:dyDescent="0.25">
      <c r="A7188" s="1"/>
    </row>
    <row r="7189" spans="1:1" ht="46.5" customHeight="1" x14ac:dyDescent="0.25">
      <c r="A7189" s="1"/>
    </row>
    <row r="7190" spans="1:1" ht="46.5" customHeight="1" x14ac:dyDescent="0.25">
      <c r="A7190" s="1"/>
    </row>
    <row r="7191" spans="1:1" ht="46.5" customHeight="1" x14ac:dyDescent="0.25">
      <c r="A7191" s="1"/>
    </row>
    <row r="7192" spans="1:1" ht="46.5" customHeight="1" x14ac:dyDescent="0.25">
      <c r="A7192" s="1"/>
    </row>
    <row r="7193" spans="1:1" ht="46.5" customHeight="1" x14ac:dyDescent="0.25">
      <c r="A7193" s="1"/>
    </row>
    <row r="7194" spans="1:1" ht="46.5" customHeight="1" x14ac:dyDescent="0.25">
      <c r="A7194" s="1"/>
    </row>
    <row r="7195" spans="1:1" ht="46.5" customHeight="1" x14ac:dyDescent="0.25">
      <c r="A7195" s="1"/>
    </row>
    <row r="7196" spans="1:1" ht="46.5" customHeight="1" x14ac:dyDescent="0.25">
      <c r="A7196" s="1"/>
    </row>
    <row r="7197" spans="1:1" ht="46.5" customHeight="1" x14ac:dyDescent="0.25">
      <c r="A7197" s="1"/>
    </row>
    <row r="7198" spans="1:1" ht="46.5" customHeight="1" x14ac:dyDescent="0.25">
      <c r="A7198" s="1"/>
    </row>
    <row r="7199" spans="1:1" ht="46.5" customHeight="1" x14ac:dyDescent="0.25">
      <c r="A7199" s="1"/>
    </row>
    <row r="7200" spans="1:1" ht="46.5" customHeight="1" x14ac:dyDescent="0.25">
      <c r="A7200" s="1"/>
    </row>
    <row r="7201" spans="1:1" ht="46.5" customHeight="1" x14ac:dyDescent="0.25">
      <c r="A7201" s="1"/>
    </row>
    <row r="7202" spans="1:1" ht="46.5" customHeight="1" x14ac:dyDescent="0.25">
      <c r="A7202" s="1"/>
    </row>
    <row r="7203" spans="1:1" ht="46.5" customHeight="1" x14ac:dyDescent="0.25">
      <c r="A7203" s="1"/>
    </row>
    <row r="7204" spans="1:1" ht="46.5" customHeight="1" x14ac:dyDescent="0.25">
      <c r="A7204" s="1"/>
    </row>
    <row r="7205" spans="1:1" ht="46.5" customHeight="1" x14ac:dyDescent="0.25">
      <c r="A7205" s="1"/>
    </row>
    <row r="7206" spans="1:1" ht="46.5" customHeight="1" x14ac:dyDescent="0.25">
      <c r="A7206" s="1"/>
    </row>
    <row r="7207" spans="1:1" ht="46.5" customHeight="1" x14ac:dyDescent="0.25">
      <c r="A7207" s="1"/>
    </row>
    <row r="7208" spans="1:1" ht="46.5" customHeight="1" x14ac:dyDescent="0.25">
      <c r="A7208" s="1"/>
    </row>
    <row r="7209" spans="1:1" ht="46.5" customHeight="1" x14ac:dyDescent="0.25">
      <c r="A7209" s="1"/>
    </row>
    <row r="7210" spans="1:1" ht="46.5" customHeight="1" x14ac:dyDescent="0.25">
      <c r="A7210" s="1"/>
    </row>
    <row r="7211" spans="1:1" ht="46.5" customHeight="1" x14ac:dyDescent="0.25">
      <c r="A7211" s="1"/>
    </row>
    <row r="7212" spans="1:1" ht="46.5" customHeight="1" x14ac:dyDescent="0.25">
      <c r="A7212" s="1"/>
    </row>
    <row r="7213" spans="1:1" ht="46.5" customHeight="1" x14ac:dyDescent="0.25">
      <c r="A7213" s="1"/>
    </row>
    <row r="7214" spans="1:1" ht="46.5" customHeight="1" x14ac:dyDescent="0.25">
      <c r="A7214" s="1"/>
    </row>
    <row r="7215" spans="1:1" ht="46.5" customHeight="1" x14ac:dyDescent="0.25">
      <c r="A7215" s="1"/>
    </row>
    <row r="7216" spans="1:1" ht="46.5" customHeight="1" x14ac:dyDescent="0.25">
      <c r="A7216" s="1"/>
    </row>
    <row r="7217" spans="1:1" ht="46.5" customHeight="1" x14ac:dyDescent="0.25">
      <c r="A7217" s="1"/>
    </row>
    <row r="7218" spans="1:1" ht="46.5" customHeight="1" x14ac:dyDescent="0.25">
      <c r="A7218" s="1"/>
    </row>
    <row r="7219" spans="1:1" ht="46.5" customHeight="1" x14ac:dyDescent="0.25">
      <c r="A7219" s="1"/>
    </row>
    <row r="7220" spans="1:1" ht="46.5" customHeight="1" x14ac:dyDescent="0.25">
      <c r="A7220" s="1"/>
    </row>
    <row r="7221" spans="1:1" ht="46.5" customHeight="1" x14ac:dyDescent="0.25">
      <c r="A7221" s="1"/>
    </row>
    <row r="7222" spans="1:1" ht="46.5" customHeight="1" x14ac:dyDescent="0.25">
      <c r="A7222" s="1"/>
    </row>
    <row r="7223" spans="1:1" ht="46.5" customHeight="1" x14ac:dyDescent="0.25">
      <c r="A7223" s="1"/>
    </row>
    <row r="7224" spans="1:1" ht="46.5" customHeight="1" x14ac:dyDescent="0.25">
      <c r="A7224" s="1"/>
    </row>
    <row r="7225" spans="1:1" ht="46.5" customHeight="1" x14ac:dyDescent="0.25">
      <c r="A7225" s="1"/>
    </row>
    <row r="7226" spans="1:1" ht="46.5" customHeight="1" x14ac:dyDescent="0.25">
      <c r="A7226" s="1"/>
    </row>
    <row r="7227" spans="1:1" ht="46.5" customHeight="1" x14ac:dyDescent="0.25">
      <c r="A7227" s="1"/>
    </row>
    <row r="7228" spans="1:1" ht="46.5" customHeight="1" x14ac:dyDescent="0.25">
      <c r="A7228" s="1"/>
    </row>
    <row r="7229" spans="1:1" ht="46.5" customHeight="1" x14ac:dyDescent="0.25">
      <c r="A7229" s="1"/>
    </row>
    <row r="7230" spans="1:1" ht="46.5" customHeight="1" x14ac:dyDescent="0.25">
      <c r="A7230" s="1"/>
    </row>
    <row r="7231" spans="1:1" ht="46.5" customHeight="1" x14ac:dyDescent="0.25">
      <c r="A7231" s="1"/>
    </row>
    <row r="7232" spans="1:1" ht="46.5" customHeight="1" x14ac:dyDescent="0.25">
      <c r="A7232" s="1"/>
    </row>
    <row r="7233" spans="1:1" ht="46.5" customHeight="1" x14ac:dyDescent="0.25">
      <c r="A7233" s="1"/>
    </row>
    <row r="7234" spans="1:1" ht="46.5" customHeight="1" x14ac:dyDescent="0.25">
      <c r="A7234" s="1"/>
    </row>
    <row r="7235" spans="1:1" ht="46.5" customHeight="1" x14ac:dyDescent="0.25">
      <c r="A7235" s="1"/>
    </row>
    <row r="7236" spans="1:1" ht="46.5" customHeight="1" x14ac:dyDescent="0.25">
      <c r="A7236" s="1"/>
    </row>
    <row r="7237" spans="1:1" ht="46.5" customHeight="1" x14ac:dyDescent="0.25">
      <c r="A7237" s="1"/>
    </row>
    <row r="7238" spans="1:1" ht="46.5" customHeight="1" x14ac:dyDescent="0.25">
      <c r="A7238" s="1"/>
    </row>
    <row r="7239" spans="1:1" ht="46.5" customHeight="1" x14ac:dyDescent="0.25">
      <c r="A7239" s="1"/>
    </row>
    <row r="7240" spans="1:1" ht="46.5" customHeight="1" x14ac:dyDescent="0.25">
      <c r="A7240" s="1"/>
    </row>
    <row r="7241" spans="1:1" ht="46.5" customHeight="1" x14ac:dyDescent="0.25">
      <c r="A7241" s="1"/>
    </row>
    <row r="7242" spans="1:1" ht="46.5" customHeight="1" x14ac:dyDescent="0.25">
      <c r="A7242" s="1"/>
    </row>
    <row r="7243" spans="1:1" ht="46.5" customHeight="1" x14ac:dyDescent="0.25">
      <c r="A7243" s="1"/>
    </row>
    <row r="7244" spans="1:1" ht="46.5" customHeight="1" x14ac:dyDescent="0.25">
      <c r="A7244" s="1"/>
    </row>
    <row r="7245" spans="1:1" ht="46.5" customHeight="1" x14ac:dyDescent="0.25">
      <c r="A7245" s="1"/>
    </row>
    <row r="7246" spans="1:1" ht="46.5" customHeight="1" x14ac:dyDescent="0.25">
      <c r="A7246" s="1"/>
    </row>
    <row r="7247" spans="1:1" ht="46.5" customHeight="1" x14ac:dyDescent="0.25">
      <c r="A7247" s="1"/>
    </row>
    <row r="7248" spans="1:1" ht="46.5" customHeight="1" x14ac:dyDescent="0.25">
      <c r="A7248" s="1"/>
    </row>
    <row r="7249" spans="1:1" ht="46.5" customHeight="1" x14ac:dyDescent="0.25">
      <c r="A7249" s="1"/>
    </row>
    <row r="7250" spans="1:1" ht="46.5" customHeight="1" x14ac:dyDescent="0.25">
      <c r="A7250" s="1"/>
    </row>
    <row r="7251" spans="1:1" ht="46.5" customHeight="1" x14ac:dyDescent="0.25">
      <c r="A7251" s="1"/>
    </row>
    <row r="7252" spans="1:1" ht="46.5" customHeight="1" x14ac:dyDescent="0.25">
      <c r="A7252" s="1"/>
    </row>
    <row r="7253" spans="1:1" ht="46.5" customHeight="1" x14ac:dyDescent="0.25">
      <c r="A7253" s="1"/>
    </row>
    <row r="7254" spans="1:1" ht="46.5" customHeight="1" x14ac:dyDescent="0.25">
      <c r="A7254" s="1"/>
    </row>
    <row r="7255" spans="1:1" ht="46.5" customHeight="1" x14ac:dyDescent="0.25">
      <c r="A7255" s="1"/>
    </row>
    <row r="7256" spans="1:1" ht="46.5" customHeight="1" x14ac:dyDescent="0.25">
      <c r="A7256" s="1"/>
    </row>
    <row r="7257" spans="1:1" ht="46.5" customHeight="1" x14ac:dyDescent="0.25">
      <c r="A7257" s="1"/>
    </row>
    <row r="7258" spans="1:1" ht="46.5" customHeight="1" x14ac:dyDescent="0.25">
      <c r="A7258" s="1"/>
    </row>
    <row r="7259" spans="1:1" ht="46.5" customHeight="1" x14ac:dyDescent="0.25">
      <c r="A7259" s="1"/>
    </row>
    <row r="7260" spans="1:1" ht="46.5" customHeight="1" x14ac:dyDescent="0.25">
      <c r="A7260" s="1"/>
    </row>
    <row r="7261" spans="1:1" ht="46.5" customHeight="1" x14ac:dyDescent="0.25">
      <c r="A7261" s="1"/>
    </row>
    <row r="7262" spans="1:1" ht="46.5" customHeight="1" x14ac:dyDescent="0.25">
      <c r="A7262" s="1"/>
    </row>
    <row r="7263" spans="1:1" ht="46.5" customHeight="1" x14ac:dyDescent="0.25">
      <c r="A7263" s="1"/>
    </row>
    <row r="7264" spans="1:1" ht="46.5" customHeight="1" x14ac:dyDescent="0.25">
      <c r="A7264" s="1"/>
    </row>
    <row r="7265" spans="1:1" ht="46.5" customHeight="1" x14ac:dyDescent="0.25">
      <c r="A7265" s="1"/>
    </row>
    <row r="7266" spans="1:1" ht="46.5" customHeight="1" x14ac:dyDescent="0.25">
      <c r="A7266" s="1"/>
    </row>
    <row r="7267" spans="1:1" ht="46.5" customHeight="1" x14ac:dyDescent="0.25">
      <c r="A7267" s="1"/>
    </row>
    <row r="7268" spans="1:1" ht="46.5" customHeight="1" x14ac:dyDescent="0.25">
      <c r="A7268" s="1"/>
    </row>
    <row r="7269" spans="1:1" ht="46.5" customHeight="1" x14ac:dyDescent="0.25">
      <c r="A7269" s="1"/>
    </row>
    <row r="7270" spans="1:1" ht="46.5" customHeight="1" x14ac:dyDescent="0.25">
      <c r="A7270" s="1"/>
    </row>
    <row r="7271" spans="1:1" ht="46.5" customHeight="1" x14ac:dyDescent="0.25">
      <c r="A7271" s="1"/>
    </row>
    <row r="7272" spans="1:1" ht="46.5" customHeight="1" x14ac:dyDescent="0.25">
      <c r="A7272" s="1"/>
    </row>
    <row r="7273" spans="1:1" ht="46.5" customHeight="1" x14ac:dyDescent="0.25">
      <c r="A7273" s="1"/>
    </row>
    <row r="7274" spans="1:1" ht="46.5" customHeight="1" x14ac:dyDescent="0.25">
      <c r="A7274" s="1"/>
    </row>
    <row r="7275" spans="1:1" ht="46.5" customHeight="1" x14ac:dyDescent="0.25">
      <c r="A7275" s="1"/>
    </row>
    <row r="7276" spans="1:1" ht="46.5" customHeight="1" x14ac:dyDescent="0.25">
      <c r="A7276" s="1"/>
    </row>
    <row r="7277" spans="1:1" ht="46.5" customHeight="1" x14ac:dyDescent="0.25">
      <c r="A7277" s="1"/>
    </row>
    <row r="7278" spans="1:1" ht="46.5" customHeight="1" x14ac:dyDescent="0.25">
      <c r="A7278" s="1"/>
    </row>
    <row r="7279" spans="1:1" ht="46.5" customHeight="1" x14ac:dyDescent="0.25">
      <c r="A7279" s="1"/>
    </row>
    <row r="7280" spans="1:1" ht="46.5" customHeight="1" x14ac:dyDescent="0.25">
      <c r="A7280" s="1"/>
    </row>
    <row r="7281" spans="1:1" ht="46.5" customHeight="1" x14ac:dyDescent="0.25">
      <c r="A7281" s="1"/>
    </row>
    <row r="7282" spans="1:1" ht="46.5" customHeight="1" x14ac:dyDescent="0.25">
      <c r="A7282" s="1"/>
    </row>
    <row r="7283" spans="1:1" ht="46.5" customHeight="1" x14ac:dyDescent="0.25">
      <c r="A7283" s="1"/>
    </row>
    <row r="7284" spans="1:1" ht="46.5" customHeight="1" x14ac:dyDescent="0.25">
      <c r="A7284" s="1"/>
    </row>
    <row r="7285" spans="1:1" ht="46.5" customHeight="1" x14ac:dyDescent="0.25">
      <c r="A7285" s="1"/>
    </row>
    <row r="7286" spans="1:1" ht="46.5" customHeight="1" x14ac:dyDescent="0.25">
      <c r="A7286" s="1"/>
    </row>
    <row r="7287" spans="1:1" ht="46.5" customHeight="1" x14ac:dyDescent="0.25">
      <c r="A7287" s="1"/>
    </row>
    <row r="7288" spans="1:1" ht="46.5" customHeight="1" x14ac:dyDescent="0.25">
      <c r="A7288" s="1"/>
    </row>
    <row r="7289" spans="1:1" ht="46.5" customHeight="1" x14ac:dyDescent="0.25">
      <c r="A7289" s="1"/>
    </row>
    <row r="7290" spans="1:1" ht="46.5" customHeight="1" x14ac:dyDescent="0.25">
      <c r="A7290" s="1"/>
    </row>
    <row r="7291" spans="1:1" ht="46.5" customHeight="1" x14ac:dyDescent="0.25">
      <c r="A7291" s="1"/>
    </row>
    <row r="7292" spans="1:1" ht="46.5" customHeight="1" x14ac:dyDescent="0.25">
      <c r="A7292" s="1"/>
    </row>
    <row r="7293" spans="1:1" ht="46.5" customHeight="1" x14ac:dyDescent="0.25">
      <c r="A7293" s="1"/>
    </row>
    <row r="7294" spans="1:1" ht="46.5" customHeight="1" x14ac:dyDescent="0.25">
      <c r="A7294" s="1"/>
    </row>
    <row r="7295" spans="1:1" ht="46.5" customHeight="1" x14ac:dyDescent="0.25">
      <c r="A7295" s="1"/>
    </row>
    <row r="7296" spans="1:1" ht="46.5" customHeight="1" x14ac:dyDescent="0.25">
      <c r="A7296" s="1"/>
    </row>
    <row r="7297" spans="1:1" ht="46.5" customHeight="1" x14ac:dyDescent="0.25">
      <c r="A7297" s="1"/>
    </row>
    <row r="7298" spans="1:1" ht="46.5" customHeight="1" x14ac:dyDescent="0.25">
      <c r="A7298" s="1"/>
    </row>
    <row r="7299" spans="1:1" ht="46.5" customHeight="1" x14ac:dyDescent="0.25">
      <c r="A7299" s="1"/>
    </row>
    <row r="7300" spans="1:1" ht="46.5" customHeight="1" x14ac:dyDescent="0.25">
      <c r="A7300" s="1"/>
    </row>
    <row r="7301" spans="1:1" ht="46.5" customHeight="1" x14ac:dyDescent="0.25">
      <c r="A7301" s="1"/>
    </row>
    <row r="7302" spans="1:1" ht="46.5" customHeight="1" x14ac:dyDescent="0.25">
      <c r="A7302" s="1"/>
    </row>
    <row r="7303" spans="1:1" ht="46.5" customHeight="1" x14ac:dyDescent="0.25">
      <c r="A7303" s="1"/>
    </row>
    <row r="7304" spans="1:1" ht="46.5" customHeight="1" x14ac:dyDescent="0.25">
      <c r="A7304" s="1"/>
    </row>
    <row r="7305" spans="1:1" ht="46.5" customHeight="1" x14ac:dyDescent="0.25">
      <c r="A7305" s="1"/>
    </row>
    <row r="7306" spans="1:1" ht="46.5" customHeight="1" x14ac:dyDescent="0.25">
      <c r="A7306" s="1"/>
    </row>
    <row r="7307" spans="1:1" ht="46.5" customHeight="1" x14ac:dyDescent="0.25">
      <c r="A7307" s="1"/>
    </row>
    <row r="7308" spans="1:1" ht="46.5" customHeight="1" x14ac:dyDescent="0.25">
      <c r="A7308" s="1"/>
    </row>
    <row r="7309" spans="1:1" ht="46.5" customHeight="1" x14ac:dyDescent="0.25">
      <c r="A7309" s="1"/>
    </row>
    <row r="7310" spans="1:1" ht="46.5" customHeight="1" x14ac:dyDescent="0.25">
      <c r="A7310" s="1"/>
    </row>
    <row r="7311" spans="1:1" ht="46.5" customHeight="1" x14ac:dyDescent="0.25">
      <c r="A7311" s="1"/>
    </row>
    <row r="7312" spans="1:1" ht="46.5" customHeight="1" x14ac:dyDescent="0.25">
      <c r="A7312" s="1"/>
    </row>
    <row r="7313" spans="1:1" ht="46.5" customHeight="1" x14ac:dyDescent="0.25">
      <c r="A7313" s="1"/>
    </row>
    <row r="7314" spans="1:1" ht="46.5" customHeight="1" x14ac:dyDescent="0.25">
      <c r="A7314" s="1"/>
    </row>
    <row r="7315" spans="1:1" ht="46.5" customHeight="1" x14ac:dyDescent="0.25">
      <c r="A7315" s="1"/>
    </row>
    <row r="7316" spans="1:1" ht="46.5" customHeight="1" x14ac:dyDescent="0.25">
      <c r="A7316" s="1"/>
    </row>
    <row r="7317" spans="1:1" ht="46.5" customHeight="1" x14ac:dyDescent="0.25">
      <c r="A7317" s="1"/>
    </row>
    <row r="7318" spans="1:1" ht="46.5" customHeight="1" x14ac:dyDescent="0.25">
      <c r="A7318" s="1"/>
    </row>
    <row r="7319" spans="1:1" ht="46.5" customHeight="1" x14ac:dyDescent="0.25">
      <c r="A7319" s="1"/>
    </row>
    <row r="7320" spans="1:1" ht="46.5" customHeight="1" x14ac:dyDescent="0.25">
      <c r="A7320" s="1"/>
    </row>
    <row r="7321" spans="1:1" ht="46.5" customHeight="1" x14ac:dyDescent="0.25">
      <c r="A7321" s="1"/>
    </row>
    <row r="7322" spans="1:1" ht="46.5" customHeight="1" x14ac:dyDescent="0.25">
      <c r="A7322" s="1"/>
    </row>
    <row r="7323" spans="1:1" ht="46.5" customHeight="1" x14ac:dyDescent="0.25">
      <c r="A7323" s="1"/>
    </row>
    <row r="7324" spans="1:1" ht="46.5" customHeight="1" x14ac:dyDescent="0.25">
      <c r="A7324" s="1"/>
    </row>
    <row r="7325" spans="1:1" ht="46.5" customHeight="1" x14ac:dyDescent="0.25">
      <c r="A7325" s="1"/>
    </row>
    <row r="7326" spans="1:1" ht="46.5" customHeight="1" x14ac:dyDescent="0.25">
      <c r="A7326" s="1"/>
    </row>
    <row r="7327" spans="1:1" ht="46.5" customHeight="1" x14ac:dyDescent="0.25">
      <c r="A7327" s="1"/>
    </row>
    <row r="7328" spans="1:1" ht="46.5" customHeight="1" x14ac:dyDescent="0.25">
      <c r="A7328" s="1"/>
    </row>
    <row r="7329" spans="1:1" ht="46.5" customHeight="1" x14ac:dyDescent="0.25">
      <c r="A7329" s="1"/>
    </row>
    <row r="7330" spans="1:1" ht="46.5" customHeight="1" x14ac:dyDescent="0.25">
      <c r="A7330" s="1"/>
    </row>
    <row r="7331" spans="1:1" ht="46.5" customHeight="1" x14ac:dyDescent="0.25">
      <c r="A7331" s="1"/>
    </row>
    <row r="7332" spans="1:1" ht="46.5" customHeight="1" x14ac:dyDescent="0.25">
      <c r="A7332" s="1"/>
    </row>
    <row r="7333" spans="1:1" ht="46.5" customHeight="1" x14ac:dyDescent="0.25">
      <c r="A7333" s="1"/>
    </row>
    <row r="7334" spans="1:1" ht="46.5" customHeight="1" x14ac:dyDescent="0.25">
      <c r="A7334" s="1"/>
    </row>
    <row r="7335" spans="1:1" ht="46.5" customHeight="1" x14ac:dyDescent="0.25">
      <c r="A7335" s="1"/>
    </row>
    <row r="7336" spans="1:1" ht="46.5" customHeight="1" x14ac:dyDescent="0.25">
      <c r="A7336" s="1"/>
    </row>
    <row r="7337" spans="1:1" ht="46.5" customHeight="1" x14ac:dyDescent="0.25">
      <c r="A7337" s="1"/>
    </row>
    <row r="7338" spans="1:1" ht="46.5" customHeight="1" x14ac:dyDescent="0.25">
      <c r="A7338" s="1"/>
    </row>
    <row r="7339" spans="1:1" ht="46.5" customHeight="1" x14ac:dyDescent="0.25">
      <c r="A7339" s="1"/>
    </row>
    <row r="7340" spans="1:1" ht="46.5" customHeight="1" x14ac:dyDescent="0.25">
      <c r="A7340" s="1"/>
    </row>
    <row r="7341" spans="1:1" ht="46.5" customHeight="1" x14ac:dyDescent="0.25">
      <c r="A7341" s="1"/>
    </row>
    <row r="7342" spans="1:1" ht="46.5" customHeight="1" x14ac:dyDescent="0.25">
      <c r="A7342" s="1"/>
    </row>
    <row r="7343" spans="1:1" ht="46.5" customHeight="1" x14ac:dyDescent="0.25">
      <c r="A7343" s="1"/>
    </row>
    <row r="7344" spans="1:1" ht="46.5" customHeight="1" x14ac:dyDescent="0.25">
      <c r="A7344" s="1"/>
    </row>
    <row r="7345" spans="1:1" ht="46.5" customHeight="1" x14ac:dyDescent="0.25">
      <c r="A7345" s="1"/>
    </row>
    <row r="7346" spans="1:1" ht="46.5" customHeight="1" x14ac:dyDescent="0.25">
      <c r="A7346" s="1"/>
    </row>
    <row r="7347" spans="1:1" ht="46.5" customHeight="1" x14ac:dyDescent="0.25">
      <c r="A7347" s="1"/>
    </row>
    <row r="7348" spans="1:1" ht="46.5" customHeight="1" x14ac:dyDescent="0.25">
      <c r="A7348" s="1"/>
    </row>
    <row r="7349" spans="1:1" ht="46.5" customHeight="1" x14ac:dyDescent="0.25">
      <c r="A7349" s="1"/>
    </row>
    <row r="7350" spans="1:1" ht="46.5" customHeight="1" x14ac:dyDescent="0.25">
      <c r="A7350" s="1"/>
    </row>
    <row r="7351" spans="1:1" ht="46.5" customHeight="1" x14ac:dyDescent="0.25">
      <c r="A7351" s="1"/>
    </row>
    <row r="7352" spans="1:1" ht="46.5" customHeight="1" x14ac:dyDescent="0.25">
      <c r="A7352" s="1"/>
    </row>
    <row r="7353" spans="1:1" ht="46.5" customHeight="1" x14ac:dyDescent="0.25">
      <c r="A7353" s="1"/>
    </row>
    <row r="7354" spans="1:1" ht="46.5" customHeight="1" x14ac:dyDescent="0.25">
      <c r="A7354" s="1"/>
    </row>
    <row r="7355" spans="1:1" ht="46.5" customHeight="1" x14ac:dyDescent="0.25">
      <c r="A7355" s="1"/>
    </row>
    <row r="7356" spans="1:1" ht="46.5" customHeight="1" x14ac:dyDescent="0.25">
      <c r="A7356" s="1"/>
    </row>
    <row r="7357" spans="1:1" ht="46.5" customHeight="1" x14ac:dyDescent="0.25">
      <c r="A7357" s="1"/>
    </row>
    <row r="7358" spans="1:1" ht="46.5" customHeight="1" x14ac:dyDescent="0.25">
      <c r="A7358" s="1"/>
    </row>
    <row r="7359" spans="1:1" ht="46.5" customHeight="1" x14ac:dyDescent="0.25">
      <c r="A7359" s="1"/>
    </row>
    <row r="7360" spans="1:1" ht="46.5" customHeight="1" x14ac:dyDescent="0.25">
      <c r="A7360" s="1"/>
    </row>
    <row r="7361" spans="1:1" ht="46.5" customHeight="1" x14ac:dyDescent="0.25">
      <c r="A7361" s="1"/>
    </row>
    <row r="7362" spans="1:1" ht="46.5" customHeight="1" x14ac:dyDescent="0.25">
      <c r="A7362" s="1"/>
    </row>
    <row r="7363" spans="1:1" ht="46.5" customHeight="1" x14ac:dyDescent="0.25">
      <c r="A7363" s="1"/>
    </row>
    <row r="7364" spans="1:1" ht="46.5" customHeight="1" x14ac:dyDescent="0.25">
      <c r="A7364" s="1"/>
    </row>
    <row r="7365" spans="1:1" ht="46.5" customHeight="1" x14ac:dyDescent="0.25">
      <c r="A7365" s="1"/>
    </row>
    <row r="7366" spans="1:1" ht="46.5" customHeight="1" x14ac:dyDescent="0.25">
      <c r="A7366" s="1"/>
    </row>
    <row r="7367" spans="1:1" ht="46.5" customHeight="1" x14ac:dyDescent="0.25">
      <c r="A7367" s="1"/>
    </row>
    <row r="7368" spans="1:1" ht="46.5" customHeight="1" x14ac:dyDescent="0.25">
      <c r="A7368" s="1"/>
    </row>
    <row r="7369" spans="1:1" ht="46.5" customHeight="1" x14ac:dyDescent="0.25">
      <c r="A7369" s="1"/>
    </row>
    <row r="7370" spans="1:1" ht="46.5" customHeight="1" x14ac:dyDescent="0.25">
      <c r="A7370" s="1"/>
    </row>
    <row r="7371" spans="1:1" ht="46.5" customHeight="1" x14ac:dyDescent="0.25">
      <c r="A7371" s="1"/>
    </row>
    <row r="7372" spans="1:1" ht="46.5" customHeight="1" x14ac:dyDescent="0.25">
      <c r="A7372" s="1"/>
    </row>
    <row r="7373" spans="1:1" ht="46.5" customHeight="1" x14ac:dyDescent="0.25">
      <c r="A7373" s="1"/>
    </row>
    <row r="7374" spans="1:1" ht="46.5" customHeight="1" x14ac:dyDescent="0.25">
      <c r="A7374" s="1"/>
    </row>
    <row r="7375" spans="1:1" ht="46.5" customHeight="1" x14ac:dyDescent="0.25">
      <c r="A7375" s="1"/>
    </row>
    <row r="7376" spans="1:1" ht="46.5" customHeight="1" x14ac:dyDescent="0.25">
      <c r="A7376" s="1"/>
    </row>
    <row r="7377" spans="1:1" ht="46.5" customHeight="1" x14ac:dyDescent="0.25">
      <c r="A7377" s="1"/>
    </row>
    <row r="7378" spans="1:1" ht="46.5" customHeight="1" x14ac:dyDescent="0.25">
      <c r="A7378" s="1"/>
    </row>
    <row r="7379" spans="1:1" ht="46.5" customHeight="1" x14ac:dyDescent="0.25">
      <c r="A7379" s="1"/>
    </row>
    <row r="7380" spans="1:1" ht="46.5" customHeight="1" x14ac:dyDescent="0.25">
      <c r="A7380" s="1"/>
    </row>
    <row r="7381" spans="1:1" ht="46.5" customHeight="1" x14ac:dyDescent="0.25">
      <c r="A7381" s="1"/>
    </row>
    <row r="7382" spans="1:1" ht="46.5" customHeight="1" x14ac:dyDescent="0.25">
      <c r="A7382" s="1"/>
    </row>
    <row r="7383" spans="1:1" ht="46.5" customHeight="1" x14ac:dyDescent="0.25">
      <c r="A7383" s="1"/>
    </row>
    <row r="7384" spans="1:1" ht="46.5" customHeight="1" x14ac:dyDescent="0.25">
      <c r="A7384" s="1"/>
    </row>
    <row r="7385" spans="1:1" ht="46.5" customHeight="1" x14ac:dyDescent="0.25">
      <c r="A7385" s="1"/>
    </row>
    <row r="7386" spans="1:1" ht="46.5" customHeight="1" x14ac:dyDescent="0.25">
      <c r="A7386" s="1"/>
    </row>
    <row r="7387" spans="1:1" ht="46.5" customHeight="1" x14ac:dyDescent="0.25">
      <c r="A7387" s="1"/>
    </row>
    <row r="7388" spans="1:1" ht="46.5" customHeight="1" x14ac:dyDescent="0.25">
      <c r="A7388" s="1"/>
    </row>
    <row r="7389" spans="1:1" ht="46.5" customHeight="1" x14ac:dyDescent="0.25">
      <c r="A7389" s="1"/>
    </row>
    <row r="7390" spans="1:1" ht="46.5" customHeight="1" x14ac:dyDescent="0.25">
      <c r="A7390" s="1"/>
    </row>
    <row r="7391" spans="1:1" ht="46.5" customHeight="1" x14ac:dyDescent="0.25">
      <c r="A7391" s="1"/>
    </row>
    <row r="7392" spans="1:1" ht="46.5" customHeight="1" x14ac:dyDescent="0.25">
      <c r="A7392" s="1"/>
    </row>
    <row r="7393" spans="1:1" ht="46.5" customHeight="1" x14ac:dyDescent="0.25">
      <c r="A7393" s="1"/>
    </row>
    <row r="7394" spans="1:1" ht="46.5" customHeight="1" x14ac:dyDescent="0.25">
      <c r="A7394" s="1"/>
    </row>
    <row r="7395" spans="1:1" ht="46.5" customHeight="1" x14ac:dyDescent="0.25">
      <c r="A7395" s="1"/>
    </row>
    <row r="7396" spans="1:1" ht="46.5" customHeight="1" x14ac:dyDescent="0.25">
      <c r="A7396" s="1"/>
    </row>
    <row r="7397" spans="1:1" ht="46.5" customHeight="1" x14ac:dyDescent="0.25">
      <c r="A7397" s="1"/>
    </row>
    <row r="7398" spans="1:1" ht="46.5" customHeight="1" x14ac:dyDescent="0.25">
      <c r="A7398" s="1"/>
    </row>
    <row r="7399" spans="1:1" ht="46.5" customHeight="1" x14ac:dyDescent="0.25">
      <c r="A7399" s="1"/>
    </row>
    <row r="7400" spans="1:1" ht="46.5" customHeight="1" x14ac:dyDescent="0.25">
      <c r="A7400" s="1"/>
    </row>
    <row r="7401" spans="1:1" ht="46.5" customHeight="1" x14ac:dyDescent="0.25">
      <c r="A7401" s="1"/>
    </row>
    <row r="7402" spans="1:1" ht="46.5" customHeight="1" x14ac:dyDescent="0.25">
      <c r="A7402" s="1"/>
    </row>
    <row r="7403" spans="1:1" ht="46.5" customHeight="1" x14ac:dyDescent="0.25">
      <c r="A7403" s="1"/>
    </row>
    <row r="7404" spans="1:1" ht="46.5" customHeight="1" x14ac:dyDescent="0.25">
      <c r="A7404" s="1"/>
    </row>
    <row r="7405" spans="1:1" ht="46.5" customHeight="1" x14ac:dyDescent="0.25">
      <c r="A7405" s="1"/>
    </row>
    <row r="7406" spans="1:1" ht="46.5" customHeight="1" x14ac:dyDescent="0.25">
      <c r="A7406" s="1"/>
    </row>
    <row r="7407" spans="1:1" ht="46.5" customHeight="1" x14ac:dyDescent="0.25">
      <c r="A7407" s="1"/>
    </row>
    <row r="7408" spans="1:1" ht="46.5" customHeight="1" x14ac:dyDescent="0.25">
      <c r="A7408" s="1"/>
    </row>
    <row r="7409" spans="1:1" ht="46.5" customHeight="1" x14ac:dyDescent="0.25">
      <c r="A7409" s="1"/>
    </row>
    <row r="7410" spans="1:1" ht="46.5" customHeight="1" x14ac:dyDescent="0.25">
      <c r="A7410" s="1"/>
    </row>
    <row r="7411" spans="1:1" ht="46.5" customHeight="1" x14ac:dyDescent="0.25">
      <c r="A7411" s="1"/>
    </row>
    <row r="7412" spans="1:1" ht="46.5" customHeight="1" x14ac:dyDescent="0.25">
      <c r="A7412" s="1"/>
    </row>
    <row r="7413" spans="1:1" ht="46.5" customHeight="1" x14ac:dyDescent="0.25">
      <c r="A7413" s="1"/>
    </row>
    <row r="7414" spans="1:1" ht="46.5" customHeight="1" x14ac:dyDescent="0.25">
      <c r="A7414" s="1"/>
    </row>
    <row r="7415" spans="1:1" ht="46.5" customHeight="1" x14ac:dyDescent="0.25">
      <c r="A7415" s="1"/>
    </row>
    <row r="7416" spans="1:1" ht="46.5" customHeight="1" x14ac:dyDescent="0.25">
      <c r="A7416" s="1"/>
    </row>
    <row r="7417" spans="1:1" ht="46.5" customHeight="1" x14ac:dyDescent="0.25">
      <c r="A7417" s="1"/>
    </row>
    <row r="7418" spans="1:1" ht="46.5" customHeight="1" x14ac:dyDescent="0.25">
      <c r="A7418" s="1"/>
    </row>
    <row r="7419" spans="1:1" ht="46.5" customHeight="1" x14ac:dyDescent="0.25">
      <c r="A7419" s="1"/>
    </row>
    <row r="7420" spans="1:1" ht="46.5" customHeight="1" x14ac:dyDescent="0.25">
      <c r="A7420" s="1"/>
    </row>
    <row r="7421" spans="1:1" ht="46.5" customHeight="1" x14ac:dyDescent="0.25">
      <c r="A7421" s="1"/>
    </row>
    <row r="7422" spans="1:1" ht="46.5" customHeight="1" x14ac:dyDescent="0.25">
      <c r="A7422" s="1"/>
    </row>
    <row r="7423" spans="1:1" ht="46.5" customHeight="1" x14ac:dyDescent="0.25">
      <c r="A7423" s="1"/>
    </row>
    <row r="7424" spans="1:1" ht="46.5" customHeight="1" x14ac:dyDescent="0.25">
      <c r="A7424" s="1"/>
    </row>
    <row r="7425" spans="1:1" ht="46.5" customHeight="1" x14ac:dyDescent="0.25">
      <c r="A7425" s="1"/>
    </row>
    <row r="7426" spans="1:1" ht="46.5" customHeight="1" x14ac:dyDescent="0.25">
      <c r="A7426" s="1"/>
    </row>
    <row r="7427" spans="1:1" ht="46.5" customHeight="1" x14ac:dyDescent="0.25">
      <c r="A7427" s="1"/>
    </row>
    <row r="7428" spans="1:1" ht="46.5" customHeight="1" x14ac:dyDescent="0.25">
      <c r="A7428" s="1"/>
    </row>
    <row r="7429" spans="1:1" ht="46.5" customHeight="1" x14ac:dyDescent="0.25">
      <c r="A7429" s="1"/>
    </row>
    <row r="7430" spans="1:1" ht="46.5" customHeight="1" x14ac:dyDescent="0.25">
      <c r="A7430" s="1"/>
    </row>
    <row r="7431" spans="1:1" ht="46.5" customHeight="1" x14ac:dyDescent="0.25">
      <c r="A7431" s="1"/>
    </row>
    <row r="7432" spans="1:1" ht="46.5" customHeight="1" x14ac:dyDescent="0.25">
      <c r="A7432" s="1"/>
    </row>
    <row r="7433" spans="1:1" ht="46.5" customHeight="1" x14ac:dyDescent="0.25">
      <c r="A7433" s="1"/>
    </row>
    <row r="7434" spans="1:1" ht="46.5" customHeight="1" x14ac:dyDescent="0.25">
      <c r="A7434" s="1"/>
    </row>
    <row r="7435" spans="1:1" ht="46.5" customHeight="1" x14ac:dyDescent="0.25">
      <c r="A7435" s="1"/>
    </row>
    <row r="7436" spans="1:1" ht="46.5" customHeight="1" x14ac:dyDescent="0.25">
      <c r="A7436" s="1"/>
    </row>
    <row r="7437" spans="1:1" ht="46.5" customHeight="1" x14ac:dyDescent="0.25">
      <c r="A7437" s="1"/>
    </row>
    <row r="7438" spans="1:1" ht="46.5" customHeight="1" x14ac:dyDescent="0.25">
      <c r="A7438" s="1"/>
    </row>
    <row r="7439" spans="1:1" ht="46.5" customHeight="1" x14ac:dyDescent="0.25">
      <c r="A7439" s="1"/>
    </row>
    <row r="7440" spans="1:1" ht="46.5" customHeight="1" x14ac:dyDescent="0.25">
      <c r="A7440" s="1"/>
    </row>
    <row r="7441" spans="1:1" ht="46.5" customHeight="1" x14ac:dyDescent="0.25">
      <c r="A7441" s="1"/>
    </row>
    <row r="7442" spans="1:1" ht="46.5" customHeight="1" x14ac:dyDescent="0.25">
      <c r="A7442" s="1"/>
    </row>
    <row r="7443" spans="1:1" ht="46.5" customHeight="1" x14ac:dyDescent="0.25">
      <c r="A7443" s="1"/>
    </row>
    <row r="7444" spans="1:1" ht="46.5" customHeight="1" x14ac:dyDescent="0.25">
      <c r="A7444" s="1"/>
    </row>
    <row r="7445" spans="1:1" ht="46.5" customHeight="1" x14ac:dyDescent="0.25">
      <c r="A7445" s="1"/>
    </row>
    <row r="7446" spans="1:1" ht="46.5" customHeight="1" x14ac:dyDescent="0.25">
      <c r="A7446" s="1"/>
    </row>
    <row r="7447" spans="1:1" ht="46.5" customHeight="1" x14ac:dyDescent="0.25">
      <c r="A7447" s="1"/>
    </row>
    <row r="7448" spans="1:1" ht="46.5" customHeight="1" x14ac:dyDescent="0.25">
      <c r="A7448" s="1"/>
    </row>
    <row r="7449" spans="1:1" ht="46.5" customHeight="1" x14ac:dyDescent="0.25">
      <c r="A7449" s="1"/>
    </row>
    <row r="7450" spans="1:1" ht="46.5" customHeight="1" x14ac:dyDescent="0.25">
      <c r="A7450" s="1"/>
    </row>
    <row r="7451" spans="1:1" ht="46.5" customHeight="1" x14ac:dyDescent="0.25">
      <c r="A7451" s="1"/>
    </row>
    <row r="7452" spans="1:1" ht="46.5" customHeight="1" x14ac:dyDescent="0.25">
      <c r="A7452" s="1"/>
    </row>
    <row r="7453" spans="1:1" ht="46.5" customHeight="1" x14ac:dyDescent="0.25">
      <c r="A7453" s="1"/>
    </row>
    <row r="7454" spans="1:1" ht="46.5" customHeight="1" x14ac:dyDescent="0.25">
      <c r="A7454" s="1"/>
    </row>
    <row r="7455" spans="1:1" ht="46.5" customHeight="1" x14ac:dyDescent="0.25">
      <c r="A7455" s="1"/>
    </row>
    <row r="7456" spans="1:1" ht="46.5" customHeight="1" x14ac:dyDescent="0.25">
      <c r="A7456" s="1"/>
    </row>
    <row r="7457" spans="1:1" ht="46.5" customHeight="1" x14ac:dyDescent="0.25">
      <c r="A7457" s="1"/>
    </row>
    <row r="7458" spans="1:1" ht="46.5" customHeight="1" x14ac:dyDescent="0.25">
      <c r="A7458" s="1"/>
    </row>
    <row r="7459" spans="1:1" ht="46.5" customHeight="1" x14ac:dyDescent="0.25">
      <c r="A7459" s="1"/>
    </row>
    <row r="7460" spans="1:1" ht="46.5" customHeight="1" x14ac:dyDescent="0.25">
      <c r="A7460" s="1"/>
    </row>
    <row r="7461" spans="1:1" ht="46.5" customHeight="1" x14ac:dyDescent="0.25">
      <c r="A7461" s="1"/>
    </row>
    <row r="7462" spans="1:1" ht="46.5" customHeight="1" x14ac:dyDescent="0.25">
      <c r="A7462" s="1"/>
    </row>
    <row r="7463" spans="1:1" ht="46.5" customHeight="1" x14ac:dyDescent="0.25">
      <c r="A7463" s="1"/>
    </row>
    <row r="7464" spans="1:1" ht="46.5" customHeight="1" x14ac:dyDescent="0.25">
      <c r="A7464" s="1"/>
    </row>
    <row r="7465" spans="1:1" ht="46.5" customHeight="1" x14ac:dyDescent="0.25">
      <c r="A7465" s="1"/>
    </row>
    <row r="7466" spans="1:1" ht="46.5" customHeight="1" x14ac:dyDescent="0.25">
      <c r="A7466" s="1"/>
    </row>
    <row r="7467" spans="1:1" ht="46.5" customHeight="1" x14ac:dyDescent="0.25">
      <c r="A7467" s="1"/>
    </row>
    <row r="7468" spans="1:1" ht="46.5" customHeight="1" x14ac:dyDescent="0.25">
      <c r="A7468" s="1"/>
    </row>
    <row r="7469" spans="1:1" ht="46.5" customHeight="1" x14ac:dyDescent="0.25">
      <c r="A7469" s="1"/>
    </row>
    <row r="7470" spans="1:1" ht="46.5" customHeight="1" x14ac:dyDescent="0.25">
      <c r="A7470" s="1"/>
    </row>
    <row r="7471" spans="1:1" ht="46.5" customHeight="1" x14ac:dyDescent="0.25">
      <c r="A7471" s="1"/>
    </row>
    <row r="7472" spans="1:1" ht="46.5" customHeight="1" x14ac:dyDescent="0.25">
      <c r="A7472" s="1"/>
    </row>
    <row r="7473" spans="1:1" ht="46.5" customHeight="1" x14ac:dyDescent="0.25">
      <c r="A7473" s="1"/>
    </row>
    <row r="7474" spans="1:1" ht="46.5" customHeight="1" x14ac:dyDescent="0.25">
      <c r="A7474" s="1"/>
    </row>
    <row r="7475" spans="1:1" ht="46.5" customHeight="1" x14ac:dyDescent="0.25">
      <c r="A7475" s="1"/>
    </row>
    <row r="7476" spans="1:1" ht="46.5" customHeight="1" x14ac:dyDescent="0.25">
      <c r="A7476" s="1"/>
    </row>
    <row r="7477" spans="1:1" ht="46.5" customHeight="1" x14ac:dyDescent="0.25">
      <c r="A7477" s="1"/>
    </row>
    <row r="7478" spans="1:1" ht="46.5" customHeight="1" x14ac:dyDescent="0.25">
      <c r="A7478" s="1"/>
    </row>
    <row r="7479" spans="1:1" ht="46.5" customHeight="1" x14ac:dyDescent="0.25">
      <c r="A7479" s="1"/>
    </row>
    <row r="7480" spans="1:1" ht="46.5" customHeight="1" x14ac:dyDescent="0.25">
      <c r="A7480" s="1"/>
    </row>
    <row r="7481" spans="1:1" ht="46.5" customHeight="1" x14ac:dyDescent="0.25">
      <c r="A7481" s="1"/>
    </row>
    <row r="7482" spans="1:1" ht="46.5" customHeight="1" x14ac:dyDescent="0.25">
      <c r="A7482" s="1"/>
    </row>
    <row r="7483" spans="1:1" ht="46.5" customHeight="1" x14ac:dyDescent="0.25">
      <c r="A7483" s="1"/>
    </row>
    <row r="7484" spans="1:1" ht="46.5" customHeight="1" x14ac:dyDescent="0.25">
      <c r="A7484" s="1"/>
    </row>
    <row r="7485" spans="1:1" ht="46.5" customHeight="1" x14ac:dyDescent="0.25">
      <c r="A7485" s="1"/>
    </row>
    <row r="7486" spans="1:1" ht="46.5" customHeight="1" x14ac:dyDescent="0.25">
      <c r="A7486" s="1"/>
    </row>
    <row r="7487" spans="1:1" ht="46.5" customHeight="1" x14ac:dyDescent="0.25">
      <c r="A7487" s="1"/>
    </row>
    <row r="7488" spans="1:1" ht="46.5" customHeight="1" x14ac:dyDescent="0.25">
      <c r="A7488" s="1"/>
    </row>
    <row r="7489" spans="1:1" ht="46.5" customHeight="1" x14ac:dyDescent="0.25">
      <c r="A7489" s="1"/>
    </row>
    <row r="7490" spans="1:1" ht="46.5" customHeight="1" x14ac:dyDescent="0.25">
      <c r="A7490" s="1"/>
    </row>
    <row r="7491" spans="1:1" ht="46.5" customHeight="1" x14ac:dyDescent="0.25">
      <c r="A7491" s="1"/>
    </row>
    <row r="7492" spans="1:1" ht="46.5" customHeight="1" x14ac:dyDescent="0.25">
      <c r="A7492" s="1"/>
    </row>
    <row r="7493" spans="1:1" ht="46.5" customHeight="1" x14ac:dyDescent="0.25">
      <c r="A7493" s="1"/>
    </row>
    <row r="7494" spans="1:1" ht="46.5" customHeight="1" x14ac:dyDescent="0.25">
      <c r="A7494" s="1"/>
    </row>
    <row r="7495" spans="1:1" ht="46.5" customHeight="1" x14ac:dyDescent="0.25">
      <c r="A7495" s="1"/>
    </row>
    <row r="7496" spans="1:1" ht="46.5" customHeight="1" x14ac:dyDescent="0.25">
      <c r="A7496" s="1"/>
    </row>
    <row r="7497" spans="1:1" ht="46.5" customHeight="1" x14ac:dyDescent="0.25">
      <c r="A7497" s="1"/>
    </row>
    <row r="7498" spans="1:1" ht="46.5" customHeight="1" x14ac:dyDescent="0.25">
      <c r="A7498" s="1"/>
    </row>
    <row r="7499" spans="1:1" ht="46.5" customHeight="1" x14ac:dyDescent="0.25">
      <c r="A7499" s="1"/>
    </row>
    <row r="7500" spans="1:1" ht="46.5" customHeight="1" x14ac:dyDescent="0.25">
      <c r="A7500" s="1"/>
    </row>
    <row r="7501" spans="1:1" ht="46.5" customHeight="1" x14ac:dyDescent="0.25">
      <c r="A7501" s="1"/>
    </row>
    <row r="7502" spans="1:1" ht="46.5" customHeight="1" x14ac:dyDescent="0.25">
      <c r="A7502" s="1"/>
    </row>
    <row r="7503" spans="1:1" ht="46.5" customHeight="1" x14ac:dyDescent="0.25">
      <c r="A7503" s="1"/>
    </row>
    <row r="7504" spans="1:1" ht="46.5" customHeight="1" x14ac:dyDescent="0.25">
      <c r="A7504" s="1"/>
    </row>
    <row r="7505" spans="1:1" ht="46.5" customHeight="1" x14ac:dyDescent="0.25">
      <c r="A7505" s="1"/>
    </row>
    <row r="7506" spans="1:1" ht="46.5" customHeight="1" x14ac:dyDescent="0.25">
      <c r="A7506" s="1"/>
    </row>
    <row r="7507" spans="1:1" ht="46.5" customHeight="1" x14ac:dyDescent="0.25">
      <c r="A7507" s="1"/>
    </row>
    <row r="7508" spans="1:1" ht="46.5" customHeight="1" x14ac:dyDescent="0.25">
      <c r="A7508" s="1"/>
    </row>
    <row r="7509" spans="1:1" ht="46.5" customHeight="1" x14ac:dyDescent="0.25">
      <c r="A7509" s="1"/>
    </row>
    <row r="7510" spans="1:1" ht="46.5" customHeight="1" x14ac:dyDescent="0.25">
      <c r="A7510" s="1"/>
    </row>
    <row r="7511" spans="1:1" ht="46.5" customHeight="1" x14ac:dyDescent="0.25">
      <c r="A7511" s="1"/>
    </row>
    <row r="7512" spans="1:1" ht="46.5" customHeight="1" x14ac:dyDescent="0.25">
      <c r="A7512" s="1"/>
    </row>
    <row r="7513" spans="1:1" ht="46.5" customHeight="1" x14ac:dyDescent="0.25">
      <c r="A7513" s="1"/>
    </row>
    <row r="7514" spans="1:1" ht="46.5" customHeight="1" x14ac:dyDescent="0.25">
      <c r="A7514" s="1"/>
    </row>
    <row r="7515" spans="1:1" ht="46.5" customHeight="1" x14ac:dyDescent="0.25">
      <c r="A7515" s="1"/>
    </row>
    <row r="7516" spans="1:1" ht="46.5" customHeight="1" x14ac:dyDescent="0.25">
      <c r="A7516" s="1"/>
    </row>
    <row r="7517" spans="1:1" ht="46.5" customHeight="1" x14ac:dyDescent="0.25">
      <c r="A7517" s="1"/>
    </row>
    <row r="7518" spans="1:1" ht="46.5" customHeight="1" x14ac:dyDescent="0.25">
      <c r="A7518" s="1"/>
    </row>
    <row r="7519" spans="1:1" ht="46.5" customHeight="1" x14ac:dyDescent="0.25">
      <c r="A7519" s="1"/>
    </row>
    <row r="7520" spans="1:1" ht="46.5" customHeight="1" x14ac:dyDescent="0.25">
      <c r="A7520" s="1"/>
    </row>
    <row r="7521" spans="1:1" ht="46.5" customHeight="1" x14ac:dyDescent="0.25">
      <c r="A7521" s="1"/>
    </row>
    <row r="7522" spans="1:1" ht="46.5" customHeight="1" x14ac:dyDescent="0.25">
      <c r="A7522" s="1"/>
    </row>
    <row r="7523" spans="1:1" ht="46.5" customHeight="1" x14ac:dyDescent="0.25">
      <c r="A7523" s="1"/>
    </row>
    <row r="7524" spans="1:1" ht="46.5" customHeight="1" x14ac:dyDescent="0.25">
      <c r="A7524" s="1"/>
    </row>
    <row r="7525" spans="1:1" ht="46.5" customHeight="1" x14ac:dyDescent="0.25">
      <c r="A7525" s="1"/>
    </row>
    <row r="7526" spans="1:1" ht="46.5" customHeight="1" x14ac:dyDescent="0.25">
      <c r="A7526" s="1"/>
    </row>
    <row r="7527" spans="1:1" ht="46.5" customHeight="1" x14ac:dyDescent="0.25">
      <c r="A7527" s="1"/>
    </row>
    <row r="7528" spans="1:1" ht="46.5" customHeight="1" x14ac:dyDescent="0.25">
      <c r="A7528" s="1"/>
    </row>
    <row r="7529" spans="1:1" ht="46.5" customHeight="1" x14ac:dyDescent="0.25">
      <c r="A7529" s="1"/>
    </row>
    <row r="7530" spans="1:1" ht="46.5" customHeight="1" x14ac:dyDescent="0.25">
      <c r="A7530" s="1"/>
    </row>
    <row r="7531" spans="1:1" ht="46.5" customHeight="1" x14ac:dyDescent="0.25">
      <c r="A7531" s="1"/>
    </row>
    <row r="7532" spans="1:1" ht="46.5" customHeight="1" x14ac:dyDescent="0.25">
      <c r="A7532" s="1"/>
    </row>
    <row r="7533" spans="1:1" ht="46.5" customHeight="1" x14ac:dyDescent="0.25">
      <c r="A7533" s="1"/>
    </row>
    <row r="7534" spans="1:1" ht="46.5" customHeight="1" x14ac:dyDescent="0.25">
      <c r="A7534" s="1"/>
    </row>
    <row r="7535" spans="1:1" ht="46.5" customHeight="1" x14ac:dyDescent="0.25">
      <c r="A7535" s="1"/>
    </row>
    <row r="7536" spans="1:1" ht="46.5" customHeight="1" x14ac:dyDescent="0.25">
      <c r="A7536" s="1"/>
    </row>
    <row r="7537" spans="1:1" ht="46.5" customHeight="1" x14ac:dyDescent="0.25">
      <c r="A7537" s="1"/>
    </row>
    <row r="7538" spans="1:1" ht="46.5" customHeight="1" x14ac:dyDescent="0.25">
      <c r="A7538" s="1"/>
    </row>
    <row r="7539" spans="1:1" ht="46.5" customHeight="1" x14ac:dyDescent="0.25">
      <c r="A7539" s="1"/>
    </row>
    <row r="7540" spans="1:1" ht="46.5" customHeight="1" x14ac:dyDescent="0.25">
      <c r="A7540" s="1"/>
    </row>
    <row r="7541" spans="1:1" ht="46.5" customHeight="1" x14ac:dyDescent="0.25">
      <c r="A7541" s="1"/>
    </row>
    <row r="7542" spans="1:1" ht="46.5" customHeight="1" x14ac:dyDescent="0.25">
      <c r="A7542" s="1"/>
    </row>
    <row r="7543" spans="1:1" ht="46.5" customHeight="1" x14ac:dyDescent="0.25">
      <c r="A7543" s="1"/>
    </row>
    <row r="7544" spans="1:1" ht="46.5" customHeight="1" x14ac:dyDescent="0.25">
      <c r="A7544" s="1"/>
    </row>
    <row r="7545" spans="1:1" ht="46.5" customHeight="1" x14ac:dyDescent="0.25">
      <c r="A7545" s="1"/>
    </row>
    <row r="7546" spans="1:1" ht="46.5" customHeight="1" x14ac:dyDescent="0.25">
      <c r="A7546" s="1"/>
    </row>
    <row r="7547" spans="1:1" ht="46.5" customHeight="1" x14ac:dyDescent="0.25">
      <c r="A7547" s="1"/>
    </row>
    <row r="7548" spans="1:1" ht="46.5" customHeight="1" x14ac:dyDescent="0.25">
      <c r="A7548" s="1"/>
    </row>
    <row r="7549" spans="1:1" ht="46.5" customHeight="1" x14ac:dyDescent="0.25">
      <c r="A7549" s="1"/>
    </row>
    <row r="7550" spans="1:1" ht="46.5" customHeight="1" x14ac:dyDescent="0.25">
      <c r="A7550" s="1"/>
    </row>
    <row r="7551" spans="1:1" ht="46.5" customHeight="1" x14ac:dyDescent="0.25">
      <c r="A7551" s="1"/>
    </row>
    <row r="7552" spans="1:1" ht="46.5" customHeight="1" x14ac:dyDescent="0.25">
      <c r="A7552" s="1"/>
    </row>
    <row r="7553" spans="1:1" ht="46.5" customHeight="1" x14ac:dyDescent="0.25">
      <c r="A7553" s="1"/>
    </row>
    <row r="7554" spans="1:1" ht="46.5" customHeight="1" x14ac:dyDescent="0.25">
      <c r="A7554" s="1"/>
    </row>
    <row r="7555" spans="1:1" ht="46.5" customHeight="1" x14ac:dyDescent="0.25">
      <c r="A7555" s="1"/>
    </row>
    <row r="7556" spans="1:1" ht="46.5" customHeight="1" x14ac:dyDescent="0.25">
      <c r="A7556" s="1"/>
    </row>
    <row r="7557" spans="1:1" ht="46.5" customHeight="1" x14ac:dyDescent="0.25">
      <c r="A7557" s="1"/>
    </row>
    <row r="7558" spans="1:1" ht="46.5" customHeight="1" x14ac:dyDescent="0.25">
      <c r="A7558" s="1"/>
    </row>
    <row r="7559" spans="1:1" ht="46.5" customHeight="1" x14ac:dyDescent="0.25">
      <c r="A7559" s="1"/>
    </row>
    <row r="7560" spans="1:1" ht="46.5" customHeight="1" x14ac:dyDescent="0.25">
      <c r="A7560" s="1"/>
    </row>
    <row r="7561" spans="1:1" ht="46.5" customHeight="1" x14ac:dyDescent="0.25">
      <c r="A7561" s="1"/>
    </row>
    <row r="7562" spans="1:1" ht="46.5" customHeight="1" x14ac:dyDescent="0.25">
      <c r="A7562" s="1"/>
    </row>
    <row r="7563" spans="1:1" ht="46.5" customHeight="1" x14ac:dyDescent="0.25">
      <c r="A7563" s="1"/>
    </row>
    <row r="7564" spans="1:1" ht="46.5" customHeight="1" x14ac:dyDescent="0.25">
      <c r="A7564" s="1"/>
    </row>
    <row r="7565" spans="1:1" ht="46.5" customHeight="1" x14ac:dyDescent="0.25">
      <c r="A7565" s="1"/>
    </row>
    <row r="7566" spans="1:1" ht="46.5" customHeight="1" x14ac:dyDescent="0.25">
      <c r="A7566" s="1"/>
    </row>
    <row r="7567" spans="1:1" ht="46.5" customHeight="1" x14ac:dyDescent="0.25">
      <c r="A7567" s="1"/>
    </row>
    <row r="7568" spans="1:1" ht="46.5" customHeight="1" x14ac:dyDescent="0.25">
      <c r="A7568" s="1"/>
    </row>
    <row r="7569" spans="1:1" ht="46.5" customHeight="1" x14ac:dyDescent="0.25">
      <c r="A7569" s="1"/>
    </row>
    <row r="7570" spans="1:1" ht="46.5" customHeight="1" x14ac:dyDescent="0.25">
      <c r="A7570" s="1"/>
    </row>
    <row r="7571" spans="1:1" ht="46.5" customHeight="1" x14ac:dyDescent="0.25">
      <c r="A7571" s="1"/>
    </row>
    <row r="7572" spans="1:1" ht="46.5" customHeight="1" x14ac:dyDescent="0.25">
      <c r="A7572" s="1"/>
    </row>
    <row r="7573" spans="1:1" ht="46.5" customHeight="1" x14ac:dyDescent="0.25">
      <c r="A7573" s="1"/>
    </row>
    <row r="7574" spans="1:1" ht="46.5" customHeight="1" x14ac:dyDescent="0.25">
      <c r="A7574" s="1"/>
    </row>
    <row r="7575" spans="1:1" ht="46.5" customHeight="1" x14ac:dyDescent="0.25">
      <c r="A7575" s="1"/>
    </row>
    <row r="7576" spans="1:1" ht="46.5" customHeight="1" x14ac:dyDescent="0.25">
      <c r="A7576" s="1"/>
    </row>
    <row r="7577" spans="1:1" ht="46.5" customHeight="1" x14ac:dyDescent="0.25">
      <c r="A7577" s="1"/>
    </row>
    <row r="7578" spans="1:1" ht="46.5" customHeight="1" x14ac:dyDescent="0.25">
      <c r="A7578" s="1"/>
    </row>
    <row r="7579" spans="1:1" ht="46.5" customHeight="1" x14ac:dyDescent="0.25">
      <c r="A7579" s="1"/>
    </row>
    <row r="7580" spans="1:1" ht="46.5" customHeight="1" x14ac:dyDescent="0.25">
      <c r="A7580" s="1"/>
    </row>
    <row r="7581" spans="1:1" ht="46.5" customHeight="1" x14ac:dyDescent="0.25">
      <c r="A7581" s="1"/>
    </row>
    <row r="7582" spans="1:1" ht="46.5" customHeight="1" x14ac:dyDescent="0.25">
      <c r="A7582" s="1"/>
    </row>
    <row r="7583" spans="1:1" ht="46.5" customHeight="1" x14ac:dyDescent="0.25">
      <c r="A7583" s="1"/>
    </row>
    <row r="7584" spans="1:1" ht="46.5" customHeight="1" x14ac:dyDescent="0.25">
      <c r="A7584" s="1"/>
    </row>
    <row r="7585" spans="1:1" ht="46.5" customHeight="1" x14ac:dyDescent="0.25">
      <c r="A7585" s="1"/>
    </row>
    <row r="7586" spans="1:1" ht="46.5" customHeight="1" x14ac:dyDescent="0.25">
      <c r="A7586" s="1"/>
    </row>
    <row r="7587" spans="1:1" ht="46.5" customHeight="1" x14ac:dyDescent="0.25">
      <c r="A7587" s="1"/>
    </row>
    <row r="7588" spans="1:1" ht="46.5" customHeight="1" x14ac:dyDescent="0.25">
      <c r="A7588" s="1"/>
    </row>
    <row r="7589" spans="1:1" ht="46.5" customHeight="1" x14ac:dyDescent="0.25">
      <c r="A7589" s="1"/>
    </row>
    <row r="7590" spans="1:1" ht="46.5" customHeight="1" x14ac:dyDescent="0.25">
      <c r="A7590" s="1"/>
    </row>
    <row r="7591" spans="1:1" ht="46.5" customHeight="1" x14ac:dyDescent="0.25">
      <c r="A7591" s="1"/>
    </row>
    <row r="7592" spans="1:1" ht="46.5" customHeight="1" x14ac:dyDescent="0.25">
      <c r="A7592" s="1"/>
    </row>
    <row r="7593" spans="1:1" ht="46.5" customHeight="1" x14ac:dyDescent="0.25">
      <c r="A7593" s="1"/>
    </row>
    <row r="7594" spans="1:1" ht="46.5" customHeight="1" x14ac:dyDescent="0.25">
      <c r="A7594" s="1"/>
    </row>
    <row r="7595" spans="1:1" ht="46.5" customHeight="1" x14ac:dyDescent="0.25">
      <c r="A7595" s="1"/>
    </row>
    <row r="7596" spans="1:1" ht="46.5" customHeight="1" x14ac:dyDescent="0.25">
      <c r="A7596" s="1"/>
    </row>
    <row r="7597" spans="1:1" ht="46.5" customHeight="1" x14ac:dyDescent="0.25">
      <c r="A7597" s="1"/>
    </row>
    <row r="7598" spans="1:1" ht="46.5" customHeight="1" x14ac:dyDescent="0.25">
      <c r="A7598" s="1"/>
    </row>
    <row r="7599" spans="1:1" ht="46.5" customHeight="1" x14ac:dyDescent="0.25">
      <c r="A7599" s="1"/>
    </row>
    <row r="7600" spans="1:1" ht="46.5" customHeight="1" x14ac:dyDescent="0.25">
      <c r="A7600" s="1"/>
    </row>
    <row r="7601" spans="1:1" ht="46.5" customHeight="1" x14ac:dyDescent="0.25">
      <c r="A7601" s="1"/>
    </row>
    <row r="7602" spans="1:1" ht="46.5" customHeight="1" x14ac:dyDescent="0.25">
      <c r="A7602" s="1"/>
    </row>
    <row r="7603" spans="1:1" ht="46.5" customHeight="1" x14ac:dyDescent="0.25">
      <c r="A7603" s="1"/>
    </row>
    <row r="7604" spans="1:1" ht="46.5" customHeight="1" x14ac:dyDescent="0.25">
      <c r="A7604" s="1"/>
    </row>
    <row r="7605" spans="1:1" ht="46.5" customHeight="1" x14ac:dyDescent="0.25">
      <c r="A7605" s="1"/>
    </row>
    <row r="7606" spans="1:1" ht="46.5" customHeight="1" x14ac:dyDescent="0.25">
      <c r="A7606" s="1"/>
    </row>
    <row r="7607" spans="1:1" ht="46.5" customHeight="1" x14ac:dyDescent="0.25">
      <c r="A7607" s="1"/>
    </row>
    <row r="7608" spans="1:1" ht="46.5" customHeight="1" x14ac:dyDescent="0.25">
      <c r="A7608" s="1"/>
    </row>
    <row r="7609" spans="1:1" ht="46.5" customHeight="1" x14ac:dyDescent="0.25">
      <c r="A7609" s="1"/>
    </row>
    <row r="7610" spans="1:1" ht="46.5" customHeight="1" x14ac:dyDescent="0.25">
      <c r="A7610" s="1"/>
    </row>
    <row r="7611" spans="1:1" ht="46.5" customHeight="1" x14ac:dyDescent="0.25">
      <c r="A7611" s="1"/>
    </row>
    <row r="7612" spans="1:1" ht="46.5" customHeight="1" x14ac:dyDescent="0.25">
      <c r="A7612" s="1"/>
    </row>
    <row r="7613" spans="1:1" ht="46.5" customHeight="1" x14ac:dyDescent="0.25">
      <c r="A7613" s="1"/>
    </row>
    <row r="7614" spans="1:1" ht="46.5" customHeight="1" x14ac:dyDescent="0.25">
      <c r="A7614" s="1"/>
    </row>
    <row r="7615" spans="1:1" ht="46.5" customHeight="1" x14ac:dyDescent="0.25">
      <c r="A7615" s="1"/>
    </row>
    <row r="7616" spans="1:1" ht="46.5" customHeight="1" x14ac:dyDescent="0.25">
      <c r="A7616" s="1"/>
    </row>
    <row r="7617" spans="1:1" ht="46.5" customHeight="1" x14ac:dyDescent="0.25">
      <c r="A7617" s="1"/>
    </row>
    <row r="7618" spans="1:1" ht="46.5" customHeight="1" x14ac:dyDescent="0.25">
      <c r="A7618" s="1"/>
    </row>
    <row r="7619" spans="1:1" ht="46.5" customHeight="1" x14ac:dyDescent="0.25">
      <c r="A7619" s="1"/>
    </row>
    <row r="7620" spans="1:1" ht="46.5" customHeight="1" x14ac:dyDescent="0.25">
      <c r="A7620" s="1"/>
    </row>
    <row r="7621" spans="1:1" ht="46.5" customHeight="1" x14ac:dyDescent="0.25">
      <c r="A7621" s="1"/>
    </row>
    <row r="7622" spans="1:1" ht="46.5" customHeight="1" x14ac:dyDescent="0.25">
      <c r="A7622" s="1"/>
    </row>
    <row r="7623" spans="1:1" ht="46.5" customHeight="1" x14ac:dyDescent="0.25">
      <c r="A7623" s="1"/>
    </row>
    <row r="7624" spans="1:1" ht="46.5" customHeight="1" x14ac:dyDescent="0.25">
      <c r="A7624" s="1"/>
    </row>
    <row r="7625" spans="1:1" ht="46.5" customHeight="1" x14ac:dyDescent="0.25">
      <c r="A7625" s="1"/>
    </row>
    <row r="7626" spans="1:1" ht="46.5" customHeight="1" x14ac:dyDescent="0.25">
      <c r="A7626" s="1"/>
    </row>
    <row r="7627" spans="1:1" ht="46.5" customHeight="1" x14ac:dyDescent="0.25">
      <c r="A7627" s="1"/>
    </row>
    <row r="7628" spans="1:1" ht="46.5" customHeight="1" x14ac:dyDescent="0.25">
      <c r="A7628" s="1"/>
    </row>
    <row r="7629" spans="1:1" ht="46.5" customHeight="1" x14ac:dyDescent="0.25">
      <c r="A7629" s="1"/>
    </row>
    <row r="7630" spans="1:1" ht="46.5" customHeight="1" x14ac:dyDescent="0.25">
      <c r="A7630" s="1"/>
    </row>
    <row r="7631" spans="1:1" ht="46.5" customHeight="1" x14ac:dyDescent="0.25">
      <c r="A7631" s="1"/>
    </row>
    <row r="7632" spans="1:1" ht="46.5" customHeight="1" x14ac:dyDescent="0.25">
      <c r="A7632" s="1"/>
    </row>
    <row r="7633" spans="1:1" ht="46.5" customHeight="1" x14ac:dyDescent="0.25">
      <c r="A7633" s="1"/>
    </row>
    <row r="7634" spans="1:1" ht="46.5" customHeight="1" x14ac:dyDescent="0.25">
      <c r="A7634" s="1"/>
    </row>
    <row r="7635" spans="1:1" ht="46.5" customHeight="1" x14ac:dyDescent="0.25">
      <c r="A7635" s="1"/>
    </row>
    <row r="7636" spans="1:1" ht="46.5" customHeight="1" x14ac:dyDescent="0.25">
      <c r="A7636" s="1"/>
    </row>
    <row r="7637" spans="1:1" ht="46.5" customHeight="1" x14ac:dyDescent="0.25">
      <c r="A7637" s="1"/>
    </row>
    <row r="7638" spans="1:1" ht="46.5" customHeight="1" x14ac:dyDescent="0.25">
      <c r="A7638" s="1"/>
    </row>
    <row r="7639" spans="1:1" ht="46.5" customHeight="1" x14ac:dyDescent="0.25">
      <c r="A7639" s="1"/>
    </row>
    <row r="7640" spans="1:1" ht="46.5" customHeight="1" x14ac:dyDescent="0.25">
      <c r="A7640" s="1"/>
    </row>
    <row r="7641" spans="1:1" ht="46.5" customHeight="1" x14ac:dyDescent="0.25">
      <c r="A7641" s="1"/>
    </row>
    <row r="7642" spans="1:1" ht="46.5" customHeight="1" x14ac:dyDescent="0.25">
      <c r="A7642" s="1"/>
    </row>
    <row r="7643" spans="1:1" ht="46.5" customHeight="1" x14ac:dyDescent="0.25">
      <c r="A7643" s="1"/>
    </row>
    <row r="7644" spans="1:1" ht="46.5" customHeight="1" x14ac:dyDescent="0.25">
      <c r="A7644" s="1"/>
    </row>
    <row r="7645" spans="1:1" ht="46.5" customHeight="1" x14ac:dyDescent="0.25">
      <c r="A7645" s="1"/>
    </row>
    <row r="7646" spans="1:1" ht="46.5" customHeight="1" x14ac:dyDescent="0.25">
      <c r="A7646" s="1"/>
    </row>
    <row r="7647" spans="1:1" ht="46.5" customHeight="1" x14ac:dyDescent="0.25">
      <c r="A7647" s="1"/>
    </row>
    <row r="7648" spans="1:1" ht="46.5" customHeight="1" x14ac:dyDescent="0.25">
      <c r="A7648" s="1"/>
    </row>
    <row r="7649" spans="1:1" ht="46.5" customHeight="1" x14ac:dyDescent="0.25">
      <c r="A7649" s="1"/>
    </row>
    <row r="7650" spans="1:1" ht="46.5" customHeight="1" x14ac:dyDescent="0.25">
      <c r="A7650" s="1"/>
    </row>
    <row r="7651" spans="1:1" ht="46.5" customHeight="1" x14ac:dyDescent="0.25">
      <c r="A7651" s="1"/>
    </row>
    <row r="7652" spans="1:1" ht="46.5" customHeight="1" x14ac:dyDescent="0.25">
      <c r="A7652" s="1"/>
    </row>
    <row r="7653" spans="1:1" ht="46.5" customHeight="1" x14ac:dyDescent="0.25">
      <c r="A7653" s="1"/>
    </row>
    <row r="7654" spans="1:1" ht="46.5" customHeight="1" x14ac:dyDescent="0.25">
      <c r="A7654" s="1"/>
    </row>
    <row r="7655" spans="1:1" ht="46.5" customHeight="1" x14ac:dyDescent="0.25">
      <c r="A7655" s="1"/>
    </row>
    <row r="7656" spans="1:1" ht="46.5" customHeight="1" x14ac:dyDescent="0.25">
      <c r="A7656" s="1"/>
    </row>
    <row r="7657" spans="1:1" ht="46.5" customHeight="1" x14ac:dyDescent="0.25">
      <c r="A7657" s="1"/>
    </row>
    <row r="7658" spans="1:1" ht="46.5" customHeight="1" x14ac:dyDescent="0.25">
      <c r="A7658" s="1"/>
    </row>
    <row r="7659" spans="1:1" ht="46.5" customHeight="1" x14ac:dyDescent="0.25">
      <c r="A7659" s="1"/>
    </row>
    <row r="7660" spans="1:1" ht="46.5" customHeight="1" x14ac:dyDescent="0.25">
      <c r="A7660" s="1"/>
    </row>
    <row r="7661" spans="1:1" ht="46.5" customHeight="1" x14ac:dyDescent="0.25">
      <c r="A7661" s="1"/>
    </row>
    <row r="7662" spans="1:1" ht="46.5" customHeight="1" x14ac:dyDescent="0.25">
      <c r="A7662" s="1"/>
    </row>
    <row r="7663" spans="1:1" ht="46.5" customHeight="1" x14ac:dyDescent="0.25">
      <c r="A7663" s="1"/>
    </row>
    <row r="7664" spans="1:1" ht="46.5" customHeight="1" x14ac:dyDescent="0.25">
      <c r="A7664" s="1"/>
    </row>
    <row r="7665" spans="1:1" ht="46.5" customHeight="1" x14ac:dyDescent="0.25">
      <c r="A7665" s="1"/>
    </row>
    <row r="7666" spans="1:1" ht="46.5" customHeight="1" x14ac:dyDescent="0.25">
      <c r="A7666" s="1"/>
    </row>
    <row r="7667" spans="1:1" ht="46.5" customHeight="1" x14ac:dyDescent="0.25">
      <c r="A7667" s="1"/>
    </row>
    <row r="7668" spans="1:1" ht="46.5" customHeight="1" x14ac:dyDescent="0.25">
      <c r="A7668" s="1"/>
    </row>
    <row r="7669" spans="1:1" ht="46.5" customHeight="1" x14ac:dyDescent="0.25">
      <c r="A7669" s="1"/>
    </row>
    <row r="7670" spans="1:1" ht="46.5" customHeight="1" x14ac:dyDescent="0.25">
      <c r="A7670" s="1"/>
    </row>
    <row r="7671" spans="1:1" ht="46.5" customHeight="1" x14ac:dyDescent="0.25">
      <c r="A7671" s="1"/>
    </row>
    <row r="7672" spans="1:1" ht="46.5" customHeight="1" x14ac:dyDescent="0.25">
      <c r="A7672" s="1"/>
    </row>
    <row r="7673" spans="1:1" ht="46.5" customHeight="1" x14ac:dyDescent="0.25">
      <c r="A7673" s="1"/>
    </row>
    <row r="7674" spans="1:1" ht="46.5" customHeight="1" x14ac:dyDescent="0.25">
      <c r="A7674" s="1"/>
    </row>
    <row r="7675" spans="1:1" ht="46.5" customHeight="1" x14ac:dyDescent="0.25">
      <c r="A7675" s="1"/>
    </row>
    <row r="7676" spans="1:1" ht="46.5" customHeight="1" x14ac:dyDescent="0.25">
      <c r="A7676" s="1"/>
    </row>
    <row r="7677" spans="1:1" ht="46.5" customHeight="1" x14ac:dyDescent="0.25">
      <c r="A7677" s="1"/>
    </row>
    <row r="7678" spans="1:1" ht="46.5" customHeight="1" x14ac:dyDescent="0.25">
      <c r="A7678" s="1"/>
    </row>
    <row r="7679" spans="1:1" ht="46.5" customHeight="1" x14ac:dyDescent="0.25">
      <c r="A7679" s="1"/>
    </row>
    <row r="7680" spans="1:1" ht="46.5" customHeight="1" x14ac:dyDescent="0.25">
      <c r="A7680" s="1"/>
    </row>
    <row r="7681" spans="1:1" ht="46.5" customHeight="1" x14ac:dyDescent="0.25">
      <c r="A7681" s="1"/>
    </row>
    <row r="7682" spans="1:1" ht="46.5" customHeight="1" x14ac:dyDescent="0.25">
      <c r="A7682" s="1"/>
    </row>
    <row r="7683" spans="1:1" ht="46.5" customHeight="1" x14ac:dyDescent="0.25">
      <c r="A7683" s="1"/>
    </row>
    <row r="7684" spans="1:1" ht="46.5" customHeight="1" x14ac:dyDescent="0.25">
      <c r="A7684" s="1"/>
    </row>
    <row r="7685" spans="1:1" ht="46.5" customHeight="1" x14ac:dyDescent="0.25">
      <c r="A7685" s="1"/>
    </row>
    <row r="7686" spans="1:1" ht="46.5" customHeight="1" x14ac:dyDescent="0.25">
      <c r="A7686" s="1"/>
    </row>
    <row r="7687" spans="1:1" ht="46.5" customHeight="1" x14ac:dyDescent="0.25">
      <c r="A7687" s="1"/>
    </row>
    <row r="7688" spans="1:1" ht="46.5" customHeight="1" x14ac:dyDescent="0.25">
      <c r="A7688" s="1"/>
    </row>
    <row r="7689" spans="1:1" ht="46.5" customHeight="1" x14ac:dyDescent="0.25">
      <c r="A7689" s="1"/>
    </row>
    <row r="7690" spans="1:1" ht="46.5" customHeight="1" x14ac:dyDescent="0.25">
      <c r="A7690" s="1"/>
    </row>
    <row r="7691" spans="1:1" ht="46.5" customHeight="1" x14ac:dyDescent="0.25">
      <c r="A7691" s="1"/>
    </row>
    <row r="7692" spans="1:1" ht="46.5" customHeight="1" x14ac:dyDescent="0.25">
      <c r="A7692" s="1"/>
    </row>
    <row r="7693" spans="1:1" ht="46.5" customHeight="1" x14ac:dyDescent="0.25">
      <c r="A7693" s="1"/>
    </row>
    <row r="7694" spans="1:1" ht="46.5" customHeight="1" x14ac:dyDescent="0.25">
      <c r="A7694" s="1"/>
    </row>
    <row r="7695" spans="1:1" ht="46.5" customHeight="1" x14ac:dyDescent="0.25">
      <c r="A7695" s="1"/>
    </row>
    <row r="7696" spans="1:1" ht="46.5" customHeight="1" x14ac:dyDescent="0.25">
      <c r="A7696" s="1"/>
    </row>
    <row r="7697" spans="1:1" ht="46.5" customHeight="1" x14ac:dyDescent="0.25">
      <c r="A7697" s="1"/>
    </row>
    <row r="7698" spans="1:1" ht="46.5" customHeight="1" x14ac:dyDescent="0.25">
      <c r="A7698" s="1"/>
    </row>
    <row r="7699" spans="1:1" ht="46.5" customHeight="1" x14ac:dyDescent="0.25">
      <c r="A7699" s="1"/>
    </row>
    <row r="7700" spans="1:1" ht="46.5" customHeight="1" x14ac:dyDescent="0.25">
      <c r="A7700" s="1"/>
    </row>
    <row r="7701" spans="1:1" ht="46.5" customHeight="1" x14ac:dyDescent="0.25">
      <c r="A7701" s="1"/>
    </row>
    <row r="7702" spans="1:1" ht="46.5" customHeight="1" x14ac:dyDescent="0.25">
      <c r="A7702" s="1"/>
    </row>
    <row r="7703" spans="1:1" ht="46.5" customHeight="1" x14ac:dyDescent="0.25">
      <c r="A7703" s="1"/>
    </row>
    <row r="7704" spans="1:1" ht="46.5" customHeight="1" x14ac:dyDescent="0.25">
      <c r="A7704" s="1"/>
    </row>
    <row r="7705" spans="1:1" ht="46.5" customHeight="1" x14ac:dyDescent="0.25">
      <c r="A7705" s="1"/>
    </row>
    <row r="7706" spans="1:1" ht="46.5" customHeight="1" x14ac:dyDescent="0.25">
      <c r="A7706" s="1"/>
    </row>
    <row r="7707" spans="1:1" ht="46.5" customHeight="1" x14ac:dyDescent="0.25">
      <c r="A7707" s="1"/>
    </row>
    <row r="7708" spans="1:1" ht="46.5" customHeight="1" x14ac:dyDescent="0.25">
      <c r="A7708" s="1"/>
    </row>
    <row r="7709" spans="1:1" ht="46.5" customHeight="1" x14ac:dyDescent="0.25">
      <c r="A7709" s="1"/>
    </row>
    <row r="7710" spans="1:1" ht="46.5" customHeight="1" x14ac:dyDescent="0.25">
      <c r="A7710" s="1"/>
    </row>
    <row r="7711" spans="1:1" ht="46.5" customHeight="1" x14ac:dyDescent="0.25">
      <c r="A7711" s="1"/>
    </row>
    <row r="7712" spans="1:1" ht="46.5" customHeight="1" x14ac:dyDescent="0.25">
      <c r="A7712" s="1"/>
    </row>
    <row r="7713" spans="1:1" ht="46.5" customHeight="1" x14ac:dyDescent="0.25">
      <c r="A7713" s="1"/>
    </row>
    <row r="7714" spans="1:1" ht="46.5" customHeight="1" x14ac:dyDescent="0.25">
      <c r="A7714" s="1"/>
    </row>
    <row r="7715" spans="1:1" ht="46.5" customHeight="1" x14ac:dyDescent="0.25">
      <c r="A7715" s="1"/>
    </row>
    <row r="7716" spans="1:1" ht="46.5" customHeight="1" x14ac:dyDescent="0.25">
      <c r="A7716" s="1"/>
    </row>
    <row r="7717" spans="1:1" ht="46.5" customHeight="1" x14ac:dyDescent="0.25">
      <c r="A7717" s="1"/>
    </row>
    <row r="7718" spans="1:1" ht="46.5" customHeight="1" x14ac:dyDescent="0.25">
      <c r="A7718" s="1"/>
    </row>
    <row r="7719" spans="1:1" ht="46.5" customHeight="1" x14ac:dyDescent="0.25">
      <c r="A7719" s="1"/>
    </row>
    <row r="7720" spans="1:1" ht="46.5" customHeight="1" x14ac:dyDescent="0.25">
      <c r="A7720" s="1"/>
    </row>
    <row r="7721" spans="1:1" ht="46.5" customHeight="1" x14ac:dyDescent="0.25">
      <c r="A7721" s="1"/>
    </row>
    <row r="7722" spans="1:1" ht="46.5" customHeight="1" x14ac:dyDescent="0.25">
      <c r="A7722" s="1"/>
    </row>
    <row r="7723" spans="1:1" ht="46.5" customHeight="1" x14ac:dyDescent="0.25">
      <c r="A7723" s="1"/>
    </row>
    <row r="7724" spans="1:1" ht="46.5" customHeight="1" x14ac:dyDescent="0.25">
      <c r="A7724" s="1"/>
    </row>
    <row r="7725" spans="1:1" ht="46.5" customHeight="1" x14ac:dyDescent="0.25">
      <c r="A7725" s="1"/>
    </row>
    <row r="7726" spans="1:1" ht="46.5" customHeight="1" x14ac:dyDescent="0.25">
      <c r="A7726" s="1"/>
    </row>
    <row r="7727" spans="1:1" ht="46.5" customHeight="1" x14ac:dyDescent="0.25">
      <c r="A7727" s="1"/>
    </row>
    <row r="7728" spans="1:1" ht="46.5" customHeight="1" x14ac:dyDescent="0.25">
      <c r="A7728" s="1"/>
    </row>
    <row r="7729" spans="1:1" ht="46.5" customHeight="1" x14ac:dyDescent="0.25">
      <c r="A7729" s="1"/>
    </row>
    <row r="7730" spans="1:1" ht="46.5" customHeight="1" x14ac:dyDescent="0.25">
      <c r="A7730" s="1"/>
    </row>
    <row r="7731" spans="1:1" ht="46.5" customHeight="1" x14ac:dyDescent="0.25">
      <c r="A7731" s="1"/>
    </row>
    <row r="7732" spans="1:1" ht="46.5" customHeight="1" x14ac:dyDescent="0.25">
      <c r="A7732" s="1"/>
    </row>
    <row r="7733" spans="1:1" ht="46.5" customHeight="1" x14ac:dyDescent="0.25">
      <c r="A7733" s="1"/>
    </row>
    <row r="7734" spans="1:1" ht="46.5" customHeight="1" x14ac:dyDescent="0.25">
      <c r="A7734" s="1"/>
    </row>
    <row r="7735" spans="1:1" ht="46.5" customHeight="1" x14ac:dyDescent="0.25">
      <c r="A7735" s="1"/>
    </row>
    <row r="7736" spans="1:1" ht="46.5" customHeight="1" x14ac:dyDescent="0.25">
      <c r="A7736" s="1"/>
    </row>
    <row r="7737" spans="1:1" ht="46.5" customHeight="1" x14ac:dyDescent="0.25">
      <c r="A7737" s="1"/>
    </row>
    <row r="7738" spans="1:1" ht="46.5" customHeight="1" x14ac:dyDescent="0.25">
      <c r="A7738" s="1"/>
    </row>
    <row r="7739" spans="1:1" ht="46.5" customHeight="1" x14ac:dyDescent="0.25">
      <c r="A7739" s="1"/>
    </row>
    <row r="7740" spans="1:1" ht="46.5" customHeight="1" x14ac:dyDescent="0.25">
      <c r="A7740" s="1"/>
    </row>
    <row r="7741" spans="1:1" ht="46.5" customHeight="1" x14ac:dyDescent="0.25">
      <c r="A7741" s="1"/>
    </row>
    <row r="7742" spans="1:1" ht="46.5" customHeight="1" x14ac:dyDescent="0.25">
      <c r="A7742" s="1"/>
    </row>
    <row r="7743" spans="1:1" ht="46.5" customHeight="1" x14ac:dyDescent="0.25">
      <c r="A7743" s="1"/>
    </row>
    <row r="7744" spans="1:1" ht="46.5" customHeight="1" x14ac:dyDescent="0.25">
      <c r="A7744" s="1"/>
    </row>
    <row r="7745" spans="1:1" ht="46.5" customHeight="1" x14ac:dyDescent="0.25">
      <c r="A7745" s="1"/>
    </row>
    <row r="7746" spans="1:1" ht="46.5" customHeight="1" x14ac:dyDescent="0.25">
      <c r="A7746" s="1"/>
    </row>
    <row r="7747" spans="1:1" ht="46.5" customHeight="1" x14ac:dyDescent="0.25">
      <c r="A7747" s="1"/>
    </row>
    <row r="7748" spans="1:1" ht="46.5" customHeight="1" x14ac:dyDescent="0.25">
      <c r="A7748" s="1"/>
    </row>
    <row r="7749" spans="1:1" ht="46.5" customHeight="1" x14ac:dyDescent="0.25">
      <c r="A7749" s="1"/>
    </row>
    <row r="7750" spans="1:1" ht="46.5" customHeight="1" x14ac:dyDescent="0.25">
      <c r="A7750" s="1"/>
    </row>
    <row r="7751" spans="1:1" ht="46.5" customHeight="1" x14ac:dyDescent="0.25">
      <c r="A7751" s="1"/>
    </row>
    <row r="7752" spans="1:1" ht="46.5" customHeight="1" x14ac:dyDescent="0.25">
      <c r="A7752" s="1"/>
    </row>
    <row r="7753" spans="1:1" ht="46.5" customHeight="1" x14ac:dyDescent="0.25">
      <c r="A7753" s="1"/>
    </row>
    <row r="7754" spans="1:1" ht="46.5" customHeight="1" x14ac:dyDescent="0.25">
      <c r="A7754" s="1"/>
    </row>
    <row r="7755" spans="1:1" ht="46.5" customHeight="1" x14ac:dyDescent="0.25">
      <c r="A7755" s="1"/>
    </row>
    <row r="7756" spans="1:1" ht="46.5" customHeight="1" x14ac:dyDescent="0.25">
      <c r="A7756" s="1"/>
    </row>
    <row r="7757" spans="1:1" ht="46.5" customHeight="1" x14ac:dyDescent="0.25">
      <c r="A7757" s="1"/>
    </row>
    <row r="7758" spans="1:1" ht="46.5" customHeight="1" x14ac:dyDescent="0.25">
      <c r="A7758" s="1"/>
    </row>
    <row r="7759" spans="1:1" ht="46.5" customHeight="1" x14ac:dyDescent="0.25">
      <c r="A7759" s="1"/>
    </row>
    <row r="7760" spans="1:1" ht="46.5" customHeight="1" x14ac:dyDescent="0.25">
      <c r="A7760" s="1"/>
    </row>
    <row r="7761" spans="1:1" ht="46.5" customHeight="1" x14ac:dyDescent="0.25">
      <c r="A7761" s="1"/>
    </row>
    <row r="7762" spans="1:1" ht="46.5" customHeight="1" x14ac:dyDescent="0.25">
      <c r="A7762" s="1"/>
    </row>
    <row r="7763" spans="1:1" ht="46.5" customHeight="1" x14ac:dyDescent="0.25">
      <c r="A7763" s="1"/>
    </row>
    <row r="7764" spans="1:1" ht="46.5" customHeight="1" x14ac:dyDescent="0.25">
      <c r="A7764" s="1"/>
    </row>
    <row r="7765" spans="1:1" ht="46.5" customHeight="1" x14ac:dyDescent="0.25">
      <c r="A7765" s="1"/>
    </row>
    <row r="7766" spans="1:1" ht="46.5" customHeight="1" x14ac:dyDescent="0.25">
      <c r="A7766" s="1"/>
    </row>
    <row r="7767" spans="1:1" ht="46.5" customHeight="1" x14ac:dyDescent="0.25">
      <c r="A7767" s="1"/>
    </row>
    <row r="7768" spans="1:1" ht="46.5" customHeight="1" x14ac:dyDescent="0.25">
      <c r="A7768" s="1"/>
    </row>
    <row r="7769" spans="1:1" ht="46.5" customHeight="1" x14ac:dyDescent="0.25">
      <c r="A7769" s="1"/>
    </row>
    <row r="7770" spans="1:1" ht="46.5" customHeight="1" x14ac:dyDescent="0.25">
      <c r="A7770" s="1"/>
    </row>
    <row r="7771" spans="1:1" ht="46.5" customHeight="1" x14ac:dyDescent="0.25">
      <c r="A7771" s="1"/>
    </row>
    <row r="7772" spans="1:1" ht="46.5" customHeight="1" x14ac:dyDescent="0.25">
      <c r="A7772" s="1"/>
    </row>
    <row r="7773" spans="1:1" ht="46.5" customHeight="1" x14ac:dyDescent="0.25">
      <c r="A7773" s="1"/>
    </row>
    <row r="7774" spans="1:1" ht="46.5" customHeight="1" x14ac:dyDescent="0.25">
      <c r="A7774" s="1"/>
    </row>
    <row r="7775" spans="1:1" ht="46.5" customHeight="1" x14ac:dyDescent="0.25">
      <c r="A7775" s="1"/>
    </row>
    <row r="7776" spans="1:1" ht="46.5" customHeight="1" x14ac:dyDescent="0.25">
      <c r="A7776" s="1"/>
    </row>
    <row r="7777" spans="1:1" ht="46.5" customHeight="1" x14ac:dyDescent="0.25">
      <c r="A7777" s="1"/>
    </row>
    <row r="7778" spans="1:1" ht="46.5" customHeight="1" x14ac:dyDescent="0.25">
      <c r="A7778" s="1"/>
    </row>
    <row r="7779" spans="1:1" ht="46.5" customHeight="1" x14ac:dyDescent="0.25">
      <c r="A7779" s="1"/>
    </row>
    <row r="7780" spans="1:1" ht="46.5" customHeight="1" x14ac:dyDescent="0.25">
      <c r="A7780" s="1"/>
    </row>
    <row r="7781" spans="1:1" ht="46.5" customHeight="1" x14ac:dyDescent="0.25">
      <c r="A7781" s="1"/>
    </row>
    <row r="7782" spans="1:1" ht="46.5" customHeight="1" x14ac:dyDescent="0.25">
      <c r="A7782" s="1"/>
    </row>
    <row r="7783" spans="1:1" ht="46.5" customHeight="1" x14ac:dyDescent="0.25">
      <c r="A7783" s="1"/>
    </row>
    <row r="7784" spans="1:1" ht="46.5" customHeight="1" x14ac:dyDescent="0.25">
      <c r="A7784" s="1"/>
    </row>
    <row r="7785" spans="1:1" ht="46.5" customHeight="1" x14ac:dyDescent="0.25">
      <c r="A7785" s="1"/>
    </row>
    <row r="7786" spans="1:1" ht="46.5" customHeight="1" x14ac:dyDescent="0.25">
      <c r="A7786" s="1"/>
    </row>
    <row r="7787" spans="1:1" ht="46.5" customHeight="1" x14ac:dyDescent="0.25">
      <c r="A7787" s="1"/>
    </row>
    <row r="7788" spans="1:1" ht="46.5" customHeight="1" x14ac:dyDescent="0.25">
      <c r="A7788" s="1"/>
    </row>
    <row r="7789" spans="1:1" ht="46.5" customHeight="1" x14ac:dyDescent="0.25">
      <c r="A7789" s="1"/>
    </row>
    <row r="7790" spans="1:1" ht="46.5" customHeight="1" x14ac:dyDescent="0.25">
      <c r="A7790" s="1"/>
    </row>
    <row r="7791" spans="1:1" ht="46.5" customHeight="1" x14ac:dyDescent="0.25">
      <c r="A7791" s="1"/>
    </row>
    <row r="7792" spans="1:1" ht="46.5" customHeight="1" x14ac:dyDescent="0.25">
      <c r="A7792" s="1"/>
    </row>
    <row r="7793" spans="1:1" ht="46.5" customHeight="1" x14ac:dyDescent="0.25">
      <c r="A7793" s="1"/>
    </row>
    <row r="7794" spans="1:1" ht="46.5" customHeight="1" x14ac:dyDescent="0.25">
      <c r="A7794" s="1"/>
    </row>
    <row r="7795" spans="1:1" ht="46.5" customHeight="1" x14ac:dyDescent="0.25">
      <c r="A7795" s="1"/>
    </row>
    <row r="7796" spans="1:1" ht="46.5" customHeight="1" x14ac:dyDescent="0.25">
      <c r="A7796" s="1"/>
    </row>
    <row r="7797" spans="1:1" ht="46.5" customHeight="1" x14ac:dyDescent="0.25">
      <c r="A7797" s="1"/>
    </row>
    <row r="7798" spans="1:1" ht="46.5" customHeight="1" x14ac:dyDescent="0.25">
      <c r="A7798" s="1"/>
    </row>
    <row r="7799" spans="1:1" ht="46.5" customHeight="1" x14ac:dyDescent="0.25">
      <c r="A7799" s="1"/>
    </row>
    <row r="7800" spans="1:1" ht="46.5" customHeight="1" x14ac:dyDescent="0.25">
      <c r="A7800" s="1"/>
    </row>
    <row r="7801" spans="1:1" ht="46.5" customHeight="1" x14ac:dyDescent="0.25">
      <c r="A7801" s="1"/>
    </row>
    <row r="7802" spans="1:1" ht="46.5" customHeight="1" x14ac:dyDescent="0.25">
      <c r="A7802" s="1"/>
    </row>
    <row r="7803" spans="1:1" ht="46.5" customHeight="1" x14ac:dyDescent="0.25">
      <c r="A7803" s="1"/>
    </row>
    <row r="7804" spans="1:1" ht="46.5" customHeight="1" x14ac:dyDescent="0.25">
      <c r="A7804" s="1"/>
    </row>
    <row r="7805" spans="1:1" ht="46.5" customHeight="1" x14ac:dyDescent="0.25">
      <c r="A7805" s="1"/>
    </row>
    <row r="7806" spans="1:1" ht="46.5" customHeight="1" x14ac:dyDescent="0.25">
      <c r="A7806" s="1"/>
    </row>
    <row r="7807" spans="1:1" ht="46.5" customHeight="1" x14ac:dyDescent="0.25">
      <c r="A7807" s="1"/>
    </row>
    <row r="7808" spans="1:1" ht="46.5" customHeight="1" x14ac:dyDescent="0.25">
      <c r="A7808" s="1"/>
    </row>
    <row r="7809" spans="1:1" ht="46.5" customHeight="1" x14ac:dyDescent="0.25">
      <c r="A7809" s="1"/>
    </row>
    <row r="7810" spans="1:1" ht="46.5" customHeight="1" x14ac:dyDescent="0.25">
      <c r="A7810" s="1"/>
    </row>
    <row r="7811" spans="1:1" ht="46.5" customHeight="1" x14ac:dyDescent="0.25">
      <c r="A7811" s="1"/>
    </row>
    <row r="7812" spans="1:1" ht="46.5" customHeight="1" x14ac:dyDescent="0.25">
      <c r="A7812" s="1"/>
    </row>
    <row r="7813" spans="1:1" ht="46.5" customHeight="1" x14ac:dyDescent="0.25">
      <c r="A7813" s="1"/>
    </row>
    <row r="7814" spans="1:1" ht="46.5" customHeight="1" x14ac:dyDescent="0.25">
      <c r="A7814" s="1"/>
    </row>
    <row r="7815" spans="1:1" ht="46.5" customHeight="1" x14ac:dyDescent="0.25">
      <c r="A7815" s="1"/>
    </row>
    <row r="7816" spans="1:1" ht="46.5" customHeight="1" x14ac:dyDescent="0.25">
      <c r="A7816" s="1"/>
    </row>
    <row r="7817" spans="1:1" ht="46.5" customHeight="1" x14ac:dyDescent="0.25">
      <c r="A7817" s="1"/>
    </row>
    <row r="7818" spans="1:1" ht="46.5" customHeight="1" x14ac:dyDescent="0.25">
      <c r="A7818" s="1"/>
    </row>
    <row r="7819" spans="1:1" ht="46.5" customHeight="1" x14ac:dyDescent="0.25">
      <c r="A7819" s="1"/>
    </row>
    <row r="7820" spans="1:1" ht="46.5" customHeight="1" x14ac:dyDescent="0.25">
      <c r="A7820" s="1"/>
    </row>
    <row r="7821" spans="1:1" ht="46.5" customHeight="1" x14ac:dyDescent="0.25">
      <c r="A7821" s="1"/>
    </row>
    <row r="7822" spans="1:1" ht="46.5" customHeight="1" x14ac:dyDescent="0.25">
      <c r="A7822" s="1"/>
    </row>
    <row r="7823" spans="1:1" ht="46.5" customHeight="1" x14ac:dyDescent="0.25">
      <c r="A7823" s="1"/>
    </row>
    <row r="7824" spans="1:1" ht="46.5" customHeight="1" x14ac:dyDescent="0.25">
      <c r="A7824" s="1"/>
    </row>
    <row r="7825" spans="1:1" ht="46.5" customHeight="1" x14ac:dyDescent="0.25">
      <c r="A7825" s="1"/>
    </row>
    <row r="7826" spans="1:1" ht="46.5" customHeight="1" x14ac:dyDescent="0.25">
      <c r="A7826" s="1"/>
    </row>
    <row r="7827" spans="1:1" ht="46.5" customHeight="1" x14ac:dyDescent="0.25">
      <c r="A7827" s="1"/>
    </row>
    <row r="7828" spans="1:1" ht="46.5" customHeight="1" x14ac:dyDescent="0.25">
      <c r="A7828" s="1"/>
    </row>
    <row r="7829" spans="1:1" ht="46.5" customHeight="1" x14ac:dyDescent="0.25">
      <c r="A7829" s="1"/>
    </row>
    <row r="7830" spans="1:1" ht="46.5" customHeight="1" x14ac:dyDescent="0.25">
      <c r="A7830" s="1"/>
    </row>
    <row r="7831" spans="1:1" ht="46.5" customHeight="1" x14ac:dyDescent="0.25">
      <c r="A7831" s="1"/>
    </row>
    <row r="7832" spans="1:1" ht="46.5" customHeight="1" x14ac:dyDescent="0.25">
      <c r="A7832" s="1"/>
    </row>
    <row r="7833" spans="1:1" ht="46.5" customHeight="1" x14ac:dyDescent="0.25">
      <c r="A7833" s="1"/>
    </row>
    <row r="7834" spans="1:1" ht="46.5" customHeight="1" x14ac:dyDescent="0.25">
      <c r="A7834" s="1"/>
    </row>
    <row r="7835" spans="1:1" ht="46.5" customHeight="1" x14ac:dyDescent="0.25">
      <c r="A7835" s="1"/>
    </row>
    <row r="7836" spans="1:1" ht="46.5" customHeight="1" x14ac:dyDescent="0.25">
      <c r="A7836" s="1"/>
    </row>
    <row r="7837" spans="1:1" ht="46.5" customHeight="1" x14ac:dyDescent="0.25">
      <c r="A7837" s="1"/>
    </row>
    <row r="7838" spans="1:1" ht="46.5" customHeight="1" x14ac:dyDescent="0.25">
      <c r="A7838" s="1"/>
    </row>
    <row r="7839" spans="1:1" ht="46.5" customHeight="1" x14ac:dyDescent="0.25">
      <c r="A7839" s="1"/>
    </row>
    <row r="7840" spans="1:1" ht="46.5" customHeight="1" x14ac:dyDescent="0.25">
      <c r="A7840" s="1"/>
    </row>
    <row r="7841" spans="1:1" ht="46.5" customHeight="1" x14ac:dyDescent="0.25">
      <c r="A7841" s="1"/>
    </row>
    <row r="7842" spans="1:1" ht="46.5" customHeight="1" x14ac:dyDescent="0.25">
      <c r="A7842" s="1"/>
    </row>
    <row r="7843" spans="1:1" ht="46.5" customHeight="1" x14ac:dyDescent="0.25">
      <c r="A7843" s="1"/>
    </row>
    <row r="7844" spans="1:1" ht="46.5" customHeight="1" x14ac:dyDescent="0.25">
      <c r="A7844" s="1"/>
    </row>
    <row r="7845" spans="1:1" ht="46.5" customHeight="1" x14ac:dyDescent="0.25">
      <c r="A7845" s="1"/>
    </row>
    <row r="7846" spans="1:1" ht="46.5" customHeight="1" x14ac:dyDescent="0.25">
      <c r="A7846" s="1"/>
    </row>
    <row r="7847" spans="1:1" ht="46.5" customHeight="1" x14ac:dyDescent="0.25">
      <c r="A7847" s="1"/>
    </row>
    <row r="7848" spans="1:1" ht="46.5" customHeight="1" x14ac:dyDescent="0.25">
      <c r="A7848" s="1"/>
    </row>
    <row r="7849" spans="1:1" ht="46.5" customHeight="1" x14ac:dyDescent="0.25">
      <c r="A7849" s="1"/>
    </row>
    <row r="7850" spans="1:1" ht="46.5" customHeight="1" x14ac:dyDescent="0.25">
      <c r="A7850" s="1"/>
    </row>
    <row r="7851" spans="1:1" ht="46.5" customHeight="1" x14ac:dyDescent="0.25">
      <c r="A7851" s="1"/>
    </row>
    <row r="7852" spans="1:1" ht="46.5" customHeight="1" x14ac:dyDescent="0.25">
      <c r="A7852" s="1"/>
    </row>
    <row r="7853" spans="1:1" ht="46.5" customHeight="1" x14ac:dyDescent="0.25">
      <c r="A7853" s="1"/>
    </row>
    <row r="7854" spans="1:1" ht="46.5" customHeight="1" x14ac:dyDescent="0.25">
      <c r="A7854" s="1"/>
    </row>
    <row r="7855" spans="1:1" ht="46.5" customHeight="1" x14ac:dyDescent="0.25">
      <c r="A7855" s="1"/>
    </row>
    <row r="7856" spans="1:1" ht="46.5" customHeight="1" x14ac:dyDescent="0.25">
      <c r="A7856" s="1"/>
    </row>
    <row r="7857" spans="1:1" ht="46.5" customHeight="1" x14ac:dyDescent="0.25">
      <c r="A7857" s="1"/>
    </row>
    <row r="7858" spans="1:1" ht="46.5" customHeight="1" x14ac:dyDescent="0.25">
      <c r="A7858" s="1"/>
    </row>
    <row r="7859" spans="1:1" ht="46.5" customHeight="1" x14ac:dyDescent="0.25">
      <c r="A7859" s="1"/>
    </row>
    <row r="7860" spans="1:1" ht="46.5" customHeight="1" x14ac:dyDescent="0.25">
      <c r="A7860" s="1"/>
    </row>
    <row r="7861" spans="1:1" ht="46.5" customHeight="1" x14ac:dyDescent="0.25">
      <c r="A7861" s="1"/>
    </row>
    <row r="7862" spans="1:1" ht="46.5" customHeight="1" x14ac:dyDescent="0.25">
      <c r="A7862" s="1"/>
    </row>
    <row r="7863" spans="1:1" ht="46.5" customHeight="1" x14ac:dyDescent="0.25">
      <c r="A7863" s="1"/>
    </row>
    <row r="7864" spans="1:1" ht="46.5" customHeight="1" x14ac:dyDescent="0.25">
      <c r="A7864" s="1"/>
    </row>
    <row r="7865" spans="1:1" ht="46.5" customHeight="1" x14ac:dyDescent="0.25">
      <c r="A7865" s="1"/>
    </row>
    <row r="7866" spans="1:1" ht="46.5" customHeight="1" x14ac:dyDescent="0.25">
      <c r="A7866" s="1"/>
    </row>
    <row r="7867" spans="1:1" ht="46.5" customHeight="1" x14ac:dyDescent="0.25">
      <c r="A7867" s="1"/>
    </row>
    <row r="7868" spans="1:1" ht="46.5" customHeight="1" x14ac:dyDescent="0.25">
      <c r="A7868" s="1"/>
    </row>
    <row r="7869" spans="1:1" ht="46.5" customHeight="1" x14ac:dyDescent="0.25">
      <c r="A7869" s="1"/>
    </row>
    <row r="7870" spans="1:1" ht="46.5" customHeight="1" x14ac:dyDescent="0.25">
      <c r="A7870" s="1"/>
    </row>
    <row r="7871" spans="1:1" ht="46.5" customHeight="1" x14ac:dyDescent="0.25">
      <c r="A7871" s="1"/>
    </row>
    <row r="7872" spans="1:1" ht="46.5" customHeight="1" x14ac:dyDescent="0.25">
      <c r="A7872" s="1"/>
    </row>
    <row r="7873" spans="1:1" ht="46.5" customHeight="1" x14ac:dyDescent="0.25">
      <c r="A7873" s="1"/>
    </row>
    <row r="7874" spans="1:1" ht="46.5" customHeight="1" x14ac:dyDescent="0.25">
      <c r="A7874" s="1"/>
    </row>
    <row r="7875" spans="1:1" ht="46.5" customHeight="1" x14ac:dyDescent="0.25">
      <c r="A7875" s="1"/>
    </row>
    <row r="7876" spans="1:1" ht="46.5" customHeight="1" x14ac:dyDescent="0.25">
      <c r="A7876" s="1"/>
    </row>
    <row r="7877" spans="1:1" ht="46.5" customHeight="1" x14ac:dyDescent="0.25">
      <c r="A7877" s="1"/>
    </row>
    <row r="7878" spans="1:1" ht="46.5" customHeight="1" x14ac:dyDescent="0.25">
      <c r="A7878" s="1"/>
    </row>
    <row r="7879" spans="1:1" ht="46.5" customHeight="1" x14ac:dyDescent="0.25">
      <c r="A7879" s="1"/>
    </row>
    <row r="7880" spans="1:1" ht="46.5" customHeight="1" x14ac:dyDescent="0.25">
      <c r="A7880" s="1"/>
    </row>
    <row r="7881" spans="1:1" ht="46.5" customHeight="1" x14ac:dyDescent="0.25">
      <c r="A7881" s="1"/>
    </row>
    <row r="7882" spans="1:1" ht="46.5" customHeight="1" x14ac:dyDescent="0.25">
      <c r="A7882" s="1"/>
    </row>
    <row r="7883" spans="1:1" ht="46.5" customHeight="1" x14ac:dyDescent="0.25">
      <c r="A7883" s="1"/>
    </row>
    <row r="7884" spans="1:1" ht="46.5" customHeight="1" x14ac:dyDescent="0.25">
      <c r="A7884" s="1"/>
    </row>
    <row r="7885" spans="1:1" ht="46.5" customHeight="1" x14ac:dyDescent="0.25">
      <c r="A7885" s="1"/>
    </row>
    <row r="7886" spans="1:1" ht="46.5" customHeight="1" x14ac:dyDescent="0.25">
      <c r="A7886" s="1"/>
    </row>
    <row r="7887" spans="1:1" ht="46.5" customHeight="1" x14ac:dyDescent="0.25">
      <c r="A7887" s="1"/>
    </row>
    <row r="7888" spans="1:1" ht="46.5" customHeight="1" x14ac:dyDescent="0.25">
      <c r="A7888" s="1"/>
    </row>
    <row r="7889" spans="1:1" ht="46.5" customHeight="1" x14ac:dyDescent="0.25">
      <c r="A7889" s="1"/>
    </row>
    <row r="7890" spans="1:1" ht="46.5" customHeight="1" x14ac:dyDescent="0.25">
      <c r="A7890" s="1"/>
    </row>
    <row r="7891" spans="1:1" ht="46.5" customHeight="1" x14ac:dyDescent="0.25">
      <c r="A7891" s="1"/>
    </row>
    <row r="7892" spans="1:1" ht="46.5" customHeight="1" x14ac:dyDescent="0.25">
      <c r="A7892" s="1"/>
    </row>
    <row r="7893" spans="1:1" ht="46.5" customHeight="1" x14ac:dyDescent="0.25">
      <c r="A7893" s="1"/>
    </row>
    <row r="7894" spans="1:1" ht="46.5" customHeight="1" x14ac:dyDescent="0.25">
      <c r="A7894" s="1"/>
    </row>
    <row r="7895" spans="1:1" ht="46.5" customHeight="1" x14ac:dyDescent="0.25">
      <c r="A7895" s="1"/>
    </row>
    <row r="7896" spans="1:1" ht="46.5" customHeight="1" x14ac:dyDescent="0.25">
      <c r="A7896" s="1"/>
    </row>
    <row r="7897" spans="1:1" ht="46.5" customHeight="1" x14ac:dyDescent="0.25">
      <c r="A7897" s="1"/>
    </row>
    <row r="7898" spans="1:1" ht="46.5" customHeight="1" x14ac:dyDescent="0.25">
      <c r="A7898" s="1"/>
    </row>
    <row r="7899" spans="1:1" ht="46.5" customHeight="1" x14ac:dyDescent="0.25">
      <c r="A7899" s="1"/>
    </row>
    <row r="7900" spans="1:1" ht="46.5" customHeight="1" x14ac:dyDescent="0.25">
      <c r="A7900" s="1"/>
    </row>
    <row r="7901" spans="1:1" ht="46.5" customHeight="1" x14ac:dyDescent="0.25">
      <c r="A7901" s="1"/>
    </row>
    <row r="7902" spans="1:1" ht="46.5" customHeight="1" x14ac:dyDescent="0.25">
      <c r="A7902" s="1"/>
    </row>
    <row r="7903" spans="1:1" ht="46.5" customHeight="1" x14ac:dyDescent="0.25">
      <c r="A7903" s="1"/>
    </row>
    <row r="7904" spans="1:1" ht="46.5" customHeight="1" x14ac:dyDescent="0.25">
      <c r="A7904" s="1"/>
    </row>
    <row r="7905" spans="1:1" ht="46.5" customHeight="1" x14ac:dyDescent="0.25">
      <c r="A7905" s="1"/>
    </row>
    <row r="7906" spans="1:1" ht="46.5" customHeight="1" x14ac:dyDescent="0.25">
      <c r="A7906" s="1"/>
    </row>
    <row r="7907" spans="1:1" ht="46.5" customHeight="1" x14ac:dyDescent="0.25">
      <c r="A7907" s="1"/>
    </row>
    <row r="7908" spans="1:1" ht="46.5" customHeight="1" x14ac:dyDescent="0.25">
      <c r="A7908" s="1"/>
    </row>
    <row r="7909" spans="1:1" ht="46.5" customHeight="1" x14ac:dyDescent="0.25">
      <c r="A7909" s="1"/>
    </row>
    <row r="7910" spans="1:1" ht="46.5" customHeight="1" x14ac:dyDescent="0.25">
      <c r="A7910" s="1"/>
    </row>
    <row r="7911" spans="1:1" ht="46.5" customHeight="1" x14ac:dyDescent="0.25">
      <c r="A7911" s="1"/>
    </row>
    <row r="7912" spans="1:1" ht="46.5" customHeight="1" x14ac:dyDescent="0.25">
      <c r="A7912" s="1"/>
    </row>
    <row r="7913" spans="1:1" ht="46.5" customHeight="1" x14ac:dyDescent="0.25">
      <c r="A7913" s="1"/>
    </row>
    <row r="7914" spans="1:1" ht="46.5" customHeight="1" x14ac:dyDescent="0.25">
      <c r="A7914" s="1"/>
    </row>
    <row r="7915" spans="1:1" ht="46.5" customHeight="1" x14ac:dyDescent="0.25">
      <c r="A7915" s="1"/>
    </row>
    <row r="7916" spans="1:1" ht="46.5" customHeight="1" x14ac:dyDescent="0.25">
      <c r="A7916" s="1"/>
    </row>
    <row r="7917" spans="1:1" ht="46.5" customHeight="1" x14ac:dyDescent="0.25">
      <c r="A7917" s="1"/>
    </row>
    <row r="7918" spans="1:1" ht="46.5" customHeight="1" x14ac:dyDescent="0.25">
      <c r="A7918" s="1"/>
    </row>
    <row r="7919" spans="1:1" ht="46.5" customHeight="1" x14ac:dyDescent="0.25">
      <c r="A7919" s="1"/>
    </row>
    <row r="7920" spans="1:1" ht="46.5" customHeight="1" x14ac:dyDescent="0.25">
      <c r="A7920" s="1"/>
    </row>
    <row r="7921" spans="1:1" ht="46.5" customHeight="1" x14ac:dyDescent="0.25">
      <c r="A7921" s="1"/>
    </row>
    <row r="7922" spans="1:1" ht="46.5" customHeight="1" x14ac:dyDescent="0.25">
      <c r="A7922" s="1"/>
    </row>
    <row r="7923" spans="1:1" ht="46.5" customHeight="1" x14ac:dyDescent="0.25">
      <c r="A7923" s="1"/>
    </row>
    <row r="7924" spans="1:1" ht="46.5" customHeight="1" x14ac:dyDescent="0.25">
      <c r="A7924" s="1"/>
    </row>
    <row r="7925" spans="1:1" ht="46.5" customHeight="1" x14ac:dyDescent="0.25">
      <c r="A7925" s="1"/>
    </row>
    <row r="7926" spans="1:1" ht="46.5" customHeight="1" x14ac:dyDescent="0.25">
      <c r="A7926" s="1"/>
    </row>
    <row r="7927" spans="1:1" ht="46.5" customHeight="1" x14ac:dyDescent="0.25">
      <c r="A7927" s="1"/>
    </row>
    <row r="7928" spans="1:1" ht="46.5" customHeight="1" x14ac:dyDescent="0.25">
      <c r="A7928" s="1"/>
    </row>
    <row r="7929" spans="1:1" ht="46.5" customHeight="1" x14ac:dyDescent="0.25">
      <c r="A7929" s="1"/>
    </row>
    <row r="7930" spans="1:1" ht="46.5" customHeight="1" x14ac:dyDescent="0.25">
      <c r="A7930" s="1"/>
    </row>
    <row r="7931" spans="1:1" ht="46.5" customHeight="1" x14ac:dyDescent="0.25">
      <c r="A7931" s="1"/>
    </row>
    <row r="7932" spans="1:1" ht="46.5" customHeight="1" x14ac:dyDescent="0.25">
      <c r="A7932" s="1"/>
    </row>
    <row r="7933" spans="1:1" ht="46.5" customHeight="1" x14ac:dyDescent="0.25">
      <c r="A7933" s="1"/>
    </row>
    <row r="7934" spans="1:1" ht="46.5" customHeight="1" x14ac:dyDescent="0.25">
      <c r="A7934" s="1"/>
    </row>
    <row r="7935" spans="1:1" ht="46.5" customHeight="1" x14ac:dyDescent="0.25">
      <c r="A7935" s="1"/>
    </row>
    <row r="7936" spans="1:1" ht="46.5" customHeight="1" x14ac:dyDescent="0.25">
      <c r="A7936" s="1"/>
    </row>
    <row r="7937" spans="1:1" ht="46.5" customHeight="1" x14ac:dyDescent="0.25">
      <c r="A7937" s="1"/>
    </row>
    <row r="7938" spans="1:1" ht="46.5" customHeight="1" x14ac:dyDescent="0.25">
      <c r="A7938" s="1"/>
    </row>
    <row r="7939" spans="1:1" ht="46.5" customHeight="1" x14ac:dyDescent="0.25">
      <c r="A7939" s="1"/>
    </row>
    <row r="7940" spans="1:1" ht="46.5" customHeight="1" x14ac:dyDescent="0.25">
      <c r="A7940" s="1"/>
    </row>
    <row r="7941" spans="1:1" ht="46.5" customHeight="1" x14ac:dyDescent="0.25">
      <c r="A7941" s="1"/>
    </row>
    <row r="7942" spans="1:1" ht="46.5" customHeight="1" x14ac:dyDescent="0.25">
      <c r="A7942" s="1"/>
    </row>
    <row r="7943" spans="1:1" ht="46.5" customHeight="1" x14ac:dyDescent="0.25">
      <c r="A7943" s="1"/>
    </row>
    <row r="7944" spans="1:1" ht="46.5" customHeight="1" x14ac:dyDescent="0.25">
      <c r="A7944" s="1"/>
    </row>
    <row r="7945" spans="1:1" ht="46.5" customHeight="1" x14ac:dyDescent="0.25">
      <c r="A7945" s="1"/>
    </row>
    <row r="7946" spans="1:1" ht="46.5" customHeight="1" x14ac:dyDescent="0.25">
      <c r="A7946" s="1"/>
    </row>
    <row r="7947" spans="1:1" ht="46.5" customHeight="1" x14ac:dyDescent="0.25">
      <c r="A7947" s="1"/>
    </row>
    <row r="7948" spans="1:1" ht="46.5" customHeight="1" x14ac:dyDescent="0.25">
      <c r="A7948" s="1"/>
    </row>
    <row r="7949" spans="1:1" ht="46.5" customHeight="1" x14ac:dyDescent="0.25">
      <c r="A7949" s="1"/>
    </row>
    <row r="7950" spans="1:1" ht="46.5" customHeight="1" x14ac:dyDescent="0.25">
      <c r="A7950" s="1"/>
    </row>
    <row r="7951" spans="1:1" ht="46.5" customHeight="1" x14ac:dyDescent="0.25">
      <c r="A7951" s="1"/>
    </row>
    <row r="7952" spans="1:1" ht="46.5" customHeight="1" x14ac:dyDescent="0.25">
      <c r="A7952" s="1"/>
    </row>
    <row r="7953" spans="1:1" ht="46.5" customHeight="1" x14ac:dyDescent="0.25">
      <c r="A7953" s="1"/>
    </row>
    <row r="7954" spans="1:1" ht="46.5" customHeight="1" x14ac:dyDescent="0.25">
      <c r="A7954" s="1"/>
    </row>
    <row r="7955" spans="1:1" ht="46.5" customHeight="1" x14ac:dyDescent="0.25">
      <c r="A7955" s="1"/>
    </row>
    <row r="7956" spans="1:1" ht="46.5" customHeight="1" x14ac:dyDescent="0.25">
      <c r="A7956" s="1"/>
    </row>
    <row r="7957" spans="1:1" ht="46.5" customHeight="1" x14ac:dyDescent="0.25">
      <c r="A7957" s="1"/>
    </row>
    <row r="7958" spans="1:1" ht="46.5" customHeight="1" x14ac:dyDescent="0.25">
      <c r="A7958" s="1"/>
    </row>
    <row r="7959" spans="1:1" ht="46.5" customHeight="1" x14ac:dyDescent="0.25">
      <c r="A7959" s="1"/>
    </row>
    <row r="7960" spans="1:1" ht="46.5" customHeight="1" x14ac:dyDescent="0.25">
      <c r="A7960" s="1"/>
    </row>
    <row r="7961" spans="1:1" ht="46.5" customHeight="1" x14ac:dyDescent="0.25">
      <c r="A7961" s="1"/>
    </row>
    <row r="7962" spans="1:1" ht="46.5" customHeight="1" x14ac:dyDescent="0.25">
      <c r="A7962" s="1"/>
    </row>
    <row r="7963" spans="1:1" ht="46.5" customHeight="1" x14ac:dyDescent="0.25">
      <c r="A7963" s="1"/>
    </row>
    <row r="7964" spans="1:1" ht="46.5" customHeight="1" x14ac:dyDescent="0.25">
      <c r="A7964" s="1"/>
    </row>
    <row r="7965" spans="1:1" ht="46.5" customHeight="1" x14ac:dyDescent="0.25">
      <c r="A7965" s="1"/>
    </row>
    <row r="7966" spans="1:1" ht="46.5" customHeight="1" x14ac:dyDescent="0.25">
      <c r="A7966" s="1"/>
    </row>
    <row r="7967" spans="1:1" ht="46.5" customHeight="1" x14ac:dyDescent="0.25">
      <c r="A7967" s="1"/>
    </row>
    <row r="7968" spans="1:1" ht="46.5" customHeight="1" x14ac:dyDescent="0.25">
      <c r="A7968" s="1"/>
    </row>
    <row r="7969" spans="1:1" ht="46.5" customHeight="1" x14ac:dyDescent="0.25">
      <c r="A7969" s="1"/>
    </row>
    <row r="7970" spans="1:1" ht="46.5" customHeight="1" x14ac:dyDescent="0.25">
      <c r="A7970" s="1"/>
    </row>
    <row r="7971" spans="1:1" ht="46.5" customHeight="1" x14ac:dyDescent="0.25">
      <c r="A7971" s="1"/>
    </row>
    <row r="7972" spans="1:1" ht="46.5" customHeight="1" x14ac:dyDescent="0.25">
      <c r="A7972" s="1"/>
    </row>
    <row r="7973" spans="1:1" ht="46.5" customHeight="1" x14ac:dyDescent="0.25">
      <c r="A7973" s="1"/>
    </row>
    <row r="7974" spans="1:1" ht="46.5" customHeight="1" x14ac:dyDescent="0.25">
      <c r="A7974" s="1"/>
    </row>
    <row r="7975" spans="1:1" ht="46.5" customHeight="1" x14ac:dyDescent="0.25">
      <c r="A7975" s="1"/>
    </row>
    <row r="7976" spans="1:1" ht="46.5" customHeight="1" x14ac:dyDescent="0.25">
      <c r="A7976" s="1"/>
    </row>
    <row r="7977" spans="1:1" ht="46.5" customHeight="1" x14ac:dyDescent="0.25">
      <c r="A7977" s="1"/>
    </row>
    <row r="7978" spans="1:1" ht="46.5" customHeight="1" x14ac:dyDescent="0.25">
      <c r="A7978" s="1"/>
    </row>
    <row r="7979" spans="1:1" ht="46.5" customHeight="1" x14ac:dyDescent="0.25">
      <c r="A7979" s="1"/>
    </row>
    <row r="7980" spans="1:1" ht="46.5" customHeight="1" x14ac:dyDescent="0.25">
      <c r="A7980" s="1"/>
    </row>
    <row r="7981" spans="1:1" ht="46.5" customHeight="1" x14ac:dyDescent="0.25">
      <c r="A7981" s="1"/>
    </row>
    <row r="7982" spans="1:1" ht="46.5" customHeight="1" x14ac:dyDescent="0.25">
      <c r="A7982" s="1"/>
    </row>
    <row r="7983" spans="1:1" ht="46.5" customHeight="1" x14ac:dyDescent="0.25">
      <c r="A7983" s="1"/>
    </row>
    <row r="7984" spans="1:1" ht="46.5" customHeight="1" x14ac:dyDescent="0.25">
      <c r="A7984" s="1"/>
    </row>
    <row r="7985" spans="1:1" ht="46.5" customHeight="1" x14ac:dyDescent="0.25">
      <c r="A7985" s="1"/>
    </row>
    <row r="7986" spans="1:1" ht="46.5" customHeight="1" x14ac:dyDescent="0.25">
      <c r="A7986" s="1"/>
    </row>
    <row r="7987" spans="1:1" ht="46.5" customHeight="1" x14ac:dyDescent="0.25">
      <c r="A7987" s="1"/>
    </row>
    <row r="7988" spans="1:1" ht="46.5" customHeight="1" x14ac:dyDescent="0.25">
      <c r="A7988" s="1"/>
    </row>
    <row r="7989" spans="1:1" ht="46.5" customHeight="1" x14ac:dyDescent="0.25">
      <c r="A7989" s="1"/>
    </row>
    <row r="7990" spans="1:1" ht="46.5" customHeight="1" x14ac:dyDescent="0.25">
      <c r="A7990" s="1"/>
    </row>
    <row r="7991" spans="1:1" ht="46.5" customHeight="1" x14ac:dyDescent="0.25">
      <c r="A7991" s="1"/>
    </row>
    <row r="7992" spans="1:1" ht="46.5" customHeight="1" x14ac:dyDescent="0.25">
      <c r="A7992" s="1"/>
    </row>
    <row r="7993" spans="1:1" ht="46.5" customHeight="1" x14ac:dyDescent="0.25">
      <c r="A7993" s="1"/>
    </row>
    <row r="7994" spans="1:1" ht="46.5" customHeight="1" x14ac:dyDescent="0.25">
      <c r="A7994" s="1"/>
    </row>
    <row r="7995" spans="1:1" ht="46.5" customHeight="1" x14ac:dyDescent="0.25">
      <c r="A7995" s="1"/>
    </row>
    <row r="7996" spans="1:1" ht="46.5" customHeight="1" x14ac:dyDescent="0.25">
      <c r="A7996" s="1"/>
    </row>
    <row r="7997" spans="1:1" ht="46.5" customHeight="1" x14ac:dyDescent="0.25">
      <c r="A7997" s="1"/>
    </row>
    <row r="7998" spans="1:1" ht="46.5" customHeight="1" x14ac:dyDescent="0.25">
      <c r="A7998" s="1"/>
    </row>
    <row r="7999" spans="1:1" ht="46.5" customHeight="1" x14ac:dyDescent="0.25">
      <c r="A7999" s="1"/>
    </row>
    <row r="8000" spans="1:1" ht="46.5" customHeight="1" x14ac:dyDescent="0.25">
      <c r="A8000" s="1"/>
    </row>
    <row r="8001" spans="1:1" ht="46.5" customHeight="1" x14ac:dyDescent="0.25">
      <c r="A8001" s="1"/>
    </row>
    <row r="8002" spans="1:1" ht="46.5" customHeight="1" x14ac:dyDescent="0.25">
      <c r="A8002" s="1"/>
    </row>
    <row r="8003" spans="1:1" ht="46.5" customHeight="1" x14ac:dyDescent="0.25">
      <c r="A8003" s="1"/>
    </row>
    <row r="8004" spans="1:1" ht="46.5" customHeight="1" x14ac:dyDescent="0.25">
      <c r="A8004" s="1"/>
    </row>
    <row r="8005" spans="1:1" ht="46.5" customHeight="1" x14ac:dyDescent="0.25">
      <c r="A8005" s="1"/>
    </row>
    <row r="8006" spans="1:1" ht="46.5" customHeight="1" x14ac:dyDescent="0.25">
      <c r="A8006" s="1"/>
    </row>
    <row r="8007" spans="1:1" ht="46.5" customHeight="1" x14ac:dyDescent="0.25">
      <c r="A8007" s="1"/>
    </row>
    <row r="8008" spans="1:1" ht="46.5" customHeight="1" x14ac:dyDescent="0.25">
      <c r="A8008" s="1"/>
    </row>
    <row r="8009" spans="1:1" ht="46.5" customHeight="1" x14ac:dyDescent="0.25">
      <c r="A8009" s="1"/>
    </row>
    <row r="8010" spans="1:1" ht="46.5" customHeight="1" x14ac:dyDescent="0.25">
      <c r="A8010" s="1"/>
    </row>
    <row r="8011" spans="1:1" ht="46.5" customHeight="1" x14ac:dyDescent="0.25">
      <c r="A8011" s="1"/>
    </row>
    <row r="8012" spans="1:1" ht="46.5" customHeight="1" x14ac:dyDescent="0.25">
      <c r="A8012" s="1"/>
    </row>
    <row r="8013" spans="1:1" ht="46.5" customHeight="1" x14ac:dyDescent="0.25">
      <c r="A8013" s="1"/>
    </row>
    <row r="8014" spans="1:1" ht="46.5" customHeight="1" x14ac:dyDescent="0.25">
      <c r="A8014" s="1"/>
    </row>
    <row r="8015" spans="1:1" ht="46.5" customHeight="1" x14ac:dyDescent="0.25">
      <c r="A8015" s="1"/>
    </row>
    <row r="8016" spans="1:1" ht="46.5" customHeight="1" x14ac:dyDescent="0.25">
      <c r="A8016" s="1"/>
    </row>
    <row r="8017" spans="1:1" ht="46.5" customHeight="1" x14ac:dyDescent="0.25">
      <c r="A8017" s="1"/>
    </row>
    <row r="8018" spans="1:1" ht="46.5" customHeight="1" x14ac:dyDescent="0.25">
      <c r="A8018" s="1"/>
    </row>
    <row r="8019" spans="1:1" ht="46.5" customHeight="1" x14ac:dyDescent="0.25">
      <c r="A8019" s="1"/>
    </row>
    <row r="8020" spans="1:1" ht="46.5" customHeight="1" x14ac:dyDescent="0.25">
      <c r="A8020" s="1"/>
    </row>
    <row r="8021" spans="1:1" ht="46.5" customHeight="1" x14ac:dyDescent="0.25">
      <c r="A8021" s="1"/>
    </row>
    <row r="8022" spans="1:1" ht="46.5" customHeight="1" x14ac:dyDescent="0.25">
      <c r="A8022" s="1"/>
    </row>
    <row r="8023" spans="1:1" ht="46.5" customHeight="1" x14ac:dyDescent="0.25">
      <c r="A8023" s="1"/>
    </row>
    <row r="8024" spans="1:1" ht="46.5" customHeight="1" x14ac:dyDescent="0.25">
      <c r="A8024" s="1"/>
    </row>
    <row r="8025" spans="1:1" ht="46.5" customHeight="1" x14ac:dyDescent="0.25">
      <c r="A8025" s="1"/>
    </row>
    <row r="8026" spans="1:1" ht="46.5" customHeight="1" x14ac:dyDescent="0.25">
      <c r="A8026" s="1"/>
    </row>
    <row r="8027" spans="1:1" ht="46.5" customHeight="1" x14ac:dyDescent="0.25">
      <c r="A8027" s="1"/>
    </row>
    <row r="8028" spans="1:1" ht="46.5" customHeight="1" x14ac:dyDescent="0.25">
      <c r="A8028" s="1"/>
    </row>
    <row r="8029" spans="1:1" ht="46.5" customHeight="1" x14ac:dyDescent="0.25">
      <c r="A8029" s="1"/>
    </row>
    <row r="8030" spans="1:1" ht="46.5" customHeight="1" x14ac:dyDescent="0.25">
      <c r="A8030" s="1"/>
    </row>
    <row r="8031" spans="1:1" ht="46.5" customHeight="1" x14ac:dyDescent="0.25">
      <c r="A8031" s="1"/>
    </row>
    <row r="8032" spans="1:1" ht="46.5" customHeight="1" x14ac:dyDescent="0.25">
      <c r="A8032" s="1"/>
    </row>
    <row r="8033" spans="1:1" ht="46.5" customHeight="1" x14ac:dyDescent="0.25">
      <c r="A8033" s="1"/>
    </row>
    <row r="8034" spans="1:1" ht="46.5" customHeight="1" x14ac:dyDescent="0.25">
      <c r="A8034" s="1"/>
    </row>
    <row r="8035" spans="1:1" ht="46.5" customHeight="1" x14ac:dyDescent="0.25">
      <c r="A8035" s="1"/>
    </row>
    <row r="8036" spans="1:1" ht="46.5" customHeight="1" x14ac:dyDescent="0.25">
      <c r="A8036" s="1"/>
    </row>
    <row r="8037" spans="1:1" ht="46.5" customHeight="1" x14ac:dyDescent="0.25">
      <c r="A8037" s="1"/>
    </row>
    <row r="8038" spans="1:1" ht="46.5" customHeight="1" x14ac:dyDescent="0.25">
      <c r="A8038" s="1"/>
    </row>
    <row r="8039" spans="1:1" ht="46.5" customHeight="1" x14ac:dyDescent="0.25">
      <c r="A8039" s="1"/>
    </row>
    <row r="8040" spans="1:1" ht="46.5" customHeight="1" x14ac:dyDescent="0.25">
      <c r="A8040" s="1"/>
    </row>
    <row r="8041" spans="1:1" ht="46.5" customHeight="1" x14ac:dyDescent="0.25">
      <c r="A8041" s="1"/>
    </row>
    <row r="8042" spans="1:1" ht="46.5" customHeight="1" x14ac:dyDescent="0.25">
      <c r="A8042" s="1"/>
    </row>
    <row r="8043" spans="1:1" ht="46.5" customHeight="1" x14ac:dyDescent="0.25">
      <c r="A8043" s="1"/>
    </row>
    <row r="8044" spans="1:1" ht="46.5" customHeight="1" x14ac:dyDescent="0.25">
      <c r="A8044" s="1"/>
    </row>
    <row r="8045" spans="1:1" ht="46.5" customHeight="1" x14ac:dyDescent="0.25">
      <c r="A8045" s="1"/>
    </row>
    <row r="8046" spans="1:1" ht="46.5" customHeight="1" x14ac:dyDescent="0.25">
      <c r="A8046" s="1"/>
    </row>
    <row r="8047" spans="1:1" ht="46.5" customHeight="1" x14ac:dyDescent="0.25">
      <c r="A8047" s="1"/>
    </row>
    <row r="8048" spans="1:1" ht="46.5" customHeight="1" x14ac:dyDescent="0.25">
      <c r="A8048" s="1"/>
    </row>
    <row r="8049" spans="1:1" ht="46.5" customHeight="1" x14ac:dyDescent="0.25">
      <c r="A8049" s="1"/>
    </row>
    <row r="8050" spans="1:1" ht="46.5" customHeight="1" x14ac:dyDescent="0.25">
      <c r="A8050" s="1"/>
    </row>
    <row r="8051" spans="1:1" ht="46.5" customHeight="1" x14ac:dyDescent="0.25">
      <c r="A8051" s="1"/>
    </row>
    <row r="8052" spans="1:1" ht="46.5" customHeight="1" x14ac:dyDescent="0.25">
      <c r="A8052" s="1"/>
    </row>
    <row r="8053" spans="1:1" ht="46.5" customHeight="1" x14ac:dyDescent="0.25">
      <c r="A8053" s="1"/>
    </row>
    <row r="8054" spans="1:1" ht="46.5" customHeight="1" x14ac:dyDescent="0.25">
      <c r="A8054" s="1"/>
    </row>
    <row r="8055" spans="1:1" ht="46.5" customHeight="1" x14ac:dyDescent="0.25">
      <c r="A8055" s="1"/>
    </row>
    <row r="8056" spans="1:1" ht="46.5" customHeight="1" x14ac:dyDescent="0.25">
      <c r="A8056" s="1"/>
    </row>
    <row r="8057" spans="1:1" ht="46.5" customHeight="1" x14ac:dyDescent="0.25">
      <c r="A8057" s="1"/>
    </row>
    <row r="8058" spans="1:1" ht="46.5" customHeight="1" x14ac:dyDescent="0.25">
      <c r="A8058" s="1"/>
    </row>
    <row r="8059" spans="1:1" ht="46.5" customHeight="1" x14ac:dyDescent="0.25">
      <c r="A8059" s="1"/>
    </row>
    <row r="8060" spans="1:1" ht="46.5" customHeight="1" x14ac:dyDescent="0.25">
      <c r="A8060" s="1"/>
    </row>
    <row r="8061" spans="1:1" ht="46.5" customHeight="1" x14ac:dyDescent="0.25">
      <c r="A8061" s="1"/>
    </row>
    <row r="8062" spans="1:1" ht="46.5" customHeight="1" x14ac:dyDescent="0.25">
      <c r="A8062" s="1"/>
    </row>
    <row r="8063" spans="1:1" ht="46.5" customHeight="1" x14ac:dyDescent="0.25">
      <c r="A8063" s="1"/>
    </row>
    <row r="8064" spans="1:1" ht="46.5" customHeight="1" x14ac:dyDescent="0.25">
      <c r="A8064" s="1"/>
    </row>
    <row r="8065" spans="1:1" ht="46.5" customHeight="1" x14ac:dyDescent="0.25">
      <c r="A8065" s="1"/>
    </row>
    <row r="8066" spans="1:1" ht="46.5" customHeight="1" x14ac:dyDescent="0.25">
      <c r="A8066" s="1"/>
    </row>
    <row r="8067" spans="1:1" ht="46.5" customHeight="1" x14ac:dyDescent="0.25">
      <c r="A8067" s="1"/>
    </row>
    <row r="8068" spans="1:1" ht="46.5" customHeight="1" x14ac:dyDescent="0.25">
      <c r="A8068" s="1"/>
    </row>
    <row r="8069" spans="1:1" ht="46.5" customHeight="1" x14ac:dyDescent="0.25">
      <c r="A8069" s="1"/>
    </row>
    <row r="8070" spans="1:1" ht="46.5" customHeight="1" x14ac:dyDescent="0.25">
      <c r="A8070" s="1"/>
    </row>
    <row r="8071" spans="1:1" ht="46.5" customHeight="1" x14ac:dyDescent="0.25">
      <c r="A8071" s="1"/>
    </row>
    <row r="8072" spans="1:1" ht="46.5" customHeight="1" x14ac:dyDescent="0.25">
      <c r="A8072" s="1"/>
    </row>
    <row r="8073" spans="1:1" ht="46.5" customHeight="1" x14ac:dyDescent="0.25">
      <c r="A8073" s="1"/>
    </row>
    <row r="8074" spans="1:1" ht="46.5" customHeight="1" x14ac:dyDescent="0.25">
      <c r="A8074" s="1"/>
    </row>
    <row r="8075" spans="1:1" ht="46.5" customHeight="1" x14ac:dyDescent="0.25">
      <c r="A8075" s="1"/>
    </row>
    <row r="8076" spans="1:1" ht="46.5" customHeight="1" x14ac:dyDescent="0.25">
      <c r="A8076" s="1"/>
    </row>
    <row r="8077" spans="1:1" ht="46.5" customHeight="1" x14ac:dyDescent="0.25">
      <c r="A8077" s="1"/>
    </row>
    <row r="8078" spans="1:1" ht="46.5" customHeight="1" x14ac:dyDescent="0.25">
      <c r="A8078" s="1"/>
    </row>
    <row r="8079" spans="1:1" ht="46.5" customHeight="1" x14ac:dyDescent="0.25">
      <c r="A8079" s="1"/>
    </row>
    <row r="8080" spans="1:1" ht="46.5" customHeight="1" x14ac:dyDescent="0.25">
      <c r="A8080" s="1"/>
    </row>
    <row r="8081" spans="1:1" ht="46.5" customHeight="1" x14ac:dyDescent="0.25">
      <c r="A8081" s="1"/>
    </row>
    <row r="8082" spans="1:1" ht="46.5" customHeight="1" x14ac:dyDescent="0.25">
      <c r="A8082" s="1"/>
    </row>
    <row r="8083" spans="1:1" ht="46.5" customHeight="1" x14ac:dyDescent="0.25">
      <c r="A8083" s="1"/>
    </row>
    <row r="8084" spans="1:1" ht="46.5" customHeight="1" x14ac:dyDescent="0.25">
      <c r="A8084" s="1"/>
    </row>
    <row r="8085" spans="1:1" ht="46.5" customHeight="1" x14ac:dyDescent="0.25">
      <c r="A8085" s="1"/>
    </row>
    <row r="8086" spans="1:1" ht="46.5" customHeight="1" x14ac:dyDescent="0.25">
      <c r="A8086" s="1"/>
    </row>
    <row r="8087" spans="1:1" ht="46.5" customHeight="1" x14ac:dyDescent="0.25">
      <c r="A8087" s="1"/>
    </row>
    <row r="8088" spans="1:1" ht="46.5" customHeight="1" x14ac:dyDescent="0.25">
      <c r="A8088" s="1"/>
    </row>
    <row r="8089" spans="1:1" ht="46.5" customHeight="1" x14ac:dyDescent="0.25">
      <c r="A8089" s="1"/>
    </row>
    <row r="8090" spans="1:1" ht="46.5" customHeight="1" x14ac:dyDescent="0.25">
      <c r="A8090" s="1"/>
    </row>
    <row r="8091" spans="1:1" ht="46.5" customHeight="1" x14ac:dyDescent="0.25">
      <c r="A8091" s="1"/>
    </row>
    <row r="8092" spans="1:1" ht="46.5" customHeight="1" x14ac:dyDescent="0.25">
      <c r="A8092" s="1"/>
    </row>
    <row r="8093" spans="1:1" ht="46.5" customHeight="1" x14ac:dyDescent="0.25">
      <c r="A8093" s="1"/>
    </row>
    <row r="8094" spans="1:1" ht="46.5" customHeight="1" x14ac:dyDescent="0.25">
      <c r="A8094" s="1"/>
    </row>
    <row r="8095" spans="1:1" ht="46.5" customHeight="1" x14ac:dyDescent="0.25">
      <c r="A8095" s="1"/>
    </row>
    <row r="8096" spans="1:1" ht="46.5" customHeight="1" x14ac:dyDescent="0.25">
      <c r="A8096" s="1"/>
    </row>
    <row r="8097" spans="1:1" ht="46.5" customHeight="1" x14ac:dyDescent="0.25">
      <c r="A8097" s="1"/>
    </row>
    <row r="8098" spans="1:1" ht="46.5" customHeight="1" x14ac:dyDescent="0.25">
      <c r="A8098" s="1"/>
    </row>
    <row r="8099" spans="1:1" ht="46.5" customHeight="1" x14ac:dyDescent="0.25">
      <c r="A8099" s="1"/>
    </row>
    <row r="8100" spans="1:1" ht="46.5" customHeight="1" x14ac:dyDescent="0.25">
      <c r="A8100" s="1"/>
    </row>
    <row r="8101" spans="1:1" ht="46.5" customHeight="1" x14ac:dyDescent="0.25">
      <c r="A8101" s="1"/>
    </row>
    <row r="8102" spans="1:1" ht="46.5" customHeight="1" x14ac:dyDescent="0.25">
      <c r="A8102" s="1"/>
    </row>
    <row r="8103" spans="1:1" ht="46.5" customHeight="1" x14ac:dyDescent="0.25">
      <c r="A8103" s="1"/>
    </row>
    <row r="8104" spans="1:1" ht="46.5" customHeight="1" x14ac:dyDescent="0.25">
      <c r="A8104" s="1"/>
    </row>
    <row r="8105" spans="1:1" ht="46.5" customHeight="1" x14ac:dyDescent="0.25">
      <c r="A8105" s="1"/>
    </row>
    <row r="8106" spans="1:1" ht="46.5" customHeight="1" x14ac:dyDescent="0.25">
      <c r="A8106" s="1"/>
    </row>
    <row r="8107" spans="1:1" ht="46.5" customHeight="1" x14ac:dyDescent="0.25">
      <c r="A8107" s="1"/>
    </row>
    <row r="8108" spans="1:1" ht="46.5" customHeight="1" x14ac:dyDescent="0.25">
      <c r="A8108" s="1"/>
    </row>
    <row r="8109" spans="1:1" ht="46.5" customHeight="1" x14ac:dyDescent="0.25">
      <c r="A8109" s="1"/>
    </row>
    <row r="8110" spans="1:1" ht="46.5" customHeight="1" x14ac:dyDescent="0.25">
      <c r="A8110" s="1"/>
    </row>
    <row r="8111" spans="1:1" ht="46.5" customHeight="1" x14ac:dyDescent="0.25">
      <c r="A8111" s="1"/>
    </row>
    <row r="8112" spans="1:1" ht="46.5" customHeight="1" x14ac:dyDescent="0.25">
      <c r="A8112" s="1"/>
    </row>
    <row r="8113" spans="1:1" ht="46.5" customHeight="1" x14ac:dyDescent="0.25">
      <c r="A8113" s="1"/>
    </row>
    <row r="8114" spans="1:1" ht="46.5" customHeight="1" x14ac:dyDescent="0.25">
      <c r="A8114" s="1"/>
    </row>
    <row r="8115" spans="1:1" ht="46.5" customHeight="1" x14ac:dyDescent="0.25">
      <c r="A8115" s="1"/>
    </row>
    <row r="8116" spans="1:1" ht="46.5" customHeight="1" x14ac:dyDescent="0.25">
      <c r="A8116" s="1"/>
    </row>
    <row r="8117" spans="1:1" ht="46.5" customHeight="1" x14ac:dyDescent="0.25">
      <c r="A8117" s="1"/>
    </row>
    <row r="8118" spans="1:1" ht="46.5" customHeight="1" x14ac:dyDescent="0.25">
      <c r="A8118" s="1"/>
    </row>
    <row r="8119" spans="1:1" ht="46.5" customHeight="1" x14ac:dyDescent="0.25">
      <c r="A8119" s="1"/>
    </row>
    <row r="8120" spans="1:1" ht="46.5" customHeight="1" x14ac:dyDescent="0.25">
      <c r="A8120" s="1"/>
    </row>
    <row r="8121" spans="1:1" ht="46.5" customHeight="1" x14ac:dyDescent="0.25">
      <c r="A8121" s="1"/>
    </row>
    <row r="8122" spans="1:1" ht="46.5" customHeight="1" x14ac:dyDescent="0.25">
      <c r="A8122" s="1"/>
    </row>
    <row r="8123" spans="1:1" ht="46.5" customHeight="1" x14ac:dyDescent="0.25">
      <c r="A8123" s="1"/>
    </row>
    <row r="8124" spans="1:1" ht="46.5" customHeight="1" x14ac:dyDescent="0.25">
      <c r="A8124" s="1"/>
    </row>
    <row r="8125" spans="1:1" ht="46.5" customHeight="1" x14ac:dyDescent="0.25">
      <c r="A8125" s="1"/>
    </row>
    <row r="8126" spans="1:1" ht="46.5" customHeight="1" x14ac:dyDescent="0.25">
      <c r="A8126" s="1"/>
    </row>
    <row r="8127" spans="1:1" ht="46.5" customHeight="1" x14ac:dyDescent="0.25">
      <c r="A8127" s="1"/>
    </row>
    <row r="8128" spans="1:1" ht="46.5" customHeight="1" x14ac:dyDescent="0.25">
      <c r="A8128" s="1"/>
    </row>
    <row r="8129" spans="1:1" ht="46.5" customHeight="1" x14ac:dyDescent="0.25">
      <c r="A8129" s="1"/>
    </row>
    <row r="8130" spans="1:1" ht="46.5" customHeight="1" x14ac:dyDescent="0.25">
      <c r="A8130" s="1"/>
    </row>
    <row r="8131" spans="1:1" ht="46.5" customHeight="1" x14ac:dyDescent="0.25">
      <c r="A8131" s="1"/>
    </row>
    <row r="8132" spans="1:1" ht="46.5" customHeight="1" x14ac:dyDescent="0.25">
      <c r="A8132" s="1"/>
    </row>
    <row r="8133" spans="1:1" ht="46.5" customHeight="1" x14ac:dyDescent="0.25">
      <c r="A8133" s="1"/>
    </row>
    <row r="8134" spans="1:1" ht="46.5" customHeight="1" x14ac:dyDescent="0.25">
      <c r="A8134" s="1"/>
    </row>
    <row r="8135" spans="1:1" ht="46.5" customHeight="1" x14ac:dyDescent="0.25">
      <c r="A8135" s="1"/>
    </row>
    <row r="8136" spans="1:1" ht="46.5" customHeight="1" x14ac:dyDescent="0.25">
      <c r="A8136" s="1"/>
    </row>
    <row r="8137" spans="1:1" ht="46.5" customHeight="1" x14ac:dyDescent="0.25">
      <c r="A8137" s="1"/>
    </row>
    <row r="8138" spans="1:1" ht="46.5" customHeight="1" x14ac:dyDescent="0.25">
      <c r="A8138" s="1"/>
    </row>
    <row r="8139" spans="1:1" ht="46.5" customHeight="1" x14ac:dyDescent="0.25">
      <c r="A8139" s="1"/>
    </row>
    <row r="8140" spans="1:1" ht="46.5" customHeight="1" x14ac:dyDescent="0.25">
      <c r="A8140" s="1"/>
    </row>
    <row r="8141" spans="1:1" ht="46.5" customHeight="1" x14ac:dyDescent="0.25">
      <c r="A8141" s="1"/>
    </row>
    <row r="8142" spans="1:1" ht="46.5" customHeight="1" x14ac:dyDescent="0.25">
      <c r="A8142" s="1"/>
    </row>
    <row r="8143" spans="1:1" ht="46.5" customHeight="1" x14ac:dyDescent="0.25">
      <c r="A8143" s="1"/>
    </row>
    <row r="8144" spans="1:1" ht="46.5" customHeight="1" x14ac:dyDescent="0.25">
      <c r="A8144" s="1"/>
    </row>
    <row r="8145" spans="1:1" ht="46.5" customHeight="1" x14ac:dyDescent="0.25">
      <c r="A8145" s="1"/>
    </row>
    <row r="8146" spans="1:1" ht="46.5" customHeight="1" x14ac:dyDescent="0.25">
      <c r="A8146" s="1"/>
    </row>
    <row r="8147" spans="1:1" ht="46.5" customHeight="1" x14ac:dyDescent="0.25">
      <c r="A8147" s="1"/>
    </row>
    <row r="8148" spans="1:1" ht="46.5" customHeight="1" x14ac:dyDescent="0.25">
      <c r="A8148" s="1"/>
    </row>
    <row r="8149" spans="1:1" ht="46.5" customHeight="1" x14ac:dyDescent="0.25">
      <c r="A8149" s="1"/>
    </row>
    <row r="8150" spans="1:1" ht="46.5" customHeight="1" x14ac:dyDescent="0.25">
      <c r="A8150" s="1"/>
    </row>
    <row r="8151" spans="1:1" ht="46.5" customHeight="1" x14ac:dyDescent="0.25">
      <c r="A8151" s="1"/>
    </row>
    <row r="8152" spans="1:1" ht="46.5" customHeight="1" x14ac:dyDescent="0.25">
      <c r="A8152" s="1"/>
    </row>
    <row r="8153" spans="1:1" ht="46.5" customHeight="1" x14ac:dyDescent="0.25">
      <c r="A8153" s="1"/>
    </row>
    <row r="8154" spans="1:1" ht="46.5" customHeight="1" x14ac:dyDescent="0.25">
      <c r="A8154" s="1"/>
    </row>
    <row r="8155" spans="1:1" ht="46.5" customHeight="1" x14ac:dyDescent="0.25">
      <c r="A8155" s="1"/>
    </row>
    <row r="8156" spans="1:1" ht="46.5" customHeight="1" x14ac:dyDescent="0.25">
      <c r="A8156" s="1"/>
    </row>
    <row r="8157" spans="1:1" ht="46.5" customHeight="1" x14ac:dyDescent="0.25">
      <c r="A8157" s="1"/>
    </row>
    <row r="8158" spans="1:1" ht="46.5" customHeight="1" x14ac:dyDescent="0.25">
      <c r="A8158" s="1"/>
    </row>
    <row r="8159" spans="1:1" ht="46.5" customHeight="1" x14ac:dyDescent="0.25">
      <c r="A8159" s="1"/>
    </row>
    <row r="8160" spans="1:1" ht="46.5" customHeight="1" x14ac:dyDescent="0.25">
      <c r="A8160" s="1"/>
    </row>
    <row r="8161" spans="1:1" ht="46.5" customHeight="1" x14ac:dyDescent="0.25">
      <c r="A8161" s="1"/>
    </row>
    <row r="8162" spans="1:1" ht="46.5" customHeight="1" x14ac:dyDescent="0.25">
      <c r="A8162" s="1"/>
    </row>
    <row r="8163" spans="1:1" ht="46.5" customHeight="1" x14ac:dyDescent="0.25">
      <c r="A8163" s="1"/>
    </row>
    <row r="8164" spans="1:1" ht="46.5" customHeight="1" x14ac:dyDescent="0.25">
      <c r="A8164" s="1"/>
    </row>
    <row r="8165" spans="1:1" ht="46.5" customHeight="1" x14ac:dyDescent="0.25">
      <c r="A8165" s="1"/>
    </row>
    <row r="8166" spans="1:1" ht="46.5" customHeight="1" x14ac:dyDescent="0.25">
      <c r="A8166" s="1"/>
    </row>
    <row r="8167" spans="1:1" ht="46.5" customHeight="1" x14ac:dyDescent="0.25">
      <c r="A8167" s="1"/>
    </row>
    <row r="8168" spans="1:1" ht="46.5" customHeight="1" x14ac:dyDescent="0.25">
      <c r="A8168" s="1"/>
    </row>
    <row r="8169" spans="1:1" ht="46.5" customHeight="1" x14ac:dyDescent="0.25">
      <c r="A8169" s="1"/>
    </row>
    <row r="8170" spans="1:1" ht="46.5" customHeight="1" x14ac:dyDescent="0.25">
      <c r="A8170" s="1"/>
    </row>
    <row r="8171" spans="1:1" ht="46.5" customHeight="1" x14ac:dyDescent="0.25">
      <c r="A8171" s="1"/>
    </row>
    <row r="8172" spans="1:1" ht="46.5" customHeight="1" x14ac:dyDescent="0.25">
      <c r="A8172" s="1"/>
    </row>
    <row r="8173" spans="1:1" ht="46.5" customHeight="1" x14ac:dyDescent="0.25">
      <c r="A8173" s="1"/>
    </row>
    <row r="8174" spans="1:1" ht="46.5" customHeight="1" x14ac:dyDescent="0.25">
      <c r="A8174" s="1"/>
    </row>
    <row r="8175" spans="1:1" ht="46.5" customHeight="1" x14ac:dyDescent="0.25">
      <c r="A8175" s="1"/>
    </row>
    <row r="8176" spans="1:1" ht="46.5" customHeight="1" x14ac:dyDescent="0.25">
      <c r="A8176" s="1"/>
    </row>
    <row r="8177" spans="1:1" ht="46.5" customHeight="1" x14ac:dyDescent="0.25">
      <c r="A8177" s="1"/>
    </row>
    <row r="8178" spans="1:1" ht="46.5" customHeight="1" x14ac:dyDescent="0.25">
      <c r="A8178" s="1"/>
    </row>
    <row r="8179" spans="1:1" ht="46.5" customHeight="1" x14ac:dyDescent="0.25">
      <c r="A8179" s="1"/>
    </row>
    <row r="8180" spans="1:1" ht="46.5" customHeight="1" x14ac:dyDescent="0.25">
      <c r="A8180" s="1"/>
    </row>
    <row r="8181" spans="1:1" ht="46.5" customHeight="1" x14ac:dyDescent="0.25">
      <c r="A8181" s="1"/>
    </row>
    <row r="8182" spans="1:1" ht="46.5" customHeight="1" x14ac:dyDescent="0.25">
      <c r="A8182" s="1"/>
    </row>
    <row r="8183" spans="1:1" ht="46.5" customHeight="1" x14ac:dyDescent="0.25">
      <c r="A8183" s="1"/>
    </row>
    <row r="8184" spans="1:1" ht="46.5" customHeight="1" x14ac:dyDescent="0.25">
      <c r="A8184" s="1"/>
    </row>
    <row r="8185" spans="1:1" ht="46.5" customHeight="1" x14ac:dyDescent="0.25">
      <c r="A8185" s="1"/>
    </row>
    <row r="8186" spans="1:1" ht="46.5" customHeight="1" x14ac:dyDescent="0.25">
      <c r="A8186" s="1"/>
    </row>
    <row r="8187" spans="1:1" ht="46.5" customHeight="1" x14ac:dyDescent="0.25">
      <c r="A8187" s="1"/>
    </row>
    <row r="8188" spans="1:1" ht="46.5" customHeight="1" x14ac:dyDescent="0.25">
      <c r="A8188" s="1"/>
    </row>
    <row r="8189" spans="1:1" ht="46.5" customHeight="1" x14ac:dyDescent="0.25">
      <c r="A8189" s="1"/>
    </row>
    <row r="8190" spans="1:1" ht="46.5" customHeight="1" x14ac:dyDescent="0.25">
      <c r="A8190" s="1"/>
    </row>
    <row r="8191" spans="1:1" ht="46.5" customHeight="1" x14ac:dyDescent="0.25">
      <c r="A8191" s="1"/>
    </row>
    <row r="8192" spans="1:1" ht="46.5" customHeight="1" x14ac:dyDescent="0.25">
      <c r="A8192" s="1"/>
    </row>
    <row r="8193" spans="1:1" ht="46.5" customHeight="1" x14ac:dyDescent="0.25">
      <c r="A8193" s="1"/>
    </row>
    <row r="8194" spans="1:1" ht="46.5" customHeight="1" x14ac:dyDescent="0.25">
      <c r="A8194" s="1"/>
    </row>
    <row r="8195" spans="1:1" ht="46.5" customHeight="1" x14ac:dyDescent="0.25">
      <c r="A8195" s="1"/>
    </row>
    <row r="8196" spans="1:1" ht="46.5" customHeight="1" x14ac:dyDescent="0.25">
      <c r="A8196" s="1"/>
    </row>
    <row r="8197" spans="1:1" ht="46.5" customHeight="1" x14ac:dyDescent="0.25">
      <c r="A8197" s="1"/>
    </row>
    <row r="8198" spans="1:1" ht="46.5" customHeight="1" x14ac:dyDescent="0.25">
      <c r="A8198" s="1"/>
    </row>
    <row r="8199" spans="1:1" ht="46.5" customHeight="1" x14ac:dyDescent="0.25">
      <c r="A8199" s="1"/>
    </row>
    <row r="8200" spans="1:1" ht="46.5" customHeight="1" x14ac:dyDescent="0.25">
      <c r="A8200" s="1"/>
    </row>
    <row r="8201" spans="1:1" ht="46.5" customHeight="1" x14ac:dyDescent="0.25">
      <c r="A8201" s="1"/>
    </row>
    <row r="8202" spans="1:1" ht="46.5" customHeight="1" x14ac:dyDescent="0.25">
      <c r="A8202" s="1"/>
    </row>
    <row r="8203" spans="1:1" ht="46.5" customHeight="1" x14ac:dyDescent="0.25">
      <c r="A8203" s="1"/>
    </row>
    <row r="8204" spans="1:1" ht="46.5" customHeight="1" x14ac:dyDescent="0.25">
      <c r="A8204" s="1"/>
    </row>
    <row r="8205" spans="1:1" ht="46.5" customHeight="1" x14ac:dyDescent="0.25">
      <c r="A8205" s="1"/>
    </row>
    <row r="8206" spans="1:1" ht="46.5" customHeight="1" x14ac:dyDescent="0.25">
      <c r="A8206" s="1"/>
    </row>
    <row r="8207" spans="1:1" ht="46.5" customHeight="1" x14ac:dyDescent="0.25">
      <c r="A8207" s="1"/>
    </row>
    <row r="8208" spans="1:1" ht="46.5" customHeight="1" x14ac:dyDescent="0.25">
      <c r="A8208" s="1"/>
    </row>
    <row r="8209" spans="1:1" ht="46.5" customHeight="1" x14ac:dyDescent="0.25">
      <c r="A8209" s="1"/>
    </row>
    <row r="8210" spans="1:1" ht="46.5" customHeight="1" x14ac:dyDescent="0.25">
      <c r="A8210" s="1"/>
    </row>
    <row r="8211" spans="1:1" ht="46.5" customHeight="1" x14ac:dyDescent="0.25">
      <c r="A8211" s="1"/>
    </row>
    <row r="8212" spans="1:1" ht="46.5" customHeight="1" x14ac:dyDescent="0.25">
      <c r="A8212" s="1"/>
    </row>
    <row r="8213" spans="1:1" ht="46.5" customHeight="1" x14ac:dyDescent="0.25">
      <c r="A8213" s="1"/>
    </row>
    <row r="8214" spans="1:1" ht="46.5" customHeight="1" x14ac:dyDescent="0.25">
      <c r="A8214" s="1"/>
    </row>
    <row r="8215" spans="1:1" ht="46.5" customHeight="1" x14ac:dyDescent="0.25">
      <c r="A8215" s="1"/>
    </row>
    <row r="8216" spans="1:1" ht="46.5" customHeight="1" x14ac:dyDescent="0.25">
      <c r="A8216" s="1"/>
    </row>
    <row r="8217" spans="1:1" ht="46.5" customHeight="1" x14ac:dyDescent="0.25">
      <c r="A8217" s="1"/>
    </row>
    <row r="8218" spans="1:1" ht="46.5" customHeight="1" x14ac:dyDescent="0.25">
      <c r="A8218" s="1"/>
    </row>
    <row r="8219" spans="1:1" ht="46.5" customHeight="1" x14ac:dyDescent="0.25">
      <c r="A8219" s="1"/>
    </row>
    <row r="8220" spans="1:1" ht="46.5" customHeight="1" x14ac:dyDescent="0.25">
      <c r="A8220" s="1"/>
    </row>
    <row r="8221" spans="1:1" ht="46.5" customHeight="1" x14ac:dyDescent="0.25">
      <c r="A8221" s="1"/>
    </row>
    <row r="8222" spans="1:1" ht="46.5" customHeight="1" x14ac:dyDescent="0.25">
      <c r="A8222" s="1"/>
    </row>
    <row r="8223" spans="1:1" ht="46.5" customHeight="1" x14ac:dyDescent="0.25">
      <c r="A8223" s="1"/>
    </row>
    <row r="8224" spans="1:1" ht="46.5" customHeight="1" x14ac:dyDescent="0.25">
      <c r="A8224" s="1"/>
    </row>
    <row r="8225" spans="1:1" ht="46.5" customHeight="1" x14ac:dyDescent="0.25">
      <c r="A8225" s="1"/>
    </row>
    <row r="8226" spans="1:1" ht="46.5" customHeight="1" x14ac:dyDescent="0.25">
      <c r="A8226" s="1"/>
    </row>
    <row r="8227" spans="1:1" ht="46.5" customHeight="1" x14ac:dyDescent="0.25">
      <c r="A8227" s="1"/>
    </row>
    <row r="8228" spans="1:1" ht="46.5" customHeight="1" x14ac:dyDescent="0.25">
      <c r="A8228" s="1"/>
    </row>
    <row r="8229" spans="1:1" ht="46.5" customHeight="1" x14ac:dyDescent="0.25">
      <c r="A8229" s="1"/>
    </row>
    <row r="8230" spans="1:1" ht="46.5" customHeight="1" x14ac:dyDescent="0.25">
      <c r="A8230" s="1"/>
    </row>
    <row r="8231" spans="1:1" ht="46.5" customHeight="1" x14ac:dyDescent="0.25">
      <c r="A8231" s="1"/>
    </row>
    <row r="8232" spans="1:1" ht="46.5" customHeight="1" x14ac:dyDescent="0.25">
      <c r="A8232" s="1"/>
    </row>
    <row r="8233" spans="1:1" ht="46.5" customHeight="1" x14ac:dyDescent="0.25">
      <c r="A8233" s="1"/>
    </row>
    <row r="8234" spans="1:1" ht="46.5" customHeight="1" x14ac:dyDescent="0.25">
      <c r="A8234" s="1"/>
    </row>
    <row r="8235" spans="1:1" ht="46.5" customHeight="1" x14ac:dyDescent="0.25">
      <c r="A8235" s="1"/>
    </row>
    <row r="8236" spans="1:1" ht="46.5" customHeight="1" x14ac:dyDescent="0.25">
      <c r="A8236" s="1"/>
    </row>
    <row r="8237" spans="1:1" ht="46.5" customHeight="1" x14ac:dyDescent="0.25">
      <c r="A8237" s="1"/>
    </row>
    <row r="8238" spans="1:1" ht="46.5" customHeight="1" x14ac:dyDescent="0.25">
      <c r="A8238" s="1"/>
    </row>
    <row r="8239" spans="1:1" ht="46.5" customHeight="1" x14ac:dyDescent="0.25">
      <c r="A8239" s="1"/>
    </row>
    <row r="8240" spans="1:1" ht="46.5" customHeight="1" x14ac:dyDescent="0.25">
      <c r="A8240" s="1"/>
    </row>
    <row r="8241" spans="1:1" ht="46.5" customHeight="1" x14ac:dyDescent="0.25">
      <c r="A8241" s="1"/>
    </row>
    <row r="8242" spans="1:1" ht="46.5" customHeight="1" x14ac:dyDescent="0.25">
      <c r="A8242" s="1"/>
    </row>
    <row r="8243" spans="1:1" ht="46.5" customHeight="1" x14ac:dyDescent="0.25">
      <c r="A8243" s="1"/>
    </row>
    <row r="8244" spans="1:1" ht="46.5" customHeight="1" x14ac:dyDescent="0.25">
      <c r="A8244" s="1"/>
    </row>
    <row r="8245" spans="1:1" ht="46.5" customHeight="1" x14ac:dyDescent="0.25">
      <c r="A8245" s="1"/>
    </row>
    <row r="8246" spans="1:1" ht="46.5" customHeight="1" x14ac:dyDescent="0.25">
      <c r="A8246" s="1"/>
    </row>
    <row r="8247" spans="1:1" ht="46.5" customHeight="1" x14ac:dyDescent="0.25">
      <c r="A8247" s="1"/>
    </row>
    <row r="8248" spans="1:1" ht="46.5" customHeight="1" x14ac:dyDescent="0.25">
      <c r="A8248" s="1"/>
    </row>
    <row r="8249" spans="1:1" ht="46.5" customHeight="1" x14ac:dyDescent="0.25">
      <c r="A8249" s="1"/>
    </row>
    <row r="8250" spans="1:1" ht="46.5" customHeight="1" x14ac:dyDescent="0.25">
      <c r="A8250" s="1"/>
    </row>
    <row r="8251" spans="1:1" ht="46.5" customHeight="1" x14ac:dyDescent="0.25">
      <c r="A8251" s="1"/>
    </row>
    <row r="8252" spans="1:1" ht="46.5" customHeight="1" x14ac:dyDescent="0.25">
      <c r="A8252" s="1"/>
    </row>
    <row r="8253" spans="1:1" ht="46.5" customHeight="1" x14ac:dyDescent="0.25">
      <c r="A8253" s="1"/>
    </row>
    <row r="8254" spans="1:1" ht="46.5" customHeight="1" x14ac:dyDescent="0.25">
      <c r="A8254" s="1"/>
    </row>
    <row r="8255" spans="1:1" ht="46.5" customHeight="1" x14ac:dyDescent="0.25">
      <c r="A8255" s="1"/>
    </row>
    <row r="8256" spans="1:1" ht="46.5" customHeight="1" x14ac:dyDescent="0.25">
      <c r="A8256" s="1"/>
    </row>
    <row r="8257" spans="1:1" ht="46.5" customHeight="1" x14ac:dyDescent="0.25">
      <c r="A8257" s="1"/>
    </row>
    <row r="8258" spans="1:1" ht="46.5" customHeight="1" x14ac:dyDescent="0.25">
      <c r="A8258" s="1"/>
    </row>
    <row r="8259" spans="1:1" ht="46.5" customHeight="1" x14ac:dyDescent="0.25">
      <c r="A8259" s="1"/>
    </row>
    <row r="8260" spans="1:1" ht="46.5" customHeight="1" x14ac:dyDescent="0.25">
      <c r="A8260" s="1"/>
    </row>
    <row r="8261" spans="1:1" ht="46.5" customHeight="1" x14ac:dyDescent="0.25">
      <c r="A8261" s="1"/>
    </row>
    <row r="8262" spans="1:1" ht="46.5" customHeight="1" x14ac:dyDescent="0.25">
      <c r="A8262" s="1"/>
    </row>
    <row r="8263" spans="1:1" ht="46.5" customHeight="1" x14ac:dyDescent="0.25">
      <c r="A8263" s="1"/>
    </row>
    <row r="8264" spans="1:1" ht="46.5" customHeight="1" x14ac:dyDescent="0.25">
      <c r="A8264" s="1"/>
    </row>
    <row r="8265" spans="1:1" ht="46.5" customHeight="1" x14ac:dyDescent="0.25">
      <c r="A8265" s="1"/>
    </row>
    <row r="8266" spans="1:1" ht="46.5" customHeight="1" x14ac:dyDescent="0.25">
      <c r="A8266" s="1"/>
    </row>
    <row r="8267" spans="1:1" ht="46.5" customHeight="1" x14ac:dyDescent="0.25">
      <c r="A8267" s="1"/>
    </row>
    <row r="8268" spans="1:1" ht="46.5" customHeight="1" x14ac:dyDescent="0.25">
      <c r="A8268" s="1"/>
    </row>
    <row r="8269" spans="1:1" ht="46.5" customHeight="1" x14ac:dyDescent="0.25">
      <c r="A8269" s="1"/>
    </row>
    <row r="8270" spans="1:1" ht="46.5" customHeight="1" x14ac:dyDescent="0.25">
      <c r="A8270" s="1"/>
    </row>
    <row r="8271" spans="1:1" ht="46.5" customHeight="1" x14ac:dyDescent="0.25">
      <c r="A8271" s="1"/>
    </row>
    <row r="8272" spans="1:1" ht="46.5" customHeight="1" x14ac:dyDescent="0.25">
      <c r="A8272" s="1"/>
    </row>
    <row r="8273" spans="1:1" ht="46.5" customHeight="1" x14ac:dyDescent="0.25">
      <c r="A8273" s="1"/>
    </row>
    <row r="8274" spans="1:1" ht="46.5" customHeight="1" x14ac:dyDescent="0.25">
      <c r="A8274" s="1"/>
    </row>
    <row r="8275" spans="1:1" ht="46.5" customHeight="1" x14ac:dyDescent="0.25">
      <c r="A8275" s="1"/>
    </row>
    <row r="8276" spans="1:1" ht="46.5" customHeight="1" x14ac:dyDescent="0.25">
      <c r="A8276" s="1"/>
    </row>
    <row r="8277" spans="1:1" ht="46.5" customHeight="1" x14ac:dyDescent="0.25">
      <c r="A8277" s="1"/>
    </row>
    <row r="8278" spans="1:1" ht="46.5" customHeight="1" x14ac:dyDescent="0.25">
      <c r="A8278" s="1"/>
    </row>
    <row r="8279" spans="1:1" ht="46.5" customHeight="1" x14ac:dyDescent="0.25">
      <c r="A8279" s="1"/>
    </row>
    <row r="8280" spans="1:1" ht="46.5" customHeight="1" x14ac:dyDescent="0.25">
      <c r="A8280" s="1"/>
    </row>
    <row r="8281" spans="1:1" ht="46.5" customHeight="1" x14ac:dyDescent="0.25">
      <c r="A8281" s="1"/>
    </row>
    <row r="8282" spans="1:1" ht="46.5" customHeight="1" x14ac:dyDescent="0.25">
      <c r="A8282" s="1"/>
    </row>
    <row r="8283" spans="1:1" ht="46.5" customHeight="1" x14ac:dyDescent="0.25">
      <c r="A8283" s="1"/>
    </row>
    <row r="8284" spans="1:1" ht="46.5" customHeight="1" x14ac:dyDescent="0.25">
      <c r="A8284" s="1"/>
    </row>
    <row r="8285" spans="1:1" ht="46.5" customHeight="1" x14ac:dyDescent="0.25">
      <c r="A8285" s="1"/>
    </row>
    <row r="8286" spans="1:1" ht="46.5" customHeight="1" x14ac:dyDescent="0.25">
      <c r="A8286" s="1"/>
    </row>
    <row r="8287" spans="1:1" ht="46.5" customHeight="1" x14ac:dyDescent="0.25">
      <c r="A8287" s="1"/>
    </row>
    <row r="8288" spans="1:1" ht="46.5" customHeight="1" x14ac:dyDescent="0.25">
      <c r="A8288" s="1"/>
    </row>
    <row r="8289" spans="1:1" ht="46.5" customHeight="1" x14ac:dyDescent="0.25">
      <c r="A8289" s="1"/>
    </row>
    <row r="8290" spans="1:1" ht="46.5" customHeight="1" x14ac:dyDescent="0.25">
      <c r="A8290" s="1"/>
    </row>
    <row r="8291" spans="1:1" ht="46.5" customHeight="1" x14ac:dyDescent="0.25">
      <c r="A8291" s="1"/>
    </row>
    <row r="8292" spans="1:1" ht="46.5" customHeight="1" x14ac:dyDescent="0.25">
      <c r="A8292" s="1"/>
    </row>
    <row r="8293" spans="1:1" ht="46.5" customHeight="1" x14ac:dyDescent="0.25">
      <c r="A8293" s="1"/>
    </row>
    <row r="8294" spans="1:1" ht="46.5" customHeight="1" x14ac:dyDescent="0.25">
      <c r="A8294" s="1"/>
    </row>
    <row r="8295" spans="1:1" ht="46.5" customHeight="1" x14ac:dyDescent="0.25">
      <c r="A8295" s="1"/>
    </row>
    <row r="8296" spans="1:1" ht="46.5" customHeight="1" x14ac:dyDescent="0.25">
      <c r="A8296" s="1"/>
    </row>
    <row r="8297" spans="1:1" ht="46.5" customHeight="1" x14ac:dyDescent="0.25">
      <c r="A8297" s="1"/>
    </row>
    <row r="8298" spans="1:1" ht="46.5" customHeight="1" x14ac:dyDescent="0.25">
      <c r="A8298" s="1"/>
    </row>
    <row r="8299" spans="1:1" ht="46.5" customHeight="1" x14ac:dyDescent="0.25">
      <c r="A8299" s="1"/>
    </row>
    <row r="8300" spans="1:1" ht="46.5" customHeight="1" x14ac:dyDescent="0.25">
      <c r="A8300" s="1"/>
    </row>
    <row r="8301" spans="1:1" ht="46.5" customHeight="1" x14ac:dyDescent="0.25">
      <c r="A8301" s="1"/>
    </row>
    <row r="8302" spans="1:1" ht="46.5" customHeight="1" x14ac:dyDescent="0.25">
      <c r="A8302" s="1"/>
    </row>
    <row r="8303" spans="1:1" ht="46.5" customHeight="1" x14ac:dyDescent="0.25">
      <c r="A8303" s="1"/>
    </row>
    <row r="8304" spans="1:1" ht="46.5" customHeight="1" x14ac:dyDescent="0.25">
      <c r="A8304" s="1"/>
    </row>
    <row r="8305" spans="1:1" ht="46.5" customHeight="1" x14ac:dyDescent="0.25">
      <c r="A8305" s="1"/>
    </row>
    <row r="8306" spans="1:1" ht="46.5" customHeight="1" x14ac:dyDescent="0.25">
      <c r="A8306" s="1"/>
    </row>
    <row r="8307" spans="1:1" ht="46.5" customHeight="1" x14ac:dyDescent="0.25">
      <c r="A8307" s="1"/>
    </row>
    <row r="8308" spans="1:1" ht="46.5" customHeight="1" x14ac:dyDescent="0.25">
      <c r="A8308" s="1"/>
    </row>
    <row r="8309" spans="1:1" ht="46.5" customHeight="1" x14ac:dyDescent="0.25">
      <c r="A8309" s="1"/>
    </row>
    <row r="8310" spans="1:1" ht="46.5" customHeight="1" x14ac:dyDescent="0.25">
      <c r="A8310" s="1"/>
    </row>
    <row r="8311" spans="1:1" ht="46.5" customHeight="1" x14ac:dyDescent="0.25">
      <c r="A8311" s="1"/>
    </row>
    <row r="8312" spans="1:1" ht="46.5" customHeight="1" x14ac:dyDescent="0.25">
      <c r="A8312" s="1"/>
    </row>
    <row r="8313" spans="1:1" ht="46.5" customHeight="1" x14ac:dyDescent="0.25">
      <c r="A8313" s="1"/>
    </row>
    <row r="8314" spans="1:1" ht="46.5" customHeight="1" x14ac:dyDescent="0.25">
      <c r="A8314" s="1"/>
    </row>
    <row r="8315" spans="1:1" ht="46.5" customHeight="1" x14ac:dyDescent="0.25">
      <c r="A8315" s="1"/>
    </row>
    <row r="8316" spans="1:1" ht="46.5" customHeight="1" x14ac:dyDescent="0.25">
      <c r="A8316" s="1"/>
    </row>
    <row r="8317" spans="1:1" ht="46.5" customHeight="1" x14ac:dyDescent="0.25">
      <c r="A8317" s="1"/>
    </row>
    <row r="8318" spans="1:1" ht="46.5" customHeight="1" x14ac:dyDescent="0.25">
      <c r="A8318" s="1"/>
    </row>
    <row r="8319" spans="1:1" ht="46.5" customHeight="1" x14ac:dyDescent="0.25">
      <c r="A8319" s="1"/>
    </row>
    <row r="8320" spans="1:1" ht="46.5" customHeight="1" x14ac:dyDescent="0.25">
      <c r="A8320" s="1"/>
    </row>
    <row r="8321" spans="1:1" ht="46.5" customHeight="1" x14ac:dyDescent="0.25">
      <c r="A8321" s="1"/>
    </row>
    <row r="8322" spans="1:1" ht="46.5" customHeight="1" x14ac:dyDescent="0.25">
      <c r="A8322" s="1"/>
    </row>
    <row r="8323" spans="1:1" ht="46.5" customHeight="1" x14ac:dyDescent="0.25">
      <c r="A8323" s="1"/>
    </row>
    <row r="8324" spans="1:1" ht="46.5" customHeight="1" x14ac:dyDescent="0.25">
      <c r="A8324" s="1"/>
    </row>
    <row r="8325" spans="1:1" ht="46.5" customHeight="1" x14ac:dyDescent="0.25">
      <c r="A8325" s="1"/>
    </row>
    <row r="8326" spans="1:1" ht="46.5" customHeight="1" x14ac:dyDescent="0.25">
      <c r="A8326" s="1"/>
    </row>
    <row r="8327" spans="1:1" ht="46.5" customHeight="1" x14ac:dyDescent="0.25">
      <c r="A8327" s="1"/>
    </row>
    <row r="8328" spans="1:1" ht="46.5" customHeight="1" x14ac:dyDescent="0.25">
      <c r="A8328" s="1"/>
    </row>
    <row r="8329" spans="1:1" ht="46.5" customHeight="1" x14ac:dyDescent="0.25">
      <c r="A8329" s="1"/>
    </row>
    <row r="8330" spans="1:1" ht="46.5" customHeight="1" x14ac:dyDescent="0.25">
      <c r="A8330" s="1"/>
    </row>
    <row r="8331" spans="1:1" ht="46.5" customHeight="1" x14ac:dyDescent="0.25">
      <c r="A8331" s="1"/>
    </row>
    <row r="8332" spans="1:1" ht="46.5" customHeight="1" x14ac:dyDescent="0.25">
      <c r="A8332" s="1"/>
    </row>
    <row r="8333" spans="1:1" ht="46.5" customHeight="1" x14ac:dyDescent="0.25">
      <c r="A8333" s="1"/>
    </row>
    <row r="8334" spans="1:1" ht="46.5" customHeight="1" x14ac:dyDescent="0.25">
      <c r="A8334" s="1"/>
    </row>
    <row r="8335" spans="1:1" ht="46.5" customHeight="1" x14ac:dyDescent="0.25">
      <c r="A8335" s="1"/>
    </row>
    <row r="8336" spans="1:1" ht="46.5" customHeight="1" x14ac:dyDescent="0.25">
      <c r="A8336" s="1"/>
    </row>
    <row r="8337" spans="1:1" ht="46.5" customHeight="1" x14ac:dyDescent="0.25">
      <c r="A8337" s="1"/>
    </row>
    <row r="8338" spans="1:1" ht="46.5" customHeight="1" x14ac:dyDescent="0.25">
      <c r="A8338" s="1"/>
    </row>
    <row r="8339" spans="1:1" ht="46.5" customHeight="1" x14ac:dyDescent="0.25">
      <c r="A8339" s="1"/>
    </row>
    <row r="8340" spans="1:1" ht="46.5" customHeight="1" x14ac:dyDescent="0.25">
      <c r="A8340" s="1"/>
    </row>
    <row r="8341" spans="1:1" ht="46.5" customHeight="1" x14ac:dyDescent="0.25">
      <c r="A8341" s="1"/>
    </row>
    <row r="8342" spans="1:1" ht="46.5" customHeight="1" x14ac:dyDescent="0.25">
      <c r="A8342" s="1"/>
    </row>
    <row r="8343" spans="1:1" ht="46.5" customHeight="1" x14ac:dyDescent="0.25">
      <c r="A8343" s="1"/>
    </row>
    <row r="8344" spans="1:1" ht="46.5" customHeight="1" x14ac:dyDescent="0.25">
      <c r="A8344" s="1"/>
    </row>
    <row r="8345" spans="1:1" ht="46.5" customHeight="1" x14ac:dyDescent="0.25">
      <c r="A8345" s="1"/>
    </row>
    <row r="8346" spans="1:1" ht="46.5" customHeight="1" x14ac:dyDescent="0.25">
      <c r="A8346" s="1"/>
    </row>
    <row r="8347" spans="1:1" ht="46.5" customHeight="1" x14ac:dyDescent="0.25">
      <c r="A8347" s="1"/>
    </row>
    <row r="8348" spans="1:1" ht="46.5" customHeight="1" x14ac:dyDescent="0.25">
      <c r="A8348" s="1"/>
    </row>
    <row r="8349" spans="1:1" ht="46.5" customHeight="1" x14ac:dyDescent="0.25">
      <c r="A8349" s="1"/>
    </row>
    <row r="8350" spans="1:1" ht="46.5" customHeight="1" x14ac:dyDescent="0.25">
      <c r="A8350" s="1"/>
    </row>
    <row r="8351" spans="1:1" ht="46.5" customHeight="1" x14ac:dyDescent="0.25">
      <c r="A8351" s="1"/>
    </row>
    <row r="8352" spans="1:1" ht="46.5" customHeight="1" x14ac:dyDescent="0.25">
      <c r="A8352" s="1"/>
    </row>
    <row r="8353" spans="1:1" ht="46.5" customHeight="1" x14ac:dyDescent="0.25">
      <c r="A8353" s="1"/>
    </row>
    <row r="8354" spans="1:1" ht="46.5" customHeight="1" x14ac:dyDescent="0.25">
      <c r="A8354" s="1"/>
    </row>
    <row r="8355" spans="1:1" ht="46.5" customHeight="1" x14ac:dyDescent="0.25">
      <c r="A8355" s="1"/>
    </row>
    <row r="8356" spans="1:1" ht="46.5" customHeight="1" x14ac:dyDescent="0.25">
      <c r="A8356" s="1"/>
    </row>
    <row r="8357" spans="1:1" ht="46.5" customHeight="1" x14ac:dyDescent="0.25">
      <c r="A8357" s="1"/>
    </row>
    <row r="8358" spans="1:1" ht="46.5" customHeight="1" x14ac:dyDescent="0.25">
      <c r="A8358" s="1"/>
    </row>
    <row r="8359" spans="1:1" ht="46.5" customHeight="1" x14ac:dyDescent="0.25">
      <c r="A8359" s="1"/>
    </row>
    <row r="8360" spans="1:1" ht="46.5" customHeight="1" x14ac:dyDescent="0.25">
      <c r="A8360" s="1"/>
    </row>
    <row r="8361" spans="1:1" ht="46.5" customHeight="1" x14ac:dyDescent="0.25">
      <c r="A8361" s="1"/>
    </row>
    <row r="8362" spans="1:1" ht="46.5" customHeight="1" x14ac:dyDescent="0.25">
      <c r="A8362" s="1"/>
    </row>
    <row r="8363" spans="1:1" ht="46.5" customHeight="1" x14ac:dyDescent="0.25">
      <c r="A8363" s="1"/>
    </row>
    <row r="8364" spans="1:1" ht="46.5" customHeight="1" x14ac:dyDescent="0.25">
      <c r="A8364" s="1"/>
    </row>
    <row r="8365" spans="1:1" ht="46.5" customHeight="1" x14ac:dyDescent="0.25">
      <c r="A8365" s="1"/>
    </row>
    <row r="8366" spans="1:1" ht="46.5" customHeight="1" x14ac:dyDescent="0.25">
      <c r="A8366" s="1"/>
    </row>
    <row r="8367" spans="1:1" ht="46.5" customHeight="1" x14ac:dyDescent="0.25">
      <c r="A8367" s="1"/>
    </row>
    <row r="8368" spans="1:1" ht="46.5" customHeight="1" x14ac:dyDescent="0.25">
      <c r="A8368" s="1"/>
    </row>
    <row r="8369" spans="1:1" ht="46.5" customHeight="1" x14ac:dyDescent="0.25">
      <c r="A8369" s="1"/>
    </row>
    <row r="8370" spans="1:1" ht="46.5" customHeight="1" x14ac:dyDescent="0.25">
      <c r="A8370" s="1"/>
    </row>
    <row r="8371" spans="1:1" ht="46.5" customHeight="1" x14ac:dyDescent="0.25">
      <c r="A8371" s="1"/>
    </row>
    <row r="8372" spans="1:1" ht="46.5" customHeight="1" x14ac:dyDescent="0.25">
      <c r="A8372" s="1"/>
    </row>
    <row r="8373" spans="1:1" ht="46.5" customHeight="1" x14ac:dyDescent="0.25">
      <c r="A8373" s="1"/>
    </row>
    <row r="8374" spans="1:1" ht="46.5" customHeight="1" x14ac:dyDescent="0.25">
      <c r="A8374" s="1"/>
    </row>
    <row r="8375" spans="1:1" ht="46.5" customHeight="1" x14ac:dyDescent="0.25">
      <c r="A8375" s="1"/>
    </row>
    <row r="8376" spans="1:1" ht="46.5" customHeight="1" x14ac:dyDescent="0.25">
      <c r="A8376" s="1"/>
    </row>
    <row r="8377" spans="1:1" ht="46.5" customHeight="1" x14ac:dyDescent="0.25">
      <c r="A8377" s="1"/>
    </row>
    <row r="8378" spans="1:1" ht="46.5" customHeight="1" x14ac:dyDescent="0.25">
      <c r="A8378" s="1"/>
    </row>
    <row r="8379" spans="1:1" ht="46.5" customHeight="1" x14ac:dyDescent="0.25">
      <c r="A8379" s="1"/>
    </row>
    <row r="8380" spans="1:1" ht="46.5" customHeight="1" x14ac:dyDescent="0.25">
      <c r="A8380" s="1"/>
    </row>
    <row r="8381" spans="1:1" ht="46.5" customHeight="1" x14ac:dyDescent="0.25">
      <c r="A8381" s="1"/>
    </row>
    <row r="8382" spans="1:1" ht="46.5" customHeight="1" x14ac:dyDescent="0.25">
      <c r="A8382" s="1"/>
    </row>
    <row r="8383" spans="1:1" ht="46.5" customHeight="1" x14ac:dyDescent="0.25">
      <c r="A8383" s="1"/>
    </row>
    <row r="8384" spans="1:1" ht="46.5" customHeight="1" x14ac:dyDescent="0.25">
      <c r="A8384" s="1"/>
    </row>
    <row r="8385" spans="1:1" ht="46.5" customHeight="1" x14ac:dyDescent="0.25">
      <c r="A8385" s="1"/>
    </row>
    <row r="8386" spans="1:1" ht="46.5" customHeight="1" x14ac:dyDescent="0.25">
      <c r="A8386" s="1"/>
    </row>
    <row r="8387" spans="1:1" ht="46.5" customHeight="1" x14ac:dyDescent="0.25">
      <c r="A8387" s="1"/>
    </row>
    <row r="8388" spans="1:1" ht="46.5" customHeight="1" x14ac:dyDescent="0.25">
      <c r="A8388" s="1"/>
    </row>
    <row r="8389" spans="1:1" ht="46.5" customHeight="1" x14ac:dyDescent="0.25">
      <c r="A8389" s="1"/>
    </row>
    <row r="8390" spans="1:1" ht="46.5" customHeight="1" x14ac:dyDescent="0.25">
      <c r="A8390" s="1"/>
    </row>
    <row r="8391" spans="1:1" ht="46.5" customHeight="1" x14ac:dyDescent="0.25">
      <c r="A8391" s="1"/>
    </row>
    <row r="8392" spans="1:1" ht="46.5" customHeight="1" x14ac:dyDescent="0.25">
      <c r="A8392" s="1"/>
    </row>
    <row r="8393" spans="1:1" ht="46.5" customHeight="1" x14ac:dyDescent="0.25">
      <c r="A8393" s="1"/>
    </row>
    <row r="8394" spans="1:1" ht="46.5" customHeight="1" x14ac:dyDescent="0.25">
      <c r="A8394" s="1"/>
    </row>
    <row r="8395" spans="1:1" ht="46.5" customHeight="1" x14ac:dyDescent="0.25">
      <c r="A8395" s="1"/>
    </row>
    <row r="8396" spans="1:1" ht="46.5" customHeight="1" x14ac:dyDescent="0.25">
      <c r="A8396" s="1"/>
    </row>
    <row r="8397" spans="1:1" ht="46.5" customHeight="1" x14ac:dyDescent="0.25">
      <c r="A8397" s="1"/>
    </row>
    <row r="8398" spans="1:1" ht="46.5" customHeight="1" x14ac:dyDescent="0.25">
      <c r="A8398" s="1"/>
    </row>
    <row r="8399" spans="1:1" ht="46.5" customHeight="1" x14ac:dyDescent="0.25">
      <c r="A8399" s="1"/>
    </row>
    <row r="8400" spans="1:1" ht="46.5" customHeight="1" x14ac:dyDescent="0.25">
      <c r="A8400" s="1"/>
    </row>
    <row r="8401" spans="1:1" ht="46.5" customHeight="1" x14ac:dyDescent="0.25">
      <c r="A8401" s="1"/>
    </row>
    <row r="8402" spans="1:1" ht="46.5" customHeight="1" x14ac:dyDescent="0.25">
      <c r="A8402" s="1"/>
    </row>
    <row r="8403" spans="1:1" ht="46.5" customHeight="1" x14ac:dyDescent="0.25">
      <c r="A8403" s="1"/>
    </row>
    <row r="8404" spans="1:1" ht="46.5" customHeight="1" x14ac:dyDescent="0.25">
      <c r="A8404" s="1"/>
    </row>
    <row r="8405" spans="1:1" ht="46.5" customHeight="1" x14ac:dyDescent="0.25">
      <c r="A8405" s="1"/>
    </row>
    <row r="8406" spans="1:1" ht="46.5" customHeight="1" x14ac:dyDescent="0.25">
      <c r="A8406" s="1"/>
    </row>
    <row r="8407" spans="1:1" ht="46.5" customHeight="1" x14ac:dyDescent="0.25">
      <c r="A8407" s="1"/>
    </row>
    <row r="8408" spans="1:1" ht="46.5" customHeight="1" x14ac:dyDescent="0.25">
      <c r="A8408" s="1"/>
    </row>
    <row r="8409" spans="1:1" ht="46.5" customHeight="1" x14ac:dyDescent="0.25">
      <c r="A8409" s="1"/>
    </row>
    <row r="8410" spans="1:1" ht="46.5" customHeight="1" x14ac:dyDescent="0.25">
      <c r="A8410" s="1"/>
    </row>
    <row r="8411" spans="1:1" ht="46.5" customHeight="1" x14ac:dyDescent="0.25">
      <c r="A8411" s="1"/>
    </row>
    <row r="8412" spans="1:1" ht="46.5" customHeight="1" x14ac:dyDescent="0.25">
      <c r="A8412" s="1"/>
    </row>
    <row r="8413" spans="1:1" ht="46.5" customHeight="1" x14ac:dyDescent="0.25">
      <c r="A8413" s="1"/>
    </row>
    <row r="8414" spans="1:1" ht="46.5" customHeight="1" x14ac:dyDescent="0.25">
      <c r="A8414" s="1"/>
    </row>
    <row r="8415" spans="1:1" ht="46.5" customHeight="1" x14ac:dyDescent="0.25">
      <c r="A8415" s="1"/>
    </row>
    <row r="8416" spans="1:1" ht="46.5" customHeight="1" x14ac:dyDescent="0.25">
      <c r="A8416" s="1"/>
    </row>
    <row r="8417" spans="1:1" ht="46.5" customHeight="1" x14ac:dyDescent="0.25">
      <c r="A8417" s="1"/>
    </row>
    <row r="8418" spans="1:1" ht="46.5" customHeight="1" x14ac:dyDescent="0.25">
      <c r="A8418" s="1"/>
    </row>
    <row r="8419" spans="1:1" ht="46.5" customHeight="1" x14ac:dyDescent="0.25">
      <c r="A8419" s="1"/>
    </row>
    <row r="8420" spans="1:1" ht="46.5" customHeight="1" x14ac:dyDescent="0.25">
      <c r="A8420" s="1"/>
    </row>
    <row r="8421" spans="1:1" ht="46.5" customHeight="1" x14ac:dyDescent="0.25">
      <c r="A8421" s="1"/>
    </row>
    <row r="8422" spans="1:1" ht="46.5" customHeight="1" x14ac:dyDescent="0.25">
      <c r="A8422" s="1"/>
    </row>
    <row r="8423" spans="1:1" ht="46.5" customHeight="1" x14ac:dyDescent="0.25">
      <c r="A8423" s="1"/>
    </row>
    <row r="8424" spans="1:1" ht="46.5" customHeight="1" x14ac:dyDescent="0.25">
      <c r="A8424" s="1"/>
    </row>
    <row r="8425" spans="1:1" ht="46.5" customHeight="1" x14ac:dyDescent="0.25">
      <c r="A8425" s="1"/>
    </row>
    <row r="8426" spans="1:1" ht="46.5" customHeight="1" x14ac:dyDescent="0.25">
      <c r="A8426" s="1"/>
    </row>
    <row r="8427" spans="1:1" ht="46.5" customHeight="1" x14ac:dyDescent="0.25">
      <c r="A8427" s="1"/>
    </row>
    <row r="8428" spans="1:1" ht="46.5" customHeight="1" x14ac:dyDescent="0.25">
      <c r="A8428" s="1"/>
    </row>
    <row r="8429" spans="1:1" ht="46.5" customHeight="1" x14ac:dyDescent="0.25">
      <c r="A8429" s="1"/>
    </row>
    <row r="8430" spans="1:1" ht="46.5" customHeight="1" x14ac:dyDescent="0.25">
      <c r="A8430" s="1"/>
    </row>
    <row r="8431" spans="1:1" ht="46.5" customHeight="1" x14ac:dyDescent="0.25">
      <c r="A8431" s="1"/>
    </row>
    <row r="8432" spans="1:1" ht="46.5" customHeight="1" x14ac:dyDescent="0.25">
      <c r="A8432" s="1"/>
    </row>
    <row r="8433" spans="1:1" ht="46.5" customHeight="1" x14ac:dyDescent="0.25">
      <c r="A8433" s="1"/>
    </row>
    <row r="8434" spans="1:1" ht="46.5" customHeight="1" x14ac:dyDescent="0.25">
      <c r="A8434" s="1"/>
    </row>
    <row r="8435" spans="1:1" ht="46.5" customHeight="1" x14ac:dyDescent="0.25">
      <c r="A8435" s="1"/>
    </row>
    <row r="8436" spans="1:1" ht="46.5" customHeight="1" x14ac:dyDescent="0.25">
      <c r="A8436" s="1"/>
    </row>
    <row r="8437" spans="1:1" ht="46.5" customHeight="1" x14ac:dyDescent="0.25">
      <c r="A8437" s="1"/>
    </row>
    <row r="8438" spans="1:1" ht="46.5" customHeight="1" x14ac:dyDescent="0.25">
      <c r="A8438" s="1"/>
    </row>
    <row r="8439" spans="1:1" ht="46.5" customHeight="1" x14ac:dyDescent="0.25">
      <c r="A8439" s="1"/>
    </row>
    <row r="8440" spans="1:1" ht="46.5" customHeight="1" x14ac:dyDescent="0.25">
      <c r="A8440" s="1"/>
    </row>
    <row r="8441" spans="1:1" ht="46.5" customHeight="1" x14ac:dyDescent="0.25">
      <c r="A8441" s="1"/>
    </row>
    <row r="8442" spans="1:1" ht="46.5" customHeight="1" x14ac:dyDescent="0.25">
      <c r="A8442" s="1"/>
    </row>
    <row r="8443" spans="1:1" ht="46.5" customHeight="1" x14ac:dyDescent="0.25">
      <c r="A8443" s="1"/>
    </row>
    <row r="8444" spans="1:1" ht="46.5" customHeight="1" x14ac:dyDescent="0.25">
      <c r="A8444" s="1"/>
    </row>
    <row r="8445" spans="1:1" ht="46.5" customHeight="1" x14ac:dyDescent="0.25">
      <c r="A8445" s="1"/>
    </row>
    <row r="8446" spans="1:1" ht="46.5" customHeight="1" x14ac:dyDescent="0.25">
      <c r="A8446" s="1"/>
    </row>
    <row r="8447" spans="1:1" ht="46.5" customHeight="1" x14ac:dyDescent="0.25">
      <c r="A8447" s="1"/>
    </row>
    <row r="8448" spans="1:1" ht="46.5" customHeight="1" x14ac:dyDescent="0.25">
      <c r="A8448" s="1"/>
    </row>
    <row r="8449" spans="1:1" ht="46.5" customHeight="1" x14ac:dyDescent="0.25">
      <c r="A8449" s="1"/>
    </row>
    <row r="8450" spans="1:1" ht="46.5" customHeight="1" x14ac:dyDescent="0.25">
      <c r="A8450" s="1"/>
    </row>
    <row r="8451" spans="1:1" ht="46.5" customHeight="1" x14ac:dyDescent="0.25">
      <c r="A8451" s="1"/>
    </row>
    <row r="8452" spans="1:1" ht="46.5" customHeight="1" x14ac:dyDescent="0.25">
      <c r="A8452" s="1"/>
    </row>
    <row r="8453" spans="1:1" ht="46.5" customHeight="1" x14ac:dyDescent="0.25">
      <c r="A8453" s="1"/>
    </row>
    <row r="8454" spans="1:1" ht="46.5" customHeight="1" x14ac:dyDescent="0.25">
      <c r="A8454" s="1"/>
    </row>
    <row r="8455" spans="1:1" ht="46.5" customHeight="1" x14ac:dyDescent="0.25">
      <c r="A8455" s="1"/>
    </row>
    <row r="8456" spans="1:1" ht="46.5" customHeight="1" x14ac:dyDescent="0.25">
      <c r="A8456" s="1"/>
    </row>
    <row r="8457" spans="1:1" ht="46.5" customHeight="1" x14ac:dyDescent="0.25">
      <c r="A8457" s="1"/>
    </row>
    <row r="8458" spans="1:1" ht="46.5" customHeight="1" x14ac:dyDescent="0.25">
      <c r="A8458" s="1"/>
    </row>
    <row r="8459" spans="1:1" ht="46.5" customHeight="1" x14ac:dyDescent="0.25">
      <c r="A8459" s="1"/>
    </row>
    <row r="8460" spans="1:1" ht="46.5" customHeight="1" x14ac:dyDescent="0.25">
      <c r="A8460" s="1"/>
    </row>
    <row r="8461" spans="1:1" ht="46.5" customHeight="1" x14ac:dyDescent="0.25">
      <c r="A8461" s="1"/>
    </row>
    <row r="8462" spans="1:1" ht="46.5" customHeight="1" x14ac:dyDescent="0.25">
      <c r="A8462" s="1"/>
    </row>
    <row r="8463" spans="1:1" ht="46.5" customHeight="1" x14ac:dyDescent="0.25">
      <c r="A8463" s="1"/>
    </row>
    <row r="8464" spans="1:1" ht="46.5" customHeight="1" x14ac:dyDescent="0.25">
      <c r="A8464" s="1"/>
    </row>
    <row r="8465" spans="1:1" ht="46.5" customHeight="1" x14ac:dyDescent="0.25">
      <c r="A8465" s="1"/>
    </row>
    <row r="8466" spans="1:1" ht="46.5" customHeight="1" x14ac:dyDescent="0.25">
      <c r="A8466" s="1"/>
    </row>
    <row r="8467" spans="1:1" ht="46.5" customHeight="1" x14ac:dyDescent="0.25">
      <c r="A8467" s="1"/>
    </row>
    <row r="8468" spans="1:1" ht="46.5" customHeight="1" x14ac:dyDescent="0.25">
      <c r="A8468" s="1"/>
    </row>
    <row r="8469" spans="1:1" ht="46.5" customHeight="1" x14ac:dyDescent="0.25">
      <c r="A8469" s="1"/>
    </row>
    <row r="8470" spans="1:1" ht="46.5" customHeight="1" x14ac:dyDescent="0.25">
      <c r="A8470" s="1"/>
    </row>
    <row r="8471" spans="1:1" ht="46.5" customHeight="1" x14ac:dyDescent="0.25">
      <c r="A8471" s="1"/>
    </row>
    <row r="8472" spans="1:1" ht="46.5" customHeight="1" x14ac:dyDescent="0.25">
      <c r="A8472" s="1"/>
    </row>
    <row r="8473" spans="1:1" ht="46.5" customHeight="1" x14ac:dyDescent="0.25">
      <c r="A8473" s="1"/>
    </row>
    <row r="8474" spans="1:1" ht="46.5" customHeight="1" x14ac:dyDescent="0.25">
      <c r="A8474" s="1"/>
    </row>
    <row r="8475" spans="1:1" ht="46.5" customHeight="1" x14ac:dyDescent="0.25">
      <c r="A8475" s="1"/>
    </row>
    <row r="8476" spans="1:1" ht="46.5" customHeight="1" x14ac:dyDescent="0.25">
      <c r="A8476" s="1"/>
    </row>
    <row r="8477" spans="1:1" ht="46.5" customHeight="1" x14ac:dyDescent="0.25">
      <c r="A8477" s="1"/>
    </row>
    <row r="8478" spans="1:1" ht="46.5" customHeight="1" x14ac:dyDescent="0.25">
      <c r="A8478" s="1"/>
    </row>
    <row r="8479" spans="1:1" ht="46.5" customHeight="1" x14ac:dyDescent="0.25">
      <c r="A8479" s="1"/>
    </row>
    <row r="8480" spans="1:1" ht="46.5" customHeight="1" x14ac:dyDescent="0.25">
      <c r="A8480" s="1"/>
    </row>
    <row r="8481" spans="1:1" ht="46.5" customHeight="1" x14ac:dyDescent="0.25">
      <c r="A8481" s="1"/>
    </row>
    <row r="8482" spans="1:1" ht="46.5" customHeight="1" x14ac:dyDescent="0.25">
      <c r="A8482" s="1"/>
    </row>
    <row r="8483" spans="1:1" ht="46.5" customHeight="1" x14ac:dyDescent="0.25">
      <c r="A8483" s="1"/>
    </row>
    <row r="8484" spans="1:1" ht="46.5" customHeight="1" x14ac:dyDescent="0.25">
      <c r="A8484" s="1"/>
    </row>
    <row r="8485" spans="1:1" ht="46.5" customHeight="1" x14ac:dyDescent="0.25">
      <c r="A8485" s="1"/>
    </row>
    <row r="8486" spans="1:1" ht="46.5" customHeight="1" x14ac:dyDescent="0.25">
      <c r="A8486" s="1"/>
    </row>
    <row r="8487" spans="1:1" ht="46.5" customHeight="1" x14ac:dyDescent="0.25">
      <c r="A8487" s="1"/>
    </row>
    <row r="8488" spans="1:1" ht="46.5" customHeight="1" x14ac:dyDescent="0.25">
      <c r="A8488" s="1"/>
    </row>
    <row r="8489" spans="1:1" ht="46.5" customHeight="1" x14ac:dyDescent="0.25">
      <c r="A8489" s="1"/>
    </row>
    <row r="8490" spans="1:1" ht="46.5" customHeight="1" x14ac:dyDescent="0.25">
      <c r="A8490" s="1"/>
    </row>
    <row r="8491" spans="1:1" ht="46.5" customHeight="1" x14ac:dyDescent="0.25">
      <c r="A8491" s="1"/>
    </row>
    <row r="8492" spans="1:1" ht="46.5" customHeight="1" x14ac:dyDescent="0.25">
      <c r="A8492" s="1"/>
    </row>
    <row r="8493" spans="1:1" ht="46.5" customHeight="1" x14ac:dyDescent="0.25">
      <c r="A8493" s="1"/>
    </row>
    <row r="8494" spans="1:1" ht="46.5" customHeight="1" x14ac:dyDescent="0.25">
      <c r="A8494" s="1"/>
    </row>
    <row r="8495" spans="1:1" ht="46.5" customHeight="1" x14ac:dyDescent="0.25">
      <c r="A8495" s="1"/>
    </row>
    <row r="8496" spans="1:1" ht="46.5" customHeight="1" x14ac:dyDescent="0.25">
      <c r="A8496" s="1"/>
    </row>
    <row r="8497" spans="1:1" ht="46.5" customHeight="1" x14ac:dyDescent="0.25">
      <c r="A8497" s="1"/>
    </row>
    <row r="8498" spans="1:1" ht="46.5" customHeight="1" x14ac:dyDescent="0.25">
      <c r="A8498" s="1"/>
    </row>
    <row r="8499" spans="1:1" ht="46.5" customHeight="1" x14ac:dyDescent="0.25">
      <c r="A8499" s="1"/>
    </row>
    <row r="8500" spans="1:1" ht="46.5" customHeight="1" x14ac:dyDescent="0.25">
      <c r="A8500" s="1"/>
    </row>
    <row r="8501" spans="1:1" ht="46.5" customHeight="1" x14ac:dyDescent="0.25">
      <c r="A8501" s="1"/>
    </row>
    <row r="8502" spans="1:1" ht="46.5" customHeight="1" x14ac:dyDescent="0.25">
      <c r="A8502" s="1"/>
    </row>
    <row r="8503" spans="1:1" ht="46.5" customHeight="1" x14ac:dyDescent="0.25">
      <c r="A8503" s="1"/>
    </row>
    <row r="8504" spans="1:1" ht="46.5" customHeight="1" x14ac:dyDescent="0.25">
      <c r="A8504" s="1"/>
    </row>
    <row r="8505" spans="1:1" ht="46.5" customHeight="1" x14ac:dyDescent="0.25">
      <c r="A8505" s="1"/>
    </row>
    <row r="8506" spans="1:1" ht="46.5" customHeight="1" x14ac:dyDescent="0.25">
      <c r="A8506" s="1"/>
    </row>
    <row r="8507" spans="1:1" ht="46.5" customHeight="1" x14ac:dyDescent="0.25">
      <c r="A8507" s="1"/>
    </row>
    <row r="8508" spans="1:1" ht="46.5" customHeight="1" x14ac:dyDescent="0.25">
      <c r="A8508" s="1"/>
    </row>
    <row r="8509" spans="1:1" ht="46.5" customHeight="1" x14ac:dyDescent="0.25">
      <c r="A8509" s="1"/>
    </row>
    <row r="8510" spans="1:1" ht="46.5" customHeight="1" x14ac:dyDescent="0.25">
      <c r="A8510" s="1"/>
    </row>
    <row r="8511" spans="1:1" ht="46.5" customHeight="1" x14ac:dyDescent="0.25">
      <c r="A8511" s="1"/>
    </row>
    <row r="8512" spans="1:1" ht="46.5" customHeight="1" x14ac:dyDescent="0.25">
      <c r="A8512" s="1"/>
    </row>
    <row r="8513" spans="1:1" ht="46.5" customHeight="1" x14ac:dyDescent="0.25">
      <c r="A8513" s="1"/>
    </row>
    <row r="8514" spans="1:1" ht="46.5" customHeight="1" x14ac:dyDescent="0.25">
      <c r="A8514" s="1"/>
    </row>
    <row r="8515" spans="1:1" ht="46.5" customHeight="1" x14ac:dyDescent="0.25">
      <c r="A8515" s="1"/>
    </row>
    <row r="8516" spans="1:1" ht="46.5" customHeight="1" x14ac:dyDescent="0.25">
      <c r="A8516" s="1"/>
    </row>
    <row r="8517" spans="1:1" ht="46.5" customHeight="1" x14ac:dyDescent="0.25">
      <c r="A8517" s="1"/>
    </row>
    <row r="8518" spans="1:1" ht="46.5" customHeight="1" x14ac:dyDescent="0.25">
      <c r="A8518" s="1"/>
    </row>
    <row r="8519" spans="1:1" ht="46.5" customHeight="1" x14ac:dyDescent="0.25">
      <c r="A8519" s="1"/>
    </row>
    <row r="8520" spans="1:1" ht="46.5" customHeight="1" x14ac:dyDescent="0.25">
      <c r="A8520" s="1"/>
    </row>
    <row r="8521" spans="1:1" ht="46.5" customHeight="1" x14ac:dyDescent="0.25">
      <c r="A8521" s="1"/>
    </row>
    <row r="8522" spans="1:1" ht="46.5" customHeight="1" x14ac:dyDescent="0.25">
      <c r="A8522" s="1"/>
    </row>
    <row r="8523" spans="1:1" ht="46.5" customHeight="1" x14ac:dyDescent="0.25">
      <c r="A8523" s="1"/>
    </row>
    <row r="8524" spans="1:1" ht="46.5" customHeight="1" x14ac:dyDescent="0.25">
      <c r="A8524" s="1"/>
    </row>
    <row r="8525" spans="1:1" ht="46.5" customHeight="1" x14ac:dyDescent="0.25">
      <c r="A8525" s="1"/>
    </row>
    <row r="8526" spans="1:1" ht="46.5" customHeight="1" x14ac:dyDescent="0.25">
      <c r="A8526" s="1"/>
    </row>
    <row r="8527" spans="1:1" ht="46.5" customHeight="1" x14ac:dyDescent="0.25">
      <c r="A8527" s="1"/>
    </row>
    <row r="8528" spans="1:1" ht="46.5" customHeight="1" x14ac:dyDescent="0.25">
      <c r="A8528" s="1"/>
    </row>
    <row r="8529" spans="1:1" ht="46.5" customHeight="1" x14ac:dyDescent="0.25">
      <c r="A8529" s="1"/>
    </row>
    <row r="8530" spans="1:1" ht="46.5" customHeight="1" x14ac:dyDescent="0.25">
      <c r="A8530" s="1"/>
    </row>
    <row r="8531" spans="1:1" ht="46.5" customHeight="1" x14ac:dyDescent="0.25">
      <c r="A8531" s="1"/>
    </row>
    <row r="8532" spans="1:1" ht="46.5" customHeight="1" x14ac:dyDescent="0.25">
      <c r="A8532" s="1"/>
    </row>
    <row r="8533" spans="1:1" ht="46.5" customHeight="1" x14ac:dyDescent="0.25">
      <c r="A8533" s="1"/>
    </row>
    <row r="8534" spans="1:1" ht="46.5" customHeight="1" x14ac:dyDescent="0.25">
      <c r="A8534" s="1"/>
    </row>
    <row r="8535" spans="1:1" ht="46.5" customHeight="1" x14ac:dyDescent="0.25">
      <c r="A8535" s="1"/>
    </row>
    <row r="8536" spans="1:1" ht="46.5" customHeight="1" x14ac:dyDescent="0.25">
      <c r="A8536" s="1"/>
    </row>
    <row r="8537" spans="1:1" ht="46.5" customHeight="1" x14ac:dyDescent="0.25">
      <c r="A8537" s="1"/>
    </row>
    <row r="8538" spans="1:1" ht="46.5" customHeight="1" x14ac:dyDescent="0.25">
      <c r="A8538" s="1"/>
    </row>
    <row r="8539" spans="1:1" ht="46.5" customHeight="1" x14ac:dyDescent="0.25">
      <c r="A8539" s="1"/>
    </row>
    <row r="8540" spans="1:1" ht="46.5" customHeight="1" x14ac:dyDescent="0.25">
      <c r="A8540" s="1"/>
    </row>
    <row r="8541" spans="1:1" ht="46.5" customHeight="1" x14ac:dyDescent="0.25">
      <c r="A8541" s="1"/>
    </row>
    <row r="8542" spans="1:1" ht="46.5" customHeight="1" x14ac:dyDescent="0.25">
      <c r="A8542" s="1"/>
    </row>
    <row r="8543" spans="1:1" ht="46.5" customHeight="1" x14ac:dyDescent="0.25">
      <c r="A8543" s="1"/>
    </row>
    <row r="8544" spans="1:1" ht="46.5" customHeight="1" x14ac:dyDescent="0.25">
      <c r="A8544" s="1"/>
    </row>
    <row r="8545" spans="1:1" ht="46.5" customHeight="1" x14ac:dyDescent="0.25">
      <c r="A8545" s="1"/>
    </row>
    <row r="8546" spans="1:1" ht="46.5" customHeight="1" x14ac:dyDescent="0.25">
      <c r="A8546" s="1"/>
    </row>
    <row r="8547" spans="1:1" ht="46.5" customHeight="1" x14ac:dyDescent="0.25">
      <c r="A8547" s="1"/>
    </row>
    <row r="8548" spans="1:1" ht="46.5" customHeight="1" x14ac:dyDescent="0.25">
      <c r="A8548" s="1"/>
    </row>
    <row r="8549" spans="1:1" ht="46.5" customHeight="1" x14ac:dyDescent="0.25">
      <c r="A8549" s="1"/>
    </row>
    <row r="8550" spans="1:1" ht="46.5" customHeight="1" x14ac:dyDescent="0.25">
      <c r="A8550" s="1"/>
    </row>
    <row r="8551" spans="1:1" ht="46.5" customHeight="1" x14ac:dyDescent="0.25">
      <c r="A8551" s="1"/>
    </row>
    <row r="8552" spans="1:1" ht="46.5" customHeight="1" x14ac:dyDescent="0.25">
      <c r="A8552" s="1"/>
    </row>
    <row r="8553" spans="1:1" ht="46.5" customHeight="1" x14ac:dyDescent="0.25">
      <c r="A8553" s="1"/>
    </row>
    <row r="8554" spans="1:1" ht="46.5" customHeight="1" x14ac:dyDescent="0.25">
      <c r="A8554" s="1"/>
    </row>
    <row r="8555" spans="1:1" ht="46.5" customHeight="1" x14ac:dyDescent="0.25">
      <c r="A8555" s="1"/>
    </row>
    <row r="8556" spans="1:1" ht="46.5" customHeight="1" x14ac:dyDescent="0.25">
      <c r="A8556" s="1"/>
    </row>
    <row r="8557" spans="1:1" ht="46.5" customHeight="1" x14ac:dyDescent="0.25">
      <c r="A8557" s="1"/>
    </row>
    <row r="8558" spans="1:1" ht="46.5" customHeight="1" x14ac:dyDescent="0.25">
      <c r="A8558" s="1"/>
    </row>
    <row r="8559" spans="1:1" ht="46.5" customHeight="1" x14ac:dyDescent="0.25">
      <c r="A8559" s="1"/>
    </row>
    <row r="8560" spans="1:1" ht="46.5" customHeight="1" x14ac:dyDescent="0.25">
      <c r="A8560" s="1"/>
    </row>
    <row r="8561" spans="1:1" ht="46.5" customHeight="1" x14ac:dyDescent="0.25">
      <c r="A8561" s="1"/>
    </row>
    <row r="8562" spans="1:1" ht="46.5" customHeight="1" x14ac:dyDescent="0.25">
      <c r="A8562" s="1"/>
    </row>
    <row r="8563" spans="1:1" ht="46.5" customHeight="1" x14ac:dyDescent="0.25">
      <c r="A8563" s="1"/>
    </row>
    <row r="8564" spans="1:1" ht="46.5" customHeight="1" x14ac:dyDescent="0.25">
      <c r="A8564" s="1"/>
    </row>
    <row r="8565" spans="1:1" ht="46.5" customHeight="1" x14ac:dyDescent="0.25">
      <c r="A8565" s="1"/>
    </row>
    <row r="8566" spans="1:1" ht="46.5" customHeight="1" x14ac:dyDescent="0.25">
      <c r="A8566" s="1"/>
    </row>
    <row r="8567" spans="1:1" ht="46.5" customHeight="1" x14ac:dyDescent="0.25">
      <c r="A8567" s="1"/>
    </row>
    <row r="8568" spans="1:1" ht="46.5" customHeight="1" x14ac:dyDescent="0.25">
      <c r="A8568" s="1"/>
    </row>
    <row r="8569" spans="1:1" ht="46.5" customHeight="1" x14ac:dyDescent="0.25">
      <c r="A8569" s="1"/>
    </row>
    <row r="8570" spans="1:1" ht="46.5" customHeight="1" x14ac:dyDescent="0.25">
      <c r="A8570" s="1"/>
    </row>
    <row r="8571" spans="1:1" ht="46.5" customHeight="1" x14ac:dyDescent="0.25">
      <c r="A8571" s="1"/>
    </row>
    <row r="8572" spans="1:1" ht="46.5" customHeight="1" x14ac:dyDescent="0.25">
      <c r="A8572" s="1"/>
    </row>
    <row r="8573" spans="1:1" ht="46.5" customHeight="1" x14ac:dyDescent="0.25">
      <c r="A8573" s="1"/>
    </row>
    <row r="8574" spans="1:1" ht="46.5" customHeight="1" x14ac:dyDescent="0.25">
      <c r="A8574" s="1"/>
    </row>
    <row r="8575" spans="1:1" ht="46.5" customHeight="1" x14ac:dyDescent="0.25">
      <c r="A8575" s="1"/>
    </row>
    <row r="8576" spans="1:1" ht="46.5" customHeight="1" x14ac:dyDescent="0.25">
      <c r="A8576" s="1"/>
    </row>
    <row r="8577" spans="1:1" ht="46.5" customHeight="1" x14ac:dyDescent="0.25">
      <c r="A8577" s="1"/>
    </row>
    <row r="8578" spans="1:1" ht="46.5" customHeight="1" x14ac:dyDescent="0.25">
      <c r="A8578" s="1"/>
    </row>
    <row r="8579" spans="1:1" ht="46.5" customHeight="1" x14ac:dyDescent="0.25">
      <c r="A8579" s="1"/>
    </row>
    <row r="8580" spans="1:1" ht="46.5" customHeight="1" x14ac:dyDescent="0.25">
      <c r="A8580" s="1"/>
    </row>
    <row r="8581" spans="1:1" ht="46.5" customHeight="1" x14ac:dyDescent="0.25">
      <c r="A8581" s="1"/>
    </row>
    <row r="8582" spans="1:1" ht="46.5" customHeight="1" x14ac:dyDescent="0.25">
      <c r="A8582" s="1"/>
    </row>
    <row r="8583" spans="1:1" ht="46.5" customHeight="1" x14ac:dyDescent="0.25">
      <c r="A8583" s="1"/>
    </row>
    <row r="8584" spans="1:1" ht="46.5" customHeight="1" x14ac:dyDescent="0.25">
      <c r="A8584" s="1"/>
    </row>
    <row r="8585" spans="1:1" ht="46.5" customHeight="1" x14ac:dyDescent="0.25">
      <c r="A8585" s="1"/>
    </row>
    <row r="8586" spans="1:1" ht="46.5" customHeight="1" x14ac:dyDescent="0.25">
      <c r="A8586" s="1"/>
    </row>
    <row r="8587" spans="1:1" ht="46.5" customHeight="1" x14ac:dyDescent="0.25">
      <c r="A8587" s="1"/>
    </row>
    <row r="8588" spans="1:1" ht="46.5" customHeight="1" x14ac:dyDescent="0.25">
      <c r="A8588" s="1"/>
    </row>
    <row r="8589" spans="1:1" ht="46.5" customHeight="1" x14ac:dyDescent="0.25">
      <c r="A8589" s="1"/>
    </row>
    <row r="8590" spans="1:1" ht="46.5" customHeight="1" x14ac:dyDescent="0.25">
      <c r="A8590" s="1"/>
    </row>
    <row r="8591" spans="1:1" ht="46.5" customHeight="1" x14ac:dyDescent="0.25">
      <c r="A8591" s="1"/>
    </row>
    <row r="8592" spans="1:1" ht="46.5" customHeight="1" x14ac:dyDescent="0.25">
      <c r="A8592" s="1"/>
    </row>
    <row r="8593" spans="1:1" ht="46.5" customHeight="1" x14ac:dyDescent="0.25">
      <c r="A8593" s="1"/>
    </row>
    <row r="8594" spans="1:1" ht="46.5" customHeight="1" x14ac:dyDescent="0.25">
      <c r="A8594" s="1"/>
    </row>
    <row r="8595" spans="1:1" ht="46.5" customHeight="1" x14ac:dyDescent="0.25">
      <c r="A8595" s="1"/>
    </row>
    <row r="8596" spans="1:1" ht="46.5" customHeight="1" x14ac:dyDescent="0.25">
      <c r="A8596" s="1"/>
    </row>
    <row r="8597" spans="1:1" ht="46.5" customHeight="1" x14ac:dyDescent="0.25">
      <c r="A8597" s="1"/>
    </row>
    <row r="8598" spans="1:1" ht="46.5" customHeight="1" x14ac:dyDescent="0.25">
      <c r="A8598" s="1"/>
    </row>
    <row r="8599" spans="1:1" ht="46.5" customHeight="1" x14ac:dyDescent="0.25">
      <c r="A8599" s="1"/>
    </row>
    <row r="8600" spans="1:1" ht="46.5" customHeight="1" x14ac:dyDescent="0.25">
      <c r="A8600" s="1"/>
    </row>
    <row r="8601" spans="1:1" ht="46.5" customHeight="1" x14ac:dyDescent="0.25">
      <c r="A8601" s="1"/>
    </row>
    <row r="8602" spans="1:1" ht="46.5" customHeight="1" x14ac:dyDescent="0.25">
      <c r="A8602" s="1"/>
    </row>
    <row r="8603" spans="1:1" ht="46.5" customHeight="1" x14ac:dyDescent="0.25">
      <c r="A8603" s="1"/>
    </row>
    <row r="8604" spans="1:1" ht="46.5" customHeight="1" x14ac:dyDescent="0.25">
      <c r="A8604" s="1"/>
    </row>
    <row r="8605" spans="1:1" ht="46.5" customHeight="1" x14ac:dyDescent="0.25">
      <c r="A8605" s="1"/>
    </row>
    <row r="8606" spans="1:1" ht="46.5" customHeight="1" x14ac:dyDescent="0.25">
      <c r="A8606" s="1"/>
    </row>
    <row r="8607" spans="1:1" ht="46.5" customHeight="1" x14ac:dyDescent="0.25">
      <c r="A8607" s="1"/>
    </row>
    <row r="8608" spans="1:1" ht="46.5" customHeight="1" x14ac:dyDescent="0.25">
      <c r="A8608" s="1"/>
    </row>
    <row r="8609" spans="1:1" ht="46.5" customHeight="1" x14ac:dyDescent="0.25">
      <c r="A8609" s="1"/>
    </row>
    <row r="8610" spans="1:1" ht="46.5" customHeight="1" x14ac:dyDescent="0.25">
      <c r="A8610" s="1"/>
    </row>
    <row r="8611" spans="1:1" ht="46.5" customHeight="1" x14ac:dyDescent="0.25">
      <c r="A8611" s="1"/>
    </row>
    <row r="8612" spans="1:1" ht="46.5" customHeight="1" x14ac:dyDescent="0.25">
      <c r="A8612" s="1"/>
    </row>
    <row r="8613" spans="1:1" ht="46.5" customHeight="1" x14ac:dyDescent="0.25">
      <c r="A8613" s="1"/>
    </row>
    <row r="8614" spans="1:1" ht="46.5" customHeight="1" x14ac:dyDescent="0.25">
      <c r="A8614" s="1"/>
    </row>
    <row r="8615" spans="1:1" ht="46.5" customHeight="1" x14ac:dyDescent="0.25">
      <c r="A8615" s="1"/>
    </row>
    <row r="8616" spans="1:1" ht="46.5" customHeight="1" x14ac:dyDescent="0.25">
      <c r="A8616" s="1"/>
    </row>
    <row r="8617" spans="1:1" ht="46.5" customHeight="1" x14ac:dyDescent="0.25">
      <c r="A8617" s="1"/>
    </row>
    <row r="8618" spans="1:1" ht="46.5" customHeight="1" x14ac:dyDescent="0.25">
      <c r="A8618" s="1"/>
    </row>
    <row r="8619" spans="1:1" ht="46.5" customHeight="1" x14ac:dyDescent="0.25">
      <c r="A8619" s="1"/>
    </row>
    <row r="8620" spans="1:1" ht="46.5" customHeight="1" x14ac:dyDescent="0.25">
      <c r="A8620" s="1"/>
    </row>
    <row r="8621" spans="1:1" ht="46.5" customHeight="1" x14ac:dyDescent="0.25">
      <c r="A8621" s="1"/>
    </row>
    <row r="8622" spans="1:1" ht="46.5" customHeight="1" x14ac:dyDescent="0.25">
      <c r="A8622" s="1"/>
    </row>
    <row r="8623" spans="1:1" ht="46.5" customHeight="1" x14ac:dyDescent="0.25">
      <c r="A8623" s="1"/>
    </row>
    <row r="8624" spans="1:1" ht="46.5" customHeight="1" x14ac:dyDescent="0.25">
      <c r="A8624" s="1"/>
    </row>
    <row r="8625" spans="1:1" ht="46.5" customHeight="1" x14ac:dyDescent="0.25">
      <c r="A8625" s="1"/>
    </row>
    <row r="8626" spans="1:1" ht="46.5" customHeight="1" x14ac:dyDescent="0.25">
      <c r="A8626" s="1"/>
    </row>
    <row r="8627" spans="1:1" ht="46.5" customHeight="1" x14ac:dyDescent="0.25">
      <c r="A8627" s="1"/>
    </row>
    <row r="8628" spans="1:1" ht="46.5" customHeight="1" x14ac:dyDescent="0.25">
      <c r="A8628" s="1"/>
    </row>
    <row r="8629" spans="1:1" ht="46.5" customHeight="1" x14ac:dyDescent="0.25">
      <c r="A8629" s="1"/>
    </row>
    <row r="8630" spans="1:1" ht="46.5" customHeight="1" x14ac:dyDescent="0.25">
      <c r="A8630" s="1"/>
    </row>
    <row r="8631" spans="1:1" ht="46.5" customHeight="1" x14ac:dyDescent="0.25">
      <c r="A8631" s="1"/>
    </row>
    <row r="8632" spans="1:1" ht="46.5" customHeight="1" x14ac:dyDescent="0.25">
      <c r="A8632" s="1"/>
    </row>
    <row r="8633" spans="1:1" ht="46.5" customHeight="1" x14ac:dyDescent="0.25">
      <c r="A8633" s="1"/>
    </row>
    <row r="8634" spans="1:1" ht="46.5" customHeight="1" x14ac:dyDescent="0.25">
      <c r="A8634" s="1"/>
    </row>
    <row r="8635" spans="1:1" ht="46.5" customHeight="1" x14ac:dyDescent="0.25">
      <c r="A8635" s="1"/>
    </row>
    <row r="8636" spans="1:1" ht="46.5" customHeight="1" x14ac:dyDescent="0.25">
      <c r="A8636" s="1"/>
    </row>
    <row r="8637" spans="1:1" ht="46.5" customHeight="1" x14ac:dyDescent="0.25">
      <c r="A8637" s="1"/>
    </row>
    <row r="8638" spans="1:1" ht="46.5" customHeight="1" x14ac:dyDescent="0.25">
      <c r="A8638" s="1"/>
    </row>
    <row r="8639" spans="1:1" ht="46.5" customHeight="1" x14ac:dyDescent="0.25">
      <c r="A8639" s="1"/>
    </row>
    <row r="8640" spans="1:1" ht="46.5" customHeight="1" x14ac:dyDescent="0.25">
      <c r="A8640" s="1"/>
    </row>
    <row r="8641" spans="1:1" ht="46.5" customHeight="1" x14ac:dyDescent="0.25">
      <c r="A8641" s="1"/>
    </row>
    <row r="8642" spans="1:1" ht="46.5" customHeight="1" x14ac:dyDescent="0.25">
      <c r="A8642" s="1"/>
    </row>
    <row r="8643" spans="1:1" ht="46.5" customHeight="1" x14ac:dyDescent="0.25">
      <c r="A8643" s="1"/>
    </row>
    <row r="8644" spans="1:1" ht="46.5" customHeight="1" x14ac:dyDescent="0.25">
      <c r="A8644" s="1"/>
    </row>
    <row r="8645" spans="1:1" ht="46.5" customHeight="1" x14ac:dyDescent="0.25">
      <c r="A8645" s="1"/>
    </row>
    <row r="8646" spans="1:1" ht="46.5" customHeight="1" x14ac:dyDescent="0.25">
      <c r="A8646" s="1"/>
    </row>
    <row r="8647" spans="1:1" ht="46.5" customHeight="1" x14ac:dyDescent="0.25">
      <c r="A8647" s="1"/>
    </row>
    <row r="8648" spans="1:1" ht="46.5" customHeight="1" x14ac:dyDescent="0.25">
      <c r="A8648" s="1"/>
    </row>
    <row r="8649" spans="1:1" ht="46.5" customHeight="1" x14ac:dyDescent="0.25">
      <c r="A8649" s="1"/>
    </row>
    <row r="8650" spans="1:1" ht="46.5" customHeight="1" x14ac:dyDescent="0.25">
      <c r="A8650" s="1"/>
    </row>
    <row r="8651" spans="1:1" ht="46.5" customHeight="1" x14ac:dyDescent="0.25">
      <c r="A8651" s="1"/>
    </row>
    <row r="8652" spans="1:1" ht="46.5" customHeight="1" x14ac:dyDescent="0.25">
      <c r="A8652" s="1"/>
    </row>
    <row r="8653" spans="1:1" ht="46.5" customHeight="1" x14ac:dyDescent="0.25">
      <c r="A8653" s="1"/>
    </row>
    <row r="8654" spans="1:1" ht="46.5" customHeight="1" x14ac:dyDescent="0.25">
      <c r="A8654" s="1"/>
    </row>
    <row r="8655" spans="1:1" ht="46.5" customHeight="1" x14ac:dyDescent="0.25">
      <c r="A8655" s="1"/>
    </row>
    <row r="8656" spans="1:1" ht="46.5" customHeight="1" x14ac:dyDescent="0.25">
      <c r="A8656" s="1"/>
    </row>
    <row r="8657" spans="1:1" ht="46.5" customHeight="1" x14ac:dyDescent="0.25">
      <c r="A8657" s="1"/>
    </row>
    <row r="8658" spans="1:1" ht="46.5" customHeight="1" x14ac:dyDescent="0.25">
      <c r="A8658" s="1"/>
    </row>
    <row r="8659" spans="1:1" ht="46.5" customHeight="1" x14ac:dyDescent="0.25">
      <c r="A8659" s="1"/>
    </row>
    <row r="8660" spans="1:1" ht="46.5" customHeight="1" x14ac:dyDescent="0.25">
      <c r="A8660" s="1"/>
    </row>
    <row r="8661" spans="1:1" ht="46.5" customHeight="1" x14ac:dyDescent="0.25">
      <c r="A8661" s="1"/>
    </row>
    <row r="8662" spans="1:1" ht="46.5" customHeight="1" x14ac:dyDescent="0.25">
      <c r="A8662" s="1"/>
    </row>
    <row r="8663" spans="1:1" ht="46.5" customHeight="1" x14ac:dyDescent="0.25">
      <c r="A8663" s="1"/>
    </row>
    <row r="8664" spans="1:1" ht="46.5" customHeight="1" x14ac:dyDescent="0.25">
      <c r="A8664" s="1"/>
    </row>
    <row r="8665" spans="1:1" ht="46.5" customHeight="1" x14ac:dyDescent="0.25">
      <c r="A8665" s="1"/>
    </row>
    <row r="8666" spans="1:1" ht="46.5" customHeight="1" x14ac:dyDescent="0.25">
      <c r="A8666" s="1"/>
    </row>
    <row r="8667" spans="1:1" ht="46.5" customHeight="1" x14ac:dyDescent="0.25">
      <c r="A8667" s="1"/>
    </row>
    <row r="8668" spans="1:1" ht="46.5" customHeight="1" x14ac:dyDescent="0.25">
      <c r="A8668" s="1"/>
    </row>
    <row r="8669" spans="1:1" ht="46.5" customHeight="1" x14ac:dyDescent="0.25">
      <c r="A8669" s="1"/>
    </row>
    <row r="8670" spans="1:1" ht="46.5" customHeight="1" x14ac:dyDescent="0.25">
      <c r="A8670" s="1"/>
    </row>
    <row r="8671" spans="1:1" ht="46.5" customHeight="1" x14ac:dyDescent="0.25">
      <c r="A8671" s="1"/>
    </row>
    <row r="8672" spans="1:1" ht="46.5" customHeight="1" x14ac:dyDescent="0.25">
      <c r="A8672" s="1"/>
    </row>
    <row r="8673" spans="1:1" ht="46.5" customHeight="1" x14ac:dyDescent="0.25">
      <c r="A8673" s="1"/>
    </row>
    <row r="8674" spans="1:1" ht="46.5" customHeight="1" x14ac:dyDescent="0.25">
      <c r="A8674" s="1"/>
    </row>
    <row r="8675" spans="1:1" ht="46.5" customHeight="1" x14ac:dyDescent="0.25">
      <c r="A8675" s="1"/>
    </row>
    <row r="8676" spans="1:1" ht="46.5" customHeight="1" x14ac:dyDescent="0.25">
      <c r="A8676" s="1"/>
    </row>
    <row r="8677" spans="1:1" ht="46.5" customHeight="1" x14ac:dyDescent="0.25">
      <c r="A8677" s="1"/>
    </row>
    <row r="8678" spans="1:1" ht="46.5" customHeight="1" x14ac:dyDescent="0.25">
      <c r="A8678" s="1"/>
    </row>
    <row r="8679" spans="1:1" ht="46.5" customHeight="1" x14ac:dyDescent="0.25">
      <c r="A8679" s="1"/>
    </row>
    <row r="8680" spans="1:1" ht="46.5" customHeight="1" x14ac:dyDescent="0.25">
      <c r="A8680" s="1"/>
    </row>
    <row r="8681" spans="1:1" ht="46.5" customHeight="1" x14ac:dyDescent="0.25">
      <c r="A8681" s="1"/>
    </row>
    <row r="8682" spans="1:1" ht="46.5" customHeight="1" x14ac:dyDescent="0.25">
      <c r="A8682" s="1"/>
    </row>
    <row r="8683" spans="1:1" ht="46.5" customHeight="1" x14ac:dyDescent="0.25">
      <c r="A8683" s="1"/>
    </row>
    <row r="8684" spans="1:1" ht="46.5" customHeight="1" x14ac:dyDescent="0.25">
      <c r="A8684" s="1"/>
    </row>
    <row r="8685" spans="1:1" ht="46.5" customHeight="1" x14ac:dyDescent="0.25">
      <c r="A8685" s="1"/>
    </row>
    <row r="8686" spans="1:1" ht="46.5" customHeight="1" x14ac:dyDescent="0.25">
      <c r="A8686" s="1"/>
    </row>
    <row r="8687" spans="1:1" ht="46.5" customHeight="1" x14ac:dyDescent="0.25">
      <c r="A8687" s="1"/>
    </row>
    <row r="8688" spans="1:1" ht="46.5" customHeight="1" x14ac:dyDescent="0.25">
      <c r="A8688" s="1"/>
    </row>
    <row r="8689" spans="1:1" ht="46.5" customHeight="1" x14ac:dyDescent="0.25">
      <c r="A8689" s="1"/>
    </row>
    <row r="8690" spans="1:1" ht="46.5" customHeight="1" x14ac:dyDescent="0.25">
      <c r="A8690" s="1"/>
    </row>
    <row r="8691" spans="1:1" ht="46.5" customHeight="1" x14ac:dyDescent="0.25">
      <c r="A8691" s="1"/>
    </row>
    <row r="8692" spans="1:1" ht="46.5" customHeight="1" x14ac:dyDescent="0.25">
      <c r="A8692" s="1"/>
    </row>
    <row r="8693" spans="1:1" ht="46.5" customHeight="1" x14ac:dyDescent="0.25">
      <c r="A8693" s="1"/>
    </row>
    <row r="8694" spans="1:1" ht="46.5" customHeight="1" x14ac:dyDescent="0.25">
      <c r="A8694" s="1"/>
    </row>
    <row r="8695" spans="1:1" ht="46.5" customHeight="1" x14ac:dyDescent="0.25">
      <c r="A8695" s="1"/>
    </row>
    <row r="8696" spans="1:1" ht="46.5" customHeight="1" x14ac:dyDescent="0.25">
      <c r="A8696" s="1"/>
    </row>
    <row r="8697" spans="1:1" ht="46.5" customHeight="1" x14ac:dyDescent="0.25">
      <c r="A8697" s="1"/>
    </row>
    <row r="8698" spans="1:1" ht="46.5" customHeight="1" x14ac:dyDescent="0.25">
      <c r="A8698" s="1"/>
    </row>
    <row r="8699" spans="1:1" ht="46.5" customHeight="1" x14ac:dyDescent="0.25">
      <c r="A8699" s="1"/>
    </row>
    <row r="8700" spans="1:1" ht="46.5" customHeight="1" x14ac:dyDescent="0.25">
      <c r="A8700" s="1"/>
    </row>
    <row r="8701" spans="1:1" ht="46.5" customHeight="1" x14ac:dyDescent="0.25">
      <c r="A8701" s="1"/>
    </row>
    <row r="8702" spans="1:1" ht="46.5" customHeight="1" x14ac:dyDescent="0.25">
      <c r="A8702" s="1"/>
    </row>
    <row r="8703" spans="1:1" ht="46.5" customHeight="1" x14ac:dyDescent="0.25">
      <c r="A8703" s="1"/>
    </row>
    <row r="8704" spans="1:1" ht="46.5" customHeight="1" x14ac:dyDescent="0.25">
      <c r="A8704" s="1"/>
    </row>
    <row r="8705" spans="1:1" ht="46.5" customHeight="1" x14ac:dyDescent="0.25">
      <c r="A8705" s="1"/>
    </row>
    <row r="8706" spans="1:1" ht="46.5" customHeight="1" x14ac:dyDescent="0.25">
      <c r="A8706" s="1"/>
    </row>
    <row r="8707" spans="1:1" ht="46.5" customHeight="1" x14ac:dyDescent="0.25">
      <c r="A8707" s="1"/>
    </row>
    <row r="8708" spans="1:1" ht="46.5" customHeight="1" x14ac:dyDescent="0.25">
      <c r="A8708" s="1"/>
    </row>
    <row r="8709" spans="1:1" ht="46.5" customHeight="1" x14ac:dyDescent="0.25">
      <c r="A8709" s="1"/>
    </row>
    <row r="8710" spans="1:1" ht="46.5" customHeight="1" x14ac:dyDescent="0.25">
      <c r="A8710" s="1"/>
    </row>
    <row r="8711" spans="1:1" ht="46.5" customHeight="1" x14ac:dyDescent="0.25">
      <c r="A8711" s="1"/>
    </row>
    <row r="8712" spans="1:1" ht="46.5" customHeight="1" x14ac:dyDescent="0.25">
      <c r="A8712" s="1"/>
    </row>
    <row r="8713" spans="1:1" ht="46.5" customHeight="1" x14ac:dyDescent="0.25">
      <c r="A8713" s="1"/>
    </row>
    <row r="8714" spans="1:1" ht="46.5" customHeight="1" x14ac:dyDescent="0.25">
      <c r="A8714" s="1"/>
    </row>
    <row r="8715" spans="1:1" ht="46.5" customHeight="1" x14ac:dyDescent="0.25">
      <c r="A8715" s="1"/>
    </row>
    <row r="8716" spans="1:1" ht="46.5" customHeight="1" x14ac:dyDescent="0.25">
      <c r="A8716" s="1"/>
    </row>
    <row r="8717" spans="1:1" ht="46.5" customHeight="1" x14ac:dyDescent="0.25">
      <c r="A8717" s="1"/>
    </row>
    <row r="8718" spans="1:1" ht="46.5" customHeight="1" x14ac:dyDescent="0.25">
      <c r="A8718" s="1"/>
    </row>
    <row r="8719" spans="1:1" ht="46.5" customHeight="1" x14ac:dyDescent="0.25">
      <c r="A8719" s="1"/>
    </row>
    <row r="8720" spans="1:1" ht="46.5" customHeight="1" x14ac:dyDescent="0.25">
      <c r="A8720" s="1"/>
    </row>
    <row r="8721" spans="1:1" ht="46.5" customHeight="1" x14ac:dyDescent="0.25">
      <c r="A8721" s="1"/>
    </row>
    <row r="8722" spans="1:1" ht="46.5" customHeight="1" x14ac:dyDescent="0.25">
      <c r="A8722" s="1"/>
    </row>
    <row r="8723" spans="1:1" ht="46.5" customHeight="1" x14ac:dyDescent="0.25">
      <c r="A8723" s="1"/>
    </row>
    <row r="8724" spans="1:1" ht="46.5" customHeight="1" x14ac:dyDescent="0.25">
      <c r="A8724" s="1"/>
    </row>
    <row r="8725" spans="1:1" ht="46.5" customHeight="1" x14ac:dyDescent="0.25">
      <c r="A8725" s="1"/>
    </row>
    <row r="8726" spans="1:1" ht="46.5" customHeight="1" x14ac:dyDescent="0.25">
      <c r="A8726" s="1"/>
    </row>
    <row r="8727" spans="1:1" ht="46.5" customHeight="1" x14ac:dyDescent="0.25">
      <c r="A8727" s="1"/>
    </row>
    <row r="8728" spans="1:1" ht="46.5" customHeight="1" x14ac:dyDescent="0.25">
      <c r="A8728" s="1"/>
    </row>
    <row r="8729" spans="1:1" ht="46.5" customHeight="1" x14ac:dyDescent="0.25">
      <c r="A8729" s="1"/>
    </row>
    <row r="8730" spans="1:1" ht="46.5" customHeight="1" x14ac:dyDescent="0.25">
      <c r="A8730" s="1"/>
    </row>
    <row r="8731" spans="1:1" ht="46.5" customHeight="1" x14ac:dyDescent="0.25">
      <c r="A8731" s="1"/>
    </row>
    <row r="8732" spans="1:1" ht="46.5" customHeight="1" x14ac:dyDescent="0.25">
      <c r="A8732" s="1"/>
    </row>
    <row r="8733" spans="1:1" ht="46.5" customHeight="1" x14ac:dyDescent="0.25">
      <c r="A8733" s="1"/>
    </row>
    <row r="8734" spans="1:1" ht="46.5" customHeight="1" x14ac:dyDescent="0.25">
      <c r="A8734" s="1"/>
    </row>
    <row r="8735" spans="1:1" ht="46.5" customHeight="1" x14ac:dyDescent="0.25">
      <c r="A8735" s="1"/>
    </row>
    <row r="8736" spans="1:1" ht="46.5" customHeight="1" x14ac:dyDescent="0.25">
      <c r="A8736" s="1"/>
    </row>
    <row r="8737" spans="1:1" ht="46.5" customHeight="1" x14ac:dyDescent="0.25">
      <c r="A8737" s="1"/>
    </row>
    <row r="8738" spans="1:1" ht="46.5" customHeight="1" x14ac:dyDescent="0.25">
      <c r="A8738" s="1"/>
    </row>
    <row r="8739" spans="1:1" ht="46.5" customHeight="1" x14ac:dyDescent="0.25">
      <c r="A8739" s="1"/>
    </row>
    <row r="8740" spans="1:1" ht="46.5" customHeight="1" x14ac:dyDescent="0.25">
      <c r="A8740" s="1"/>
    </row>
    <row r="8741" spans="1:1" ht="46.5" customHeight="1" x14ac:dyDescent="0.25">
      <c r="A8741" s="1"/>
    </row>
    <row r="8742" spans="1:1" ht="46.5" customHeight="1" x14ac:dyDescent="0.25">
      <c r="A8742" s="1"/>
    </row>
    <row r="8743" spans="1:1" ht="46.5" customHeight="1" x14ac:dyDescent="0.25">
      <c r="A8743" s="1"/>
    </row>
    <row r="8744" spans="1:1" ht="46.5" customHeight="1" x14ac:dyDescent="0.25">
      <c r="A8744" s="1"/>
    </row>
    <row r="8745" spans="1:1" ht="46.5" customHeight="1" x14ac:dyDescent="0.25">
      <c r="A8745" s="1"/>
    </row>
    <row r="8746" spans="1:1" ht="46.5" customHeight="1" x14ac:dyDescent="0.25">
      <c r="A8746" s="1"/>
    </row>
    <row r="8747" spans="1:1" ht="46.5" customHeight="1" x14ac:dyDescent="0.25">
      <c r="A8747" s="1"/>
    </row>
    <row r="8748" spans="1:1" ht="46.5" customHeight="1" x14ac:dyDescent="0.25">
      <c r="A8748" s="1"/>
    </row>
    <row r="8749" spans="1:1" ht="46.5" customHeight="1" x14ac:dyDescent="0.25">
      <c r="A8749" s="1"/>
    </row>
    <row r="8750" spans="1:1" ht="46.5" customHeight="1" x14ac:dyDescent="0.25">
      <c r="A8750" s="1"/>
    </row>
    <row r="8751" spans="1:1" ht="46.5" customHeight="1" x14ac:dyDescent="0.25">
      <c r="A8751" s="1"/>
    </row>
    <row r="8752" spans="1:1" ht="46.5" customHeight="1" x14ac:dyDescent="0.25">
      <c r="A8752" s="1"/>
    </row>
    <row r="8753" spans="1:1" ht="46.5" customHeight="1" x14ac:dyDescent="0.25">
      <c r="A8753" s="1"/>
    </row>
    <row r="8754" spans="1:1" ht="46.5" customHeight="1" x14ac:dyDescent="0.25">
      <c r="A8754" s="1"/>
    </row>
    <row r="8755" spans="1:1" ht="46.5" customHeight="1" x14ac:dyDescent="0.25">
      <c r="A8755" s="1"/>
    </row>
    <row r="8756" spans="1:1" ht="46.5" customHeight="1" x14ac:dyDescent="0.25">
      <c r="A8756" s="1"/>
    </row>
    <row r="8757" spans="1:1" ht="46.5" customHeight="1" x14ac:dyDescent="0.25">
      <c r="A8757" s="1"/>
    </row>
    <row r="8758" spans="1:1" ht="46.5" customHeight="1" x14ac:dyDescent="0.25">
      <c r="A8758" s="1"/>
    </row>
    <row r="8759" spans="1:1" ht="46.5" customHeight="1" x14ac:dyDescent="0.25">
      <c r="A8759" s="1"/>
    </row>
    <row r="8760" spans="1:1" ht="46.5" customHeight="1" x14ac:dyDescent="0.25">
      <c r="A8760" s="1"/>
    </row>
    <row r="8761" spans="1:1" ht="46.5" customHeight="1" x14ac:dyDescent="0.25">
      <c r="A8761" s="1"/>
    </row>
    <row r="8762" spans="1:1" ht="46.5" customHeight="1" x14ac:dyDescent="0.25">
      <c r="A8762" s="1"/>
    </row>
    <row r="8763" spans="1:1" ht="46.5" customHeight="1" x14ac:dyDescent="0.25">
      <c r="A8763" s="1"/>
    </row>
    <row r="8764" spans="1:1" ht="46.5" customHeight="1" x14ac:dyDescent="0.25">
      <c r="A8764" s="1"/>
    </row>
    <row r="8765" spans="1:1" ht="46.5" customHeight="1" x14ac:dyDescent="0.25">
      <c r="A8765" s="1"/>
    </row>
    <row r="8766" spans="1:1" ht="46.5" customHeight="1" x14ac:dyDescent="0.25">
      <c r="A8766" s="1"/>
    </row>
    <row r="8767" spans="1:1" ht="46.5" customHeight="1" x14ac:dyDescent="0.25">
      <c r="A8767" s="1"/>
    </row>
    <row r="8768" spans="1:1" ht="46.5" customHeight="1" x14ac:dyDescent="0.25">
      <c r="A8768" s="1"/>
    </row>
    <row r="8769" spans="1:1" ht="46.5" customHeight="1" x14ac:dyDescent="0.25">
      <c r="A8769" s="1"/>
    </row>
    <row r="8770" spans="1:1" ht="46.5" customHeight="1" x14ac:dyDescent="0.25">
      <c r="A8770" s="1"/>
    </row>
    <row r="8771" spans="1:1" ht="46.5" customHeight="1" x14ac:dyDescent="0.25">
      <c r="A8771" s="1"/>
    </row>
    <row r="8772" spans="1:1" ht="46.5" customHeight="1" x14ac:dyDescent="0.25">
      <c r="A8772" s="1"/>
    </row>
    <row r="8773" spans="1:1" ht="46.5" customHeight="1" x14ac:dyDescent="0.25">
      <c r="A8773" s="1"/>
    </row>
    <row r="8774" spans="1:1" ht="46.5" customHeight="1" x14ac:dyDescent="0.25">
      <c r="A8774" s="1"/>
    </row>
    <row r="8775" spans="1:1" ht="46.5" customHeight="1" x14ac:dyDescent="0.25">
      <c r="A8775" s="1"/>
    </row>
    <row r="8776" spans="1:1" ht="46.5" customHeight="1" x14ac:dyDescent="0.25">
      <c r="A8776" s="1"/>
    </row>
    <row r="8777" spans="1:1" ht="46.5" customHeight="1" x14ac:dyDescent="0.25">
      <c r="A8777" s="1"/>
    </row>
    <row r="8778" spans="1:1" ht="46.5" customHeight="1" x14ac:dyDescent="0.25">
      <c r="A8778" s="1"/>
    </row>
    <row r="8779" spans="1:1" ht="46.5" customHeight="1" x14ac:dyDescent="0.25">
      <c r="A8779" s="1"/>
    </row>
    <row r="8780" spans="1:1" ht="46.5" customHeight="1" x14ac:dyDescent="0.25">
      <c r="A8780" s="1"/>
    </row>
    <row r="8781" spans="1:1" ht="46.5" customHeight="1" x14ac:dyDescent="0.25">
      <c r="A8781" s="1"/>
    </row>
    <row r="8782" spans="1:1" ht="46.5" customHeight="1" x14ac:dyDescent="0.25">
      <c r="A8782" s="1"/>
    </row>
    <row r="8783" spans="1:1" ht="46.5" customHeight="1" x14ac:dyDescent="0.25">
      <c r="A8783" s="1"/>
    </row>
    <row r="8784" spans="1:1" ht="46.5" customHeight="1" x14ac:dyDescent="0.25">
      <c r="A8784" s="1"/>
    </row>
    <row r="8785" spans="1:1" ht="46.5" customHeight="1" x14ac:dyDescent="0.25">
      <c r="A8785" s="1"/>
    </row>
    <row r="8786" spans="1:1" ht="46.5" customHeight="1" x14ac:dyDescent="0.25">
      <c r="A8786" s="1"/>
    </row>
    <row r="8787" spans="1:1" ht="46.5" customHeight="1" x14ac:dyDescent="0.25">
      <c r="A8787" s="1"/>
    </row>
    <row r="8788" spans="1:1" ht="46.5" customHeight="1" x14ac:dyDescent="0.25">
      <c r="A8788" s="1"/>
    </row>
    <row r="8789" spans="1:1" ht="46.5" customHeight="1" x14ac:dyDescent="0.25">
      <c r="A8789" s="1"/>
    </row>
    <row r="8790" spans="1:1" ht="46.5" customHeight="1" x14ac:dyDescent="0.25">
      <c r="A8790" s="1"/>
    </row>
    <row r="8791" spans="1:1" ht="46.5" customHeight="1" x14ac:dyDescent="0.25">
      <c r="A8791" s="1"/>
    </row>
    <row r="8792" spans="1:1" ht="46.5" customHeight="1" x14ac:dyDescent="0.25">
      <c r="A8792" s="1"/>
    </row>
    <row r="8793" spans="1:1" ht="46.5" customHeight="1" x14ac:dyDescent="0.25">
      <c r="A8793" s="1"/>
    </row>
    <row r="8794" spans="1:1" ht="46.5" customHeight="1" x14ac:dyDescent="0.25">
      <c r="A8794" s="1"/>
    </row>
    <row r="8795" spans="1:1" ht="46.5" customHeight="1" x14ac:dyDescent="0.25">
      <c r="A8795" s="1"/>
    </row>
    <row r="8796" spans="1:1" ht="46.5" customHeight="1" x14ac:dyDescent="0.25">
      <c r="A8796" s="1"/>
    </row>
    <row r="8797" spans="1:1" ht="46.5" customHeight="1" x14ac:dyDescent="0.25">
      <c r="A8797" s="1"/>
    </row>
    <row r="8798" spans="1:1" ht="46.5" customHeight="1" x14ac:dyDescent="0.25">
      <c r="A8798" s="1"/>
    </row>
    <row r="8799" spans="1:1" ht="46.5" customHeight="1" x14ac:dyDescent="0.25">
      <c r="A8799" s="1"/>
    </row>
    <row r="8800" spans="1:1" ht="46.5" customHeight="1" x14ac:dyDescent="0.25">
      <c r="A8800" s="1"/>
    </row>
    <row r="8801" spans="1:1" ht="46.5" customHeight="1" x14ac:dyDescent="0.25">
      <c r="A8801" s="1"/>
    </row>
    <row r="8802" spans="1:1" ht="46.5" customHeight="1" x14ac:dyDescent="0.25">
      <c r="A8802" s="1"/>
    </row>
    <row r="8803" spans="1:1" ht="46.5" customHeight="1" x14ac:dyDescent="0.25">
      <c r="A8803" s="1"/>
    </row>
    <row r="8804" spans="1:1" ht="46.5" customHeight="1" x14ac:dyDescent="0.25">
      <c r="A8804" s="1"/>
    </row>
    <row r="8805" spans="1:1" ht="46.5" customHeight="1" x14ac:dyDescent="0.25">
      <c r="A8805" s="1"/>
    </row>
    <row r="8806" spans="1:1" ht="46.5" customHeight="1" x14ac:dyDescent="0.25">
      <c r="A8806" s="1"/>
    </row>
    <row r="8807" spans="1:1" ht="46.5" customHeight="1" x14ac:dyDescent="0.25">
      <c r="A8807" s="1"/>
    </row>
    <row r="8808" spans="1:1" ht="46.5" customHeight="1" x14ac:dyDescent="0.25">
      <c r="A8808" s="1"/>
    </row>
    <row r="8809" spans="1:1" ht="46.5" customHeight="1" x14ac:dyDescent="0.25">
      <c r="A8809" s="1"/>
    </row>
    <row r="8810" spans="1:1" ht="46.5" customHeight="1" x14ac:dyDescent="0.25">
      <c r="A8810" s="1"/>
    </row>
    <row r="8811" spans="1:1" ht="46.5" customHeight="1" x14ac:dyDescent="0.25">
      <c r="A8811" s="1"/>
    </row>
    <row r="8812" spans="1:1" ht="46.5" customHeight="1" x14ac:dyDescent="0.25">
      <c r="A8812" s="1"/>
    </row>
    <row r="8813" spans="1:1" ht="46.5" customHeight="1" x14ac:dyDescent="0.25">
      <c r="A8813" s="1"/>
    </row>
    <row r="8814" spans="1:1" ht="46.5" customHeight="1" x14ac:dyDescent="0.25">
      <c r="A8814" s="1"/>
    </row>
    <row r="8815" spans="1:1" ht="46.5" customHeight="1" x14ac:dyDescent="0.25">
      <c r="A8815" s="1"/>
    </row>
    <row r="8816" spans="1:1" ht="46.5" customHeight="1" x14ac:dyDescent="0.25">
      <c r="A8816" s="1"/>
    </row>
    <row r="8817" spans="1:1" ht="46.5" customHeight="1" x14ac:dyDescent="0.25">
      <c r="A8817" s="1"/>
    </row>
    <row r="8818" spans="1:1" ht="46.5" customHeight="1" x14ac:dyDescent="0.25">
      <c r="A8818" s="1"/>
    </row>
    <row r="8819" spans="1:1" ht="46.5" customHeight="1" x14ac:dyDescent="0.25">
      <c r="A8819" s="1"/>
    </row>
    <row r="8820" spans="1:1" ht="46.5" customHeight="1" x14ac:dyDescent="0.25">
      <c r="A8820" s="1"/>
    </row>
    <row r="8821" spans="1:1" ht="46.5" customHeight="1" x14ac:dyDescent="0.25">
      <c r="A8821" s="1"/>
    </row>
    <row r="8822" spans="1:1" ht="46.5" customHeight="1" x14ac:dyDescent="0.25">
      <c r="A8822" s="1"/>
    </row>
    <row r="8823" spans="1:1" ht="46.5" customHeight="1" x14ac:dyDescent="0.25">
      <c r="A8823" s="1"/>
    </row>
    <row r="8824" spans="1:1" ht="46.5" customHeight="1" x14ac:dyDescent="0.25">
      <c r="A8824" s="1"/>
    </row>
    <row r="8825" spans="1:1" ht="46.5" customHeight="1" x14ac:dyDescent="0.25">
      <c r="A8825" s="1"/>
    </row>
    <row r="8826" spans="1:1" ht="46.5" customHeight="1" x14ac:dyDescent="0.25">
      <c r="A8826" s="1"/>
    </row>
    <row r="8827" spans="1:1" ht="46.5" customHeight="1" x14ac:dyDescent="0.25">
      <c r="A8827" s="1"/>
    </row>
    <row r="8828" spans="1:1" ht="46.5" customHeight="1" x14ac:dyDescent="0.25">
      <c r="A8828" s="1"/>
    </row>
    <row r="8829" spans="1:1" ht="46.5" customHeight="1" x14ac:dyDescent="0.25">
      <c r="A8829" s="1"/>
    </row>
    <row r="8830" spans="1:1" ht="46.5" customHeight="1" x14ac:dyDescent="0.25">
      <c r="A8830" s="1"/>
    </row>
    <row r="8831" spans="1:1" ht="46.5" customHeight="1" x14ac:dyDescent="0.25">
      <c r="A8831" s="1"/>
    </row>
    <row r="8832" spans="1:1" ht="46.5" customHeight="1" x14ac:dyDescent="0.25">
      <c r="A8832" s="1"/>
    </row>
    <row r="8833" spans="1:1" ht="46.5" customHeight="1" x14ac:dyDescent="0.25">
      <c r="A8833" s="1"/>
    </row>
    <row r="8834" spans="1:1" ht="46.5" customHeight="1" x14ac:dyDescent="0.25">
      <c r="A8834" s="1"/>
    </row>
    <row r="8835" spans="1:1" ht="46.5" customHeight="1" x14ac:dyDescent="0.25">
      <c r="A8835" s="1"/>
    </row>
    <row r="8836" spans="1:1" ht="46.5" customHeight="1" x14ac:dyDescent="0.25">
      <c r="A8836" s="1"/>
    </row>
    <row r="8837" spans="1:1" ht="46.5" customHeight="1" x14ac:dyDescent="0.25">
      <c r="A8837" s="1"/>
    </row>
    <row r="8838" spans="1:1" ht="46.5" customHeight="1" x14ac:dyDescent="0.25">
      <c r="A8838" s="1"/>
    </row>
    <row r="8839" spans="1:1" ht="46.5" customHeight="1" x14ac:dyDescent="0.25">
      <c r="A8839" s="1"/>
    </row>
    <row r="8840" spans="1:1" ht="46.5" customHeight="1" x14ac:dyDescent="0.25">
      <c r="A8840" s="1"/>
    </row>
    <row r="8841" spans="1:1" ht="46.5" customHeight="1" x14ac:dyDescent="0.25">
      <c r="A8841" s="1"/>
    </row>
    <row r="8842" spans="1:1" ht="46.5" customHeight="1" x14ac:dyDescent="0.25">
      <c r="A8842" s="1"/>
    </row>
    <row r="8843" spans="1:1" ht="46.5" customHeight="1" x14ac:dyDescent="0.25">
      <c r="A8843" s="1"/>
    </row>
    <row r="8844" spans="1:1" ht="46.5" customHeight="1" x14ac:dyDescent="0.25">
      <c r="A8844" s="1"/>
    </row>
    <row r="8845" spans="1:1" ht="46.5" customHeight="1" x14ac:dyDescent="0.25">
      <c r="A8845" s="1"/>
    </row>
    <row r="8846" spans="1:1" ht="46.5" customHeight="1" x14ac:dyDescent="0.25">
      <c r="A8846" s="1"/>
    </row>
    <row r="8847" spans="1:1" ht="46.5" customHeight="1" x14ac:dyDescent="0.25">
      <c r="A8847" s="1"/>
    </row>
    <row r="8848" spans="1:1" ht="46.5" customHeight="1" x14ac:dyDescent="0.25">
      <c r="A8848" s="1"/>
    </row>
    <row r="8849" spans="1:1" ht="46.5" customHeight="1" x14ac:dyDescent="0.25">
      <c r="A8849" s="1"/>
    </row>
    <row r="8850" spans="1:1" ht="46.5" customHeight="1" x14ac:dyDescent="0.25">
      <c r="A8850" s="1"/>
    </row>
    <row r="8851" spans="1:1" ht="46.5" customHeight="1" x14ac:dyDescent="0.25">
      <c r="A8851" s="1"/>
    </row>
    <row r="8852" spans="1:1" ht="46.5" customHeight="1" x14ac:dyDescent="0.25">
      <c r="A8852" s="1"/>
    </row>
    <row r="8853" spans="1:1" ht="46.5" customHeight="1" x14ac:dyDescent="0.25">
      <c r="A8853" s="1"/>
    </row>
    <row r="8854" spans="1:1" ht="46.5" customHeight="1" x14ac:dyDescent="0.25">
      <c r="A8854" s="1"/>
    </row>
    <row r="8855" spans="1:1" ht="46.5" customHeight="1" x14ac:dyDescent="0.25">
      <c r="A8855" s="1"/>
    </row>
    <row r="8856" spans="1:1" ht="46.5" customHeight="1" x14ac:dyDescent="0.25">
      <c r="A8856" s="1"/>
    </row>
    <row r="8857" spans="1:1" ht="46.5" customHeight="1" x14ac:dyDescent="0.25">
      <c r="A8857" s="1"/>
    </row>
    <row r="8858" spans="1:1" ht="46.5" customHeight="1" x14ac:dyDescent="0.25">
      <c r="A8858" s="1"/>
    </row>
    <row r="8859" spans="1:1" ht="46.5" customHeight="1" x14ac:dyDescent="0.25">
      <c r="A8859" s="1"/>
    </row>
    <row r="8860" spans="1:1" ht="46.5" customHeight="1" x14ac:dyDescent="0.25">
      <c r="A8860" s="1"/>
    </row>
    <row r="8861" spans="1:1" ht="46.5" customHeight="1" x14ac:dyDescent="0.25">
      <c r="A8861" s="1"/>
    </row>
    <row r="8862" spans="1:1" ht="46.5" customHeight="1" x14ac:dyDescent="0.25">
      <c r="A8862" s="1"/>
    </row>
    <row r="8863" spans="1:1" ht="46.5" customHeight="1" x14ac:dyDescent="0.25">
      <c r="A8863" s="1"/>
    </row>
    <row r="8864" spans="1:1" ht="46.5" customHeight="1" x14ac:dyDescent="0.25">
      <c r="A8864" s="1"/>
    </row>
    <row r="8865" spans="1:1" ht="46.5" customHeight="1" x14ac:dyDescent="0.25">
      <c r="A8865" s="1"/>
    </row>
    <row r="8866" spans="1:1" ht="46.5" customHeight="1" x14ac:dyDescent="0.25">
      <c r="A8866" s="1"/>
    </row>
    <row r="8867" spans="1:1" ht="46.5" customHeight="1" x14ac:dyDescent="0.25">
      <c r="A8867" s="1"/>
    </row>
    <row r="8868" spans="1:1" ht="46.5" customHeight="1" x14ac:dyDescent="0.25">
      <c r="A8868" s="1"/>
    </row>
    <row r="8869" spans="1:1" ht="46.5" customHeight="1" x14ac:dyDescent="0.25">
      <c r="A8869" s="1"/>
    </row>
    <row r="8870" spans="1:1" ht="46.5" customHeight="1" x14ac:dyDescent="0.25">
      <c r="A8870" s="1"/>
    </row>
    <row r="8871" spans="1:1" ht="46.5" customHeight="1" x14ac:dyDescent="0.25">
      <c r="A8871" s="1"/>
    </row>
    <row r="8872" spans="1:1" ht="46.5" customHeight="1" x14ac:dyDescent="0.25">
      <c r="A8872" s="1"/>
    </row>
    <row r="8873" spans="1:1" ht="46.5" customHeight="1" x14ac:dyDescent="0.25">
      <c r="A8873" s="1"/>
    </row>
    <row r="8874" spans="1:1" ht="46.5" customHeight="1" x14ac:dyDescent="0.25">
      <c r="A8874" s="1"/>
    </row>
    <row r="8875" spans="1:1" ht="46.5" customHeight="1" x14ac:dyDescent="0.25">
      <c r="A8875" s="1"/>
    </row>
    <row r="8876" spans="1:1" ht="46.5" customHeight="1" x14ac:dyDescent="0.25">
      <c r="A8876" s="1"/>
    </row>
    <row r="8877" spans="1:1" ht="46.5" customHeight="1" x14ac:dyDescent="0.25">
      <c r="A8877" s="1"/>
    </row>
    <row r="8878" spans="1:1" ht="46.5" customHeight="1" x14ac:dyDescent="0.25">
      <c r="A8878" s="1"/>
    </row>
    <row r="8879" spans="1:1" ht="46.5" customHeight="1" x14ac:dyDescent="0.25">
      <c r="A8879" s="1"/>
    </row>
    <row r="8880" spans="1:1" ht="46.5" customHeight="1" x14ac:dyDescent="0.25">
      <c r="A8880" s="1"/>
    </row>
    <row r="8881" spans="1:1" ht="46.5" customHeight="1" x14ac:dyDescent="0.25">
      <c r="A8881" s="1"/>
    </row>
    <row r="8882" spans="1:1" ht="46.5" customHeight="1" x14ac:dyDescent="0.25">
      <c r="A8882" s="1"/>
    </row>
    <row r="8883" spans="1:1" ht="46.5" customHeight="1" x14ac:dyDescent="0.25">
      <c r="A8883" s="1"/>
    </row>
    <row r="8884" spans="1:1" ht="46.5" customHeight="1" x14ac:dyDescent="0.25">
      <c r="A8884" s="1"/>
    </row>
    <row r="8885" spans="1:1" ht="46.5" customHeight="1" x14ac:dyDescent="0.25">
      <c r="A8885" s="1"/>
    </row>
    <row r="8886" spans="1:1" ht="46.5" customHeight="1" x14ac:dyDescent="0.25">
      <c r="A8886" s="1"/>
    </row>
    <row r="8887" spans="1:1" ht="46.5" customHeight="1" x14ac:dyDescent="0.25">
      <c r="A8887" s="1"/>
    </row>
    <row r="8888" spans="1:1" ht="46.5" customHeight="1" x14ac:dyDescent="0.25">
      <c r="A8888" s="1"/>
    </row>
    <row r="8889" spans="1:1" ht="46.5" customHeight="1" x14ac:dyDescent="0.25">
      <c r="A8889" s="1"/>
    </row>
    <row r="8890" spans="1:1" ht="46.5" customHeight="1" x14ac:dyDescent="0.25">
      <c r="A8890" s="1"/>
    </row>
    <row r="8891" spans="1:1" ht="46.5" customHeight="1" x14ac:dyDescent="0.25">
      <c r="A8891" s="1"/>
    </row>
    <row r="8892" spans="1:1" ht="46.5" customHeight="1" x14ac:dyDescent="0.25">
      <c r="A8892" s="1"/>
    </row>
    <row r="8893" spans="1:1" ht="46.5" customHeight="1" x14ac:dyDescent="0.25">
      <c r="A8893" s="1"/>
    </row>
    <row r="8894" spans="1:1" ht="46.5" customHeight="1" x14ac:dyDescent="0.25">
      <c r="A8894" s="1"/>
    </row>
    <row r="8895" spans="1:1" ht="46.5" customHeight="1" x14ac:dyDescent="0.25">
      <c r="A8895" s="1"/>
    </row>
    <row r="8896" spans="1:1" ht="46.5" customHeight="1" x14ac:dyDescent="0.25">
      <c r="A8896" s="1"/>
    </row>
    <row r="8897" spans="1:1" ht="46.5" customHeight="1" x14ac:dyDescent="0.25">
      <c r="A8897" s="1"/>
    </row>
    <row r="8898" spans="1:1" ht="46.5" customHeight="1" x14ac:dyDescent="0.25">
      <c r="A8898" s="1"/>
    </row>
    <row r="8899" spans="1:1" ht="46.5" customHeight="1" x14ac:dyDescent="0.25">
      <c r="A8899" s="1"/>
    </row>
    <row r="8900" spans="1:1" ht="46.5" customHeight="1" x14ac:dyDescent="0.25">
      <c r="A8900" s="1"/>
    </row>
    <row r="8901" spans="1:1" ht="46.5" customHeight="1" x14ac:dyDescent="0.25">
      <c r="A8901" s="1"/>
    </row>
    <row r="8902" spans="1:1" ht="46.5" customHeight="1" x14ac:dyDescent="0.25">
      <c r="A8902" s="1"/>
    </row>
    <row r="8903" spans="1:1" ht="46.5" customHeight="1" x14ac:dyDescent="0.25">
      <c r="A8903" s="1"/>
    </row>
    <row r="8904" spans="1:1" ht="46.5" customHeight="1" x14ac:dyDescent="0.25">
      <c r="A8904" s="1"/>
    </row>
    <row r="8905" spans="1:1" ht="46.5" customHeight="1" x14ac:dyDescent="0.25">
      <c r="A8905" s="1"/>
    </row>
    <row r="8906" spans="1:1" ht="46.5" customHeight="1" x14ac:dyDescent="0.25">
      <c r="A8906" s="1"/>
    </row>
    <row r="8907" spans="1:1" ht="46.5" customHeight="1" x14ac:dyDescent="0.25">
      <c r="A8907" s="1"/>
    </row>
    <row r="8908" spans="1:1" ht="46.5" customHeight="1" x14ac:dyDescent="0.25">
      <c r="A8908" s="1"/>
    </row>
    <row r="8909" spans="1:1" ht="46.5" customHeight="1" x14ac:dyDescent="0.25">
      <c r="A8909" s="1"/>
    </row>
    <row r="8910" spans="1:1" ht="46.5" customHeight="1" x14ac:dyDescent="0.25">
      <c r="A8910" s="1"/>
    </row>
    <row r="8911" spans="1:1" ht="46.5" customHeight="1" x14ac:dyDescent="0.25">
      <c r="A8911" s="1"/>
    </row>
    <row r="8912" spans="1:1" ht="46.5" customHeight="1" x14ac:dyDescent="0.25">
      <c r="A8912" s="1"/>
    </row>
    <row r="8913" spans="1:1" ht="46.5" customHeight="1" x14ac:dyDescent="0.25">
      <c r="A8913" s="1"/>
    </row>
    <row r="8914" spans="1:1" ht="46.5" customHeight="1" x14ac:dyDescent="0.25">
      <c r="A8914" s="1"/>
    </row>
    <row r="8915" spans="1:1" ht="46.5" customHeight="1" x14ac:dyDescent="0.25">
      <c r="A8915" s="1"/>
    </row>
    <row r="8916" spans="1:1" ht="46.5" customHeight="1" x14ac:dyDescent="0.25">
      <c r="A8916" s="1"/>
    </row>
    <row r="8917" spans="1:1" ht="46.5" customHeight="1" x14ac:dyDescent="0.25">
      <c r="A8917" s="1"/>
    </row>
    <row r="8918" spans="1:1" ht="46.5" customHeight="1" x14ac:dyDescent="0.25">
      <c r="A8918" s="1"/>
    </row>
    <row r="8919" spans="1:1" ht="46.5" customHeight="1" x14ac:dyDescent="0.25">
      <c r="A8919" s="1"/>
    </row>
    <row r="8920" spans="1:1" ht="46.5" customHeight="1" x14ac:dyDescent="0.25">
      <c r="A8920" s="1"/>
    </row>
    <row r="8921" spans="1:1" ht="46.5" customHeight="1" x14ac:dyDescent="0.25">
      <c r="A8921" s="1"/>
    </row>
    <row r="8922" spans="1:1" ht="46.5" customHeight="1" x14ac:dyDescent="0.25">
      <c r="A8922" s="1"/>
    </row>
    <row r="8923" spans="1:1" ht="46.5" customHeight="1" x14ac:dyDescent="0.25">
      <c r="A8923" s="1"/>
    </row>
    <row r="8924" spans="1:1" ht="46.5" customHeight="1" x14ac:dyDescent="0.25">
      <c r="A8924" s="1"/>
    </row>
    <row r="8925" spans="1:1" ht="46.5" customHeight="1" x14ac:dyDescent="0.25">
      <c r="A8925" s="1"/>
    </row>
    <row r="8926" spans="1:1" ht="46.5" customHeight="1" x14ac:dyDescent="0.25">
      <c r="A8926" s="1"/>
    </row>
    <row r="8927" spans="1:1" ht="46.5" customHeight="1" x14ac:dyDescent="0.25">
      <c r="A8927" s="1"/>
    </row>
    <row r="8928" spans="1:1" ht="46.5" customHeight="1" x14ac:dyDescent="0.25">
      <c r="A8928" s="1"/>
    </row>
    <row r="8929" spans="1:1" ht="46.5" customHeight="1" x14ac:dyDescent="0.25">
      <c r="A8929" s="1"/>
    </row>
    <row r="8930" spans="1:1" ht="46.5" customHeight="1" x14ac:dyDescent="0.25">
      <c r="A8930" s="1"/>
    </row>
    <row r="8931" spans="1:1" ht="46.5" customHeight="1" x14ac:dyDescent="0.25">
      <c r="A8931" s="1"/>
    </row>
    <row r="8932" spans="1:1" ht="46.5" customHeight="1" x14ac:dyDescent="0.25">
      <c r="A8932" s="1"/>
    </row>
    <row r="8933" spans="1:1" ht="46.5" customHeight="1" x14ac:dyDescent="0.25">
      <c r="A8933" s="1"/>
    </row>
    <row r="8934" spans="1:1" ht="46.5" customHeight="1" x14ac:dyDescent="0.25">
      <c r="A8934" s="1"/>
    </row>
    <row r="8935" spans="1:1" ht="46.5" customHeight="1" x14ac:dyDescent="0.25">
      <c r="A8935" s="1"/>
    </row>
    <row r="8936" spans="1:1" ht="46.5" customHeight="1" x14ac:dyDescent="0.25">
      <c r="A8936" s="1"/>
    </row>
    <row r="8937" spans="1:1" ht="46.5" customHeight="1" x14ac:dyDescent="0.25">
      <c r="A8937" s="1"/>
    </row>
    <row r="8938" spans="1:1" ht="46.5" customHeight="1" x14ac:dyDescent="0.25">
      <c r="A8938" s="1"/>
    </row>
    <row r="8939" spans="1:1" ht="46.5" customHeight="1" x14ac:dyDescent="0.25">
      <c r="A8939" s="1"/>
    </row>
    <row r="8940" spans="1:1" ht="46.5" customHeight="1" x14ac:dyDescent="0.25">
      <c r="A8940" s="1"/>
    </row>
    <row r="8941" spans="1:1" ht="46.5" customHeight="1" x14ac:dyDescent="0.25">
      <c r="A8941" s="1"/>
    </row>
    <row r="8942" spans="1:1" ht="46.5" customHeight="1" x14ac:dyDescent="0.25">
      <c r="A8942" s="1"/>
    </row>
    <row r="8943" spans="1:1" ht="46.5" customHeight="1" x14ac:dyDescent="0.25">
      <c r="A8943" s="1"/>
    </row>
    <row r="8944" spans="1:1" ht="46.5" customHeight="1" x14ac:dyDescent="0.25">
      <c r="A8944" s="1"/>
    </row>
    <row r="8945" spans="1:1" ht="46.5" customHeight="1" x14ac:dyDescent="0.25">
      <c r="A8945" s="1"/>
    </row>
    <row r="8946" spans="1:1" ht="46.5" customHeight="1" x14ac:dyDescent="0.25">
      <c r="A8946" s="1"/>
    </row>
    <row r="8947" spans="1:1" ht="46.5" customHeight="1" x14ac:dyDescent="0.25">
      <c r="A8947" s="1"/>
    </row>
    <row r="8948" spans="1:1" ht="46.5" customHeight="1" x14ac:dyDescent="0.25">
      <c r="A8948" s="1"/>
    </row>
    <row r="8949" spans="1:1" ht="46.5" customHeight="1" x14ac:dyDescent="0.25">
      <c r="A8949" s="1"/>
    </row>
    <row r="8950" spans="1:1" ht="46.5" customHeight="1" x14ac:dyDescent="0.25">
      <c r="A8950" s="1"/>
    </row>
    <row r="8951" spans="1:1" ht="46.5" customHeight="1" x14ac:dyDescent="0.25">
      <c r="A8951" s="1"/>
    </row>
    <row r="8952" spans="1:1" ht="46.5" customHeight="1" x14ac:dyDescent="0.25">
      <c r="A8952" s="1"/>
    </row>
    <row r="8953" spans="1:1" ht="46.5" customHeight="1" x14ac:dyDescent="0.25">
      <c r="A8953" s="1"/>
    </row>
    <row r="8954" spans="1:1" ht="46.5" customHeight="1" x14ac:dyDescent="0.25">
      <c r="A8954" s="1"/>
    </row>
    <row r="8955" spans="1:1" ht="46.5" customHeight="1" x14ac:dyDescent="0.25">
      <c r="A8955" s="1"/>
    </row>
    <row r="8956" spans="1:1" ht="46.5" customHeight="1" x14ac:dyDescent="0.25">
      <c r="A8956" s="1"/>
    </row>
    <row r="8957" spans="1:1" ht="46.5" customHeight="1" x14ac:dyDescent="0.25">
      <c r="A8957" s="1"/>
    </row>
    <row r="8958" spans="1:1" ht="46.5" customHeight="1" x14ac:dyDescent="0.25">
      <c r="A8958" s="1"/>
    </row>
    <row r="8959" spans="1:1" ht="46.5" customHeight="1" x14ac:dyDescent="0.25">
      <c r="A8959" s="1"/>
    </row>
    <row r="8960" spans="1:1" ht="46.5" customHeight="1" x14ac:dyDescent="0.25">
      <c r="A8960" s="1"/>
    </row>
    <row r="8961" spans="1:1" ht="46.5" customHeight="1" x14ac:dyDescent="0.25">
      <c r="A8961" s="1"/>
    </row>
    <row r="8962" spans="1:1" ht="46.5" customHeight="1" x14ac:dyDescent="0.25">
      <c r="A8962" s="1"/>
    </row>
    <row r="8963" spans="1:1" ht="46.5" customHeight="1" x14ac:dyDescent="0.25">
      <c r="A8963" s="1"/>
    </row>
    <row r="8964" spans="1:1" ht="46.5" customHeight="1" x14ac:dyDescent="0.25">
      <c r="A8964" s="1"/>
    </row>
    <row r="8965" spans="1:1" ht="46.5" customHeight="1" x14ac:dyDescent="0.25">
      <c r="A8965" s="1"/>
    </row>
    <row r="8966" spans="1:1" ht="46.5" customHeight="1" x14ac:dyDescent="0.25">
      <c r="A8966" s="1"/>
    </row>
    <row r="8967" spans="1:1" ht="46.5" customHeight="1" x14ac:dyDescent="0.25">
      <c r="A8967" s="1"/>
    </row>
    <row r="8968" spans="1:1" ht="46.5" customHeight="1" x14ac:dyDescent="0.25">
      <c r="A8968" s="1"/>
    </row>
    <row r="8969" spans="1:1" ht="46.5" customHeight="1" x14ac:dyDescent="0.25">
      <c r="A8969" s="1"/>
    </row>
    <row r="8970" spans="1:1" ht="46.5" customHeight="1" x14ac:dyDescent="0.25">
      <c r="A8970" s="1"/>
    </row>
    <row r="8971" spans="1:1" ht="46.5" customHeight="1" x14ac:dyDescent="0.25">
      <c r="A8971" s="1"/>
    </row>
    <row r="8972" spans="1:1" ht="46.5" customHeight="1" x14ac:dyDescent="0.25">
      <c r="A8972" s="1"/>
    </row>
    <row r="8973" spans="1:1" ht="46.5" customHeight="1" x14ac:dyDescent="0.25">
      <c r="A8973" s="1"/>
    </row>
    <row r="8974" spans="1:1" ht="46.5" customHeight="1" x14ac:dyDescent="0.25">
      <c r="A8974" s="1"/>
    </row>
    <row r="8975" spans="1:1" ht="46.5" customHeight="1" x14ac:dyDescent="0.25">
      <c r="A8975" s="1"/>
    </row>
    <row r="8976" spans="1:1" ht="46.5" customHeight="1" x14ac:dyDescent="0.25">
      <c r="A8976" s="1"/>
    </row>
    <row r="8977" spans="1:1" ht="46.5" customHeight="1" x14ac:dyDescent="0.25">
      <c r="A8977" s="1"/>
    </row>
    <row r="8978" spans="1:1" ht="46.5" customHeight="1" x14ac:dyDescent="0.25">
      <c r="A8978" s="1"/>
    </row>
    <row r="8979" spans="1:1" ht="46.5" customHeight="1" x14ac:dyDescent="0.25">
      <c r="A8979" s="1"/>
    </row>
    <row r="8980" spans="1:1" ht="46.5" customHeight="1" x14ac:dyDescent="0.25">
      <c r="A8980" s="1"/>
    </row>
    <row r="8981" spans="1:1" ht="46.5" customHeight="1" x14ac:dyDescent="0.25">
      <c r="A8981" s="1"/>
    </row>
    <row r="8982" spans="1:1" ht="46.5" customHeight="1" x14ac:dyDescent="0.25">
      <c r="A8982" s="1"/>
    </row>
    <row r="8983" spans="1:1" ht="46.5" customHeight="1" x14ac:dyDescent="0.25">
      <c r="A8983" s="1"/>
    </row>
    <row r="8984" spans="1:1" ht="46.5" customHeight="1" x14ac:dyDescent="0.25">
      <c r="A8984" s="1"/>
    </row>
    <row r="8985" spans="1:1" ht="46.5" customHeight="1" x14ac:dyDescent="0.25">
      <c r="A8985" s="1"/>
    </row>
    <row r="8986" spans="1:1" ht="46.5" customHeight="1" x14ac:dyDescent="0.25">
      <c r="A8986" s="1"/>
    </row>
    <row r="8987" spans="1:1" ht="46.5" customHeight="1" x14ac:dyDescent="0.25">
      <c r="A8987" s="1"/>
    </row>
    <row r="8988" spans="1:1" ht="46.5" customHeight="1" x14ac:dyDescent="0.25">
      <c r="A8988" s="1"/>
    </row>
    <row r="8989" spans="1:1" ht="46.5" customHeight="1" x14ac:dyDescent="0.25">
      <c r="A8989" s="1"/>
    </row>
    <row r="8990" spans="1:1" ht="46.5" customHeight="1" x14ac:dyDescent="0.25">
      <c r="A8990" s="1"/>
    </row>
    <row r="8991" spans="1:1" ht="46.5" customHeight="1" x14ac:dyDescent="0.25">
      <c r="A8991" s="1"/>
    </row>
    <row r="8992" spans="1:1" ht="46.5" customHeight="1" x14ac:dyDescent="0.25">
      <c r="A8992" s="1"/>
    </row>
    <row r="8993" spans="1:1" ht="46.5" customHeight="1" x14ac:dyDescent="0.25">
      <c r="A8993" s="1"/>
    </row>
    <row r="8994" spans="1:1" ht="46.5" customHeight="1" x14ac:dyDescent="0.25">
      <c r="A8994" s="1"/>
    </row>
    <row r="8995" spans="1:1" ht="46.5" customHeight="1" x14ac:dyDescent="0.25">
      <c r="A8995" s="1"/>
    </row>
    <row r="8996" spans="1:1" ht="46.5" customHeight="1" x14ac:dyDescent="0.25">
      <c r="A8996" s="1"/>
    </row>
    <row r="8997" spans="1:1" ht="46.5" customHeight="1" x14ac:dyDescent="0.25">
      <c r="A8997" s="1"/>
    </row>
    <row r="8998" spans="1:1" ht="46.5" customHeight="1" x14ac:dyDescent="0.25">
      <c r="A8998" s="1"/>
    </row>
    <row r="8999" spans="1:1" ht="46.5" customHeight="1" x14ac:dyDescent="0.25">
      <c r="A8999" s="1"/>
    </row>
    <row r="9000" spans="1:1" ht="46.5" customHeight="1" x14ac:dyDescent="0.25">
      <c r="A9000" s="1"/>
    </row>
    <row r="9001" spans="1:1" ht="46.5" customHeight="1" x14ac:dyDescent="0.25">
      <c r="A9001" s="1"/>
    </row>
    <row r="9002" spans="1:1" ht="46.5" customHeight="1" x14ac:dyDescent="0.25">
      <c r="A9002" s="1"/>
    </row>
    <row r="9003" spans="1:1" ht="46.5" customHeight="1" x14ac:dyDescent="0.25">
      <c r="A9003" s="1"/>
    </row>
    <row r="9004" spans="1:1" ht="46.5" customHeight="1" x14ac:dyDescent="0.25">
      <c r="A9004" s="1"/>
    </row>
    <row r="9005" spans="1:1" ht="46.5" customHeight="1" x14ac:dyDescent="0.25">
      <c r="A9005" s="1"/>
    </row>
    <row r="9006" spans="1:1" ht="46.5" customHeight="1" x14ac:dyDescent="0.25">
      <c r="A9006" s="1"/>
    </row>
    <row r="9007" spans="1:1" ht="46.5" customHeight="1" x14ac:dyDescent="0.25">
      <c r="A9007" s="1"/>
    </row>
    <row r="9008" spans="1:1" ht="46.5" customHeight="1" x14ac:dyDescent="0.25">
      <c r="A9008" s="1"/>
    </row>
    <row r="9009" spans="1:1" ht="46.5" customHeight="1" x14ac:dyDescent="0.25">
      <c r="A9009" s="1"/>
    </row>
    <row r="9010" spans="1:1" ht="46.5" customHeight="1" x14ac:dyDescent="0.25">
      <c r="A9010" s="1"/>
    </row>
    <row r="9011" spans="1:1" ht="46.5" customHeight="1" x14ac:dyDescent="0.25">
      <c r="A9011" s="1"/>
    </row>
    <row r="9012" spans="1:1" ht="46.5" customHeight="1" x14ac:dyDescent="0.25">
      <c r="A9012" s="1"/>
    </row>
    <row r="9013" spans="1:1" ht="46.5" customHeight="1" x14ac:dyDescent="0.25">
      <c r="A9013" s="1"/>
    </row>
    <row r="9014" spans="1:1" ht="46.5" customHeight="1" x14ac:dyDescent="0.25">
      <c r="A9014" s="1"/>
    </row>
    <row r="9015" spans="1:1" ht="46.5" customHeight="1" x14ac:dyDescent="0.25">
      <c r="A9015" s="1"/>
    </row>
    <row r="9016" spans="1:1" ht="46.5" customHeight="1" x14ac:dyDescent="0.25">
      <c r="A9016" s="1"/>
    </row>
    <row r="9017" spans="1:1" ht="46.5" customHeight="1" x14ac:dyDescent="0.25">
      <c r="A9017" s="1"/>
    </row>
    <row r="9018" spans="1:1" ht="46.5" customHeight="1" x14ac:dyDescent="0.25">
      <c r="A9018" s="1"/>
    </row>
    <row r="9019" spans="1:1" ht="46.5" customHeight="1" x14ac:dyDescent="0.25">
      <c r="A9019" s="1"/>
    </row>
    <row r="9020" spans="1:1" ht="46.5" customHeight="1" x14ac:dyDescent="0.25">
      <c r="A9020" s="1"/>
    </row>
    <row r="9021" spans="1:1" ht="46.5" customHeight="1" x14ac:dyDescent="0.25">
      <c r="A9021" s="1"/>
    </row>
    <row r="9022" spans="1:1" ht="46.5" customHeight="1" x14ac:dyDescent="0.25">
      <c r="A9022" s="1"/>
    </row>
    <row r="9023" spans="1:1" ht="46.5" customHeight="1" x14ac:dyDescent="0.25">
      <c r="A9023" s="1"/>
    </row>
    <row r="9024" spans="1:1" ht="46.5" customHeight="1" x14ac:dyDescent="0.25">
      <c r="A9024" s="1"/>
    </row>
    <row r="9025" spans="1:1" ht="46.5" customHeight="1" x14ac:dyDescent="0.25">
      <c r="A9025" s="1"/>
    </row>
    <row r="9026" spans="1:1" ht="46.5" customHeight="1" x14ac:dyDescent="0.25">
      <c r="A9026" s="1"/>
    </row>
    <row r="9027" spans="1:1" ht="46.5" customHeight="1" x14ac:dyDescent="0.25">
      <c r="A9027" s="1"/>
    </row>
    <row r="9028" spans="1:1" ht="46.5" customHeight="1" x14ac:dyDescent="0.25">
      <c r="A9028" s="1"/>
    </row>
    <row r="9029" spans="1:1" ht="46.5" customHeight="1" x14ac:dyDescent="0.25">
      <c r="A9029" s="1"/>
    </row>
    <row r="9030" spans="1:1" ht="46.5" customHeight="1" x14ac:dyDescent="0.25">
      <c r="A9030" s="1"/>
    </row>
    <row r="9031" spans="1:1" ht="46.5" customHeight="1" x14ac:dyDescent="0.25">
      <c r="A9031" s="1"/>
    </row>
    <row r="9032" spans="1:1" ht="46.5" customHeight="1" x14ac:dyDescent="0.25">
      <c r="A9032" s="1"/>
    </row>
    <row r="9033" spans="1:1" ht="46.5" customHeight="1" x14ac:dyDescent="0.25">
      <c r="A9033" s="1"/>
    </row>
    <row r="9034" spans="1:1" ht="46.5" customHeight="1" x14ac:dyDescent="0.25">
      <c r="A9034" s="1"/>
    </row>
    <row r="9035" spans="1:1" ht="46.5" customHeight="1" x14ac:dyDescent="0.25">
      <c r="A9035" s="1"/>
    </row>
    <row r="9036" spans="1:1" ht="46.5" customHeight="1" x14ac:dyDescent="0.25">
      <c r="A9036" s="1"/>
    </row>
    <row r="9037" spans="1:1" ht="46.5" customHeight="1" x14ac:dyDescent="0.25">
      <c r="A9037" s="1"/>
    </row>
    <row r="9038" spans="1:1" ht="46.5" customHeight="1" x14ac:dyDescent="0.25">
      <c r="A9038" s="1"/>
    </row>
    <row r="9039" spans="1:1" ht="46.5" customHeight="1" x14ac:dyDescent="0.25">
      <c r="A9039" s="1"/>
    </row>
    <row r="9040" spans="1:1" ht="46.5" customHeight="1" x14ac:dyDescent="0.25">
      <c r="A9040" s="1"/>
    </row>
    <row r="9041" spans="1:1" ht="46.5" customHeight="1" x14ac:dyDescent="0.25">
      <c r="A9041" s="1"/>
    </row>
    <row r="9042" spans="1:1" ht="46.5" customHeight="1" x14ac:dyDescent="0.25">
      <c r="A9042" s="1"/>
    </row>
    <row r="9043" spans="1:1" ht="46.5" customHeight="1" x14ac:dyDescent="0.25">
      <c r="A9043" s="1"/>
    </row>
    <row r="9044" spans="1:1" ht="46.5" customHeight="1" x14ac:dyDescent="0.25">
      <c r="A9044" s="1"/>
    </row>
    <row r="9045" spans="1:1" ht="46.5" customHeight="1" x14ac:dyDescent="0.25">
      <c r="A9045" s="1"/>
    </row>
    <row r="9046" spans="1:1" ht="46.5" customHeight="1" x14ac:dyDescent="0.25">
      <c r="A9046" s="1"/>
    </row>
    <row r="9047" spans="1:1" ht="46.5" customHeight="1" x14ac:dyDescent="0.25">
      <c r="A9047" s="1"/>
    </row>
    <row r="9048" spans="1:1" ht="46.5" customHeight="1" x14ac:dyDescent="0.25">
      <c r="A9048" s="1"/>
    </row>
    <row r="9049" spans="1:1" ht="46.5" customHeight="1" x14ac:dyDescent="0.25">
      <c r="A9049" s="1"/>
    </row>
    <row r="9050" spans="1:1" ht="46.5" customHeight="1" x14ac:dyDescent="0.25">
      <c r="A9050" s="1"/>
    </row>
    <row r="9051" spans="1:1" ht="46.5" customHeight="1" x14ac:dyDescent="0.25">
      <c r="A9051" s="1"/>
    </row>
    <row r="9052" spans="1:1" ht="46.5" customHeight="1" x14ac:dyDescent="0.25">
      <c r="A9052" s="1"/>
    </row>
    <row r="9053" spans="1:1" ht="46.5" customHeight="1" x14ac:dyDescent="0.25">
      <c r="A9053" s="1"/>
    </row>
    <row r="9054" spans="1:1" ht="46.5" customHeight="1" x14ac:dyDescent="0.25">
      <c r="A9054" s="1"/>
    </row>
    <row r="9055" spans="1:1" ht="46.5" customHeight="1" x14ac:dyDescent="0.25">
      <c r="A9055" s="1"/>
    </row>
    <row r="9056" spans="1:1" ht="46.5" customHeight="1" x14ac:dyDescent="0.25">
      <c r="A9056" s="1"/>
    </row>
    <row r="9057" spans="1:1" ht="46.5" customHeight="1" x14ac:dyDescent="0.25">
      <c r="A9057" s="1"/>
    </row>
    <row r="9058" spans="1:1" ht="46.5" customHeight="1" x14ac:dyDescent="0.25">
      <c r="A9058" s="1"/>
    </row>
    <row r="9059" spans="1:1" ht="46.5" customHeight="1" x14ac:dyDescent="0.25">
      <c r="A9059" s="1"/>
    </row>
    <row r="9060" spans="1:1" ht="46.5" customHeight="1" x14ac:dyDescent="0.25">
      <c r="A9060" s="1"/>
    </row>
    <row r="9061" spans="1:1" ht="46.5" customHeight="1" x14ac:dyDescent="0.25">
      <c r="A9061" s="1"/>
    </row>
    <row r="9062" spans="1:1" ht="46.5" customHeight="1" x14ac:dyDescent="0.25">
      <c r="A9062" s="1"/>
    </row>
    <row r="9063" spans="1:1" ht="46.5" customHeight="1" x14ac:dyDescent="0.25">
      <c r="A9063" s="1"/>
    </row>
    <row r="9064" spans="1:1" ht="46.5" customHeight="1" x14ac:dyDescent="0.25">
      <c r="A9064" s="1"/>
    </row>
    <row r="9065" spans="1:1" ht="46.5" customHeight="1" x14ac:dyDescent="0.25">
      <c r="A9065" s="1"/>
    </row>
    <row r="9066" spans="1:1" ht="46.5" customHeight="1" x14ac:dyDescent="0.25">
      <c r="A9066" s="1"/>
    </row>
    <row r="9067" spans="1:1" ht="46.5" customHeight="1" x14ac:dyDescent="0.25">
      <c r="A9067" s="1"/>
    </row>
    <row r="9068" spans="1:1" ht="46.5" customHeight="1" x14ac:dyDescent="0.25">
      <c r="A9068" s="1"/>
    </row>
    <row r="9069" spans="1:1" ht="46.5" customHeight="1" x14ac:dyDescent="0.25">
      <c r="A9069" s="1"/>
    </row>
    <row r="9070" spans="1:1" ht="46.5" customHeight="1" x14ac:dyDescent="0.25">
      <c r="A9070" s="1"/>
    </row>
    <row r="9071" spans="1:1" ht="46.5" customHeight="1" x14ac:dyDescent="0.25">
      <c r="A9071" s="1"/>
    </row>
    <row r="9072" spans="1:1" ht="46.5" customHeight="1" x14ac:dyDescent="0.25">
      <c r="A9072" s="1"/>
    </row>
    <row r="9073" spans="1:1" ht="46.5" customHeight="1" x14ac:dyDescent="0.25">
      <c r="A9073" s="1"/>
    </row>
    <row r="9074" spans="1:1" ht="46.5" customHeight="1" x14ac:dyDescent="0.25">
      <c r="A9074" s="1"/>
    </row>
    <row r="9075" spans="1:1" ht="46.5" customHeight="1" x14ac:dyDescent="0.25">
      <c r="A9075" s="1"/>
    </row>
    <row r="9076" spans="1:1" ht="46.5" customHeight="1" x14ac:dyDescent="0.25">
      <c r="A9076" s="1"/>
    </row>
    <row r="9077" spans="1:1" ht="46.5" customHeight="1" x14ac:dyDescent="0.25">
      <c r="A9077" s="1"/>
    </row>
    <row r="9078" spans="1:1" ht="46.5" customHeight="1" x14ac:dyDescent="0.25">
      <c r="A9078" s="1"/>
    </row>
    <row r="9079" spans="1:1" ht="46.5" customHeight="1" x14ac:dyDescent="0.25">
      <c r="A9079" s="1"/>
    </row>
    <row r="9080" spans="1:1" ht="46.5" customHeight="1" x14ac:dyDescent="0.25">
      <c r="A9080" s="1"/>
    </row>
    <row r="9081" spans="1:1" ht="46.5" customHeight="1" x14ac:dyDescent="0.25">
      <c r="A9081" s="1"/>
    </row>
    <row r="9082" spans="1:1" ht="46.5" customHeight="1" x14ac:dyDescent="0.25">
      <c r="A9082" s="1"/>
    </row>
    <row r="9083" spans="1:1" ht="46.5" customHeight="1" x14ac:dyDescent="0.25">
      <c r="A9083" s="1"/>
    </row>
    <row r="9084" spans="1:1" ht="46.5" customHeight="1" x14ac:dyDescent="0.25">
      <c r="A9084" s="1"/>
    </row>
    <row r="9085" spans="1:1" ht="46.5" customHeight="1" x14ac:dyDescent="0.25">
      <c r="A9085" s="1"/>
    </row>
    <row r="9086" spans="1:1" ht="46.5" customHeight="1" x14ac:dyDescent="0.25">
      <c r="A9086" s="1"/>
    </row>
    <row r="9087" spans="1:1" ht="46.5" customHeight="1" x14ac:dyDescent="0.25">
      <c r="A9087" s="1"/>
    </row>
    <row r="9088" spans="1:1" ht="46.5" customHeight="1" x14ac:dyDescent="0.25">
      <c r="A9088" s="1"/>
    </row>
    <row r="9089" spans="1:1" ht="46.5" customHeight="1" x14ac:dyDescent="0.25">
      <c r="A9089" s="1"/>
    </row>
    <row r="9090" spans="1:1" ht="46.5" customHeight="1" x14ac:dyDescent="0.25">
      <c r="A9090" s="1"/>
    </row>
    <row r="9091" spans="1:1" ht="46.5" customHeight="1" x14ac:dyDescent="0.25">
      <c r="A9091" s="1"/>
    </row>
    <row r="9092" spans="1:1" ht="46.5" customHeight="1" x14ac:dyDescent="0.25">
      <c r="A9092" s="1"/>
    </row>
    <row r="9093" spans="1:1" ht="46.5" customHeight="1" x14ac:dyDescent="0.25">
      <c r="A9093" s="1"/>
    </row>
    <row r="9094" spans="1:1" ht="46.5" customHeight="1" x14ac:dyDescent="0.25">
      <c r="A9094" s="1"/>
    </row>
    <row r="9095" spans="1:1" ht="46.5" customHeight="1" x14ac:dyDescent="0.25">
      <c r="A9095" s="1"/>
    </row>
    <row r="9096" spans="1:1" ht="46.5" customHeight="1" x14ac:dyDescent="0.25">
      <c r="A9096" s="1"/>
    </row>
    <row r="9097" spans="1:1" ht="46.5" customHeight="1" x14ac:dyDescent="0.25">
      <c r="A9097" s="1"/>
    </row>
    <row r="9098" spans="1:1" ht="46.5" customHeight="1" x14ac:dyDescent="0.25">
      <c r="A9098" s="1"/>
    </row>
    <row r="9099" spans="1:1" ht="46.5" customHeight="1" x14ac:dyDescent="0.25">
      <c r="A9099" s="1"/>
    </row>
    <row r="9100" spans="1:1" ht="46.5" customHeight="1" x14ac:dyDescent="0.25">
      <c r="A9100" s="1"/>
    </row>
    <row r="9101" spans="1:1" ht="46.5" customHeight="1" x14ac:dyDescent="0.25">
      <c r="A9101" s="1"/>
    </row>
    <row r="9102" spans="1:1" ht="46.5" customHeight="1" x14ac:dyDescent="0.25">
      <c r="A9102" s="1"/>
    </row>
    <row r="9103" spans="1:1" ht="46.5" customHeight="1" x14ac:dyDescent="0.25">
      <c r="A9103" s="1"/>
    </row>
    <row r="9104" spans="1:1" ht="46.5" customHeight="1" x14ac:dyDescent="0.25">
      <c r="A9104" s="1"/>
    </row>
    <row r="9105" spans="1:1" ht="46.5" customHeight="1" x14ac:dyDescent="0.25">
      <c r="A9105" s="1"/>
    </row>
    <row r="9106" spans="1:1" ht="46.5" customHeight="1" x14ac:dyDescent="0.25">
      <c r="A9106" s="1"/>
    </row>
    <row r="9107" spans="1:1" ht="46.5" customHeight="1" x14ac:dyDescent="0.25">
      <c r="A9107" s="1"/>
    </row>
    <row r="9108" spans="1:1" ht="46.5" customHeight="1" x14ac:dyDescent="0.25">
      <c r="A9108" s="1"/>
    </row>
    <row r="9109" spans="1:1" ht="46.5" customHeight="1" x14ac:dyDescent="0.25">
      <c r="A9109" s="1"/>
    </row>
    <row r="9110" spans="1:1" ht="46.5" customHeight="1" x14ac:dyDescent="0.25">
      <c r="A9110" s="1"/>
    </row>
    <row r="9111" spans="1:1" ht="46.5" customHeight="1" x14ac:dyDescent="0.25">
      <c r="A9111" s="1"/>
    </row>
    <row r="9112" spans="1:1" ht="46.5" customHeight="1" x14ac:dyDescent="0.25">
      <c r="A9112" s="1"/>
    </row>
    <row r="9113" spans="1:1" ht="46.5" customHeight="1" x14ac:dyDescent="0.25">
      <c r="A9113" s="1"/>
    </row>
    <row r="9114" spans="1:1" ht="46.5" customHeight="1" x14ac:dyDescent="0.25">
      <c r="A9114" s="1"/>
    </row>
    <row r="9115" spans="1:1" ht="46.5" customHeight="1" x14ac:dyDescent="0.25">
      <c r="A9115" s="1"/>
    </row>
    <row r="9116" spans="1:1" ht="46.5" customHeight="1" x14ac:dyDescent="0.25">
      <c r="A9116" s="1"/>
    </row>
    <row r="9117" spans="1:1" ht="46.5" customHeight="1" x14ac:dyDescent="0.25">
      <c r="A9117" s="1"/>
    </row>
    <row r="9118" spans="1:1" ht="46.5" customHeight="1" x14ac:dyDescent="0.25">
      <c r="A9118" s="1"/>
    </row>
    <row r="9119" spans="1:1" ht="46.5" customHeight="1" x14ac:dyDescent="0.25">
      <c r="A9119" s="1"/>
    </row>
    <row r="9120" spans="1:1" ht="46.5" customHeight="1" x14ac:dyDescent="0.25">
      <c r="A9120" s="1"/>
    </row>
    <row r="9121" spans="1:1" ht="46.5" customHeight="1" x14ac:dyDescent="0.25">
      <c r="A9121" s="1"/>
    </row>
    <row r="9122" spans="1:1" ht="46.5" customHeight="1" x14ac:dyDescent="0.25">
      <c r="A9122" s="1"/>
    </row>
    <row r="9123" spans="1:1" ht="46.5" customHeight="1" x14ac:dyDescent="0.25">
      <c r="A9123" s="1"/>
    </row>
    <row r="9124" spans="1:1" ht="46.5" customHeight="1" x14ac:dyDescent="0.25">
      <c r="A9124" s="1"/>
    </row>
    <row r="9125" spans="1:1" ht="46.5" customHeight="1" x14ac:dyDescent="0.25">
      <c r="A9125" s="1"/>
    </row>
    <row r="9126" spans="1:1" ht="46.5" customHeight="1" x14ac:dyDescent="0.25">
      <c r="A9126" s="1"/>
    </row>
    <row r="9127" spans="1:1" ht="46.5" customHeight="1" x14ac:dyDescent="0.25">
      <c r="A9127" s="1"/>
    </row>
    <row r="9128" spans="1:1" ht="46.5" customHeight="1" x14ac:dyDescent="0.25">
      <c r="A9128" s="1"/>
    </row>
    <row r="9129" spans="1:1" ht="46.5" customHeight="1" x14ac:dyDescent="0.25">
      <c r="A9129" s="1"/>
    </row>
    <row r="9130" spans="1:1" ht="46.5" customHeight="1" x14ac:dyDescent="0.25">
      <c r="A9130" s="1"/>
    </row>
    <row r="9131" spans="1:1" ht="46.5" customHeight="1" x14ac:dyDescent="0.25">
      <c r="A9131" s="1"/>
    </row>
    <row r="9132" spans="1:1" ht="46.5" customHeight="1" x14ac:dyDescent="0.25">
      <c r="A9132" s="1"/>
    </row>
    <row r="9133" spans="1:1" ht="46.5" customHeight="1" x14ac:dyDescent="0.25">
      <c r="A9133" s="1"/>
    </row>
    <row r="9134" spans="1:1" ht="46.5" customHeight="1" x14ac:dyDescent="0.25">
      <c r="A9134" s="1"/>
    </row>
    <row r="9135" spans="1:1" ht="46.5" customHeight="1" x14ac:dyDescent="0.25">
      <c r="A9135" s="1"/>
    </row>
    <row r="9136" spans="1:1" ht="46.5" customHeight="1" x14ac:dyDescent="0.25">
      <c r="A9136" s="1"/>
    </row>
    <row r="9137" spans="1:1" ht="46.5" customHeight="1" x14ac:dyDescent="0.25">
      <c r="A9137" s="1"/>
    </row>
    <row r="9138" spans="1:1" ht="46.5" customHeight="1" x14ac:dyDescent="0.25">
      <c r="A9138" s="1"/>
    </row>
    <row r="9139" spans="1:1" ht="46.5" customHeight="1" x14ac:dyDescent="0.25">
      <c r="A9139" s="1"/>
    </row>
    <row r="9140" spans="1:1" ht="46.5" customHeight="1" x14ac:dyDescent="0.25">
      <c r="A9140" s="1"/>
    </row>
    <row r="9141" spans="1:1" ht="46.5" customHeight="1" x14ac:dyDescent="0.25">
      <c r="A9141" s="1"/>
    </row>
    <row r="9142" spans="1:1" ht="46.5" customHeight="1" x14ac:dyDescent="0.25">
      <c r="A9142" s="1"/>
    </row>
    <row r="9143" spans="1:1" ht="46.5" customHeight="1" x14ac:dyDescent="0.25">
      <c r="A9143" s="1"/>
    </row>
    <row r="9144" spans="1:1" ht="46.5" customHeight="1" x14ac:dyDescent="0.25">
      <c r="A9144" s="1"/>
    </row>
    <row r="9145" spans="1:1" ht="46.5" customHeight="1" x14ac:dyDescent="0.25">
      <c r="A9145" s="1"/>
    </row>
    <row r="9146" spans="1:1" ht="46.5" customHeight="1" x14ac:dyDescent="0.25">
      <c r="A9146" s="1"/>
    </row>
    <row r="9147" spans="1:1" ht="46.5" customHeight="1" x14ac:dyDescent="0.25">
      <c r="A9147" s="1"/>
    </row>
    <row r="9148" spans="1:1" ht="46.5" customHeight="1" x14ac:dyDescent="0.25">
      <c r="A9148" s="1"/>
    </row>
    <row r="9149" spans="1:1" ht="46.5" customHeight="1" x14ac:dyDescent="0.25">
      <c r="A9149" s="1"/>
    </row>
    <row r="9150" spans="1:1" ht="46.5" customHeight="1" x14ac:dyDescent="0.25">
      <c r="A9150" s="1"/>
    </row>
    <row r="9151" spans="1:1" ht="46.5" customHeight="1" x14ac:dyDescent="0.25">
      <c r="A9151" s="1"/>
    </row>
    <row r="9152" spans="1:1" ht="46.5" customHeight="1" x14ac:dyDescent="0.25">
      <c r="A9152" s="1"/>
    </row>
    <row r="9153" spans="1:1" ht="46.5" customHeight="1" x14ac:dyDescent="0.25">
      <c r="A9153" s="1"/>
    </row>
    <row r="9154" spans="1:1" ht="46.5" customHeight="1" x14ac:dyDescent="0.25">
      <c r="A9154" s="1"/>
    </row>
    <row r="9155" spans="1:1" ht="46.5" customHeight="1" x14ac:dyDescent="0.25">
      <c r="A9155" s="1"/>
    </row>
    <row r="9156" spans="1:1" ht="46.5" customHeight="1" x14ac:dyDescent="0.25">
      <c r="A9156" s="1"/>
    </row>
    <row r="9157" spans="1:1" ht="46.5" customHeight="1" x14ac:dyDescent="0.25">
      <c r="A9157" s="1"/>
    </row>
    <row r="9158" spans="1:1" ht="46.5" customHeight="1" x14ac:dyDescent="0.25">
      <c r="A9158" s="1"/>
    </row>
    <row r="9159" spans="1:1" ht="46.5" customHeight="1" x14ac:dyDescent="0.25">
      <c r="A9159" s="1"/>
    </row>
    <row r="9160" spans="1:1" ht="46.5" customHeight="1" x14ac:dyDescent="0.25">
      <c r="A9160" s="1"/>
    </row>
    <row r="9161" spans="1:1" ht="46.5" customHeight="1" x14ac:dyDescent="0.25">
      <c r="A9161" s="1"/>
    </row>
    <row r="9162" spans="1:1" ht="46.5" customHeight="1" x14ac:dyDescent="0.25">
      <c r="A9162" s="1"/>
    </row>
    <row r="9163" spans="1:1" ht="46.5" customHeight="1" x14ac:dyDescent="0.25">
      <c r="A9163" s="1"/>
    </row>
    <row r="9164" spans="1:1" ht="46.5" customHeight="1" x14ac:dyDescent="0.25">
      <c r="A9164" s="1"/>
    </row>
    <row r="9165" spans="1:1" ht="46.5" customHeight="1" x14ac:dyDescent="0.25">
      <c r="A9165" s="1"/>
    </row>
    <row r="9166" spans="1:1" ht="46.5" customHeight="1" x14ac:dyDescent="0.25">
      <c r="A9166" s="1"/>
    </row>
    <row r="9167" spans="1:1" ht="46.5" customHeight="1" x14ac:dyDescent="0.25">
      <c r="A9167" s="1"/>
    </row>
    <row r="9168" spans="1:1" ht="46.5" customHeight="1" x14ac:dyDescent="0.25">
      <c r="A9168" s="1"/>
    </row>
    <row r="9169" spans="1:1" ht="46.5" customHeight="1" x14ac:dyDescent="0.25">
      <c r="A9169" s="1"/>
    </row>
    <row r="9170" spans="1:1" ht="46.5" customHeight="1" x14ac:dyDescent="0.25">
      <c r="A9170" s="1"/>
    </row>
    <row r="9171" spans="1:1" ht="46.5" customHeight="1" x14ac:dyDescent="0.25">
      <c r="A9171" s="1"/>
    </row>
    <row r="9172" spans="1:1" ht="46.5" customHeight="1" x14ac:dyDescent="0.25">
      <c r="A9172" s="1"/>
    </row>
    <row r="9173" spans="1:1" ht="46.5" customHeight="1" x14ac:dyDescent="0.25">
      <c r="A9173" s="1"/>
    </row>
    <row r="9174" spans="1:1" ht="46.5" customHeight="1" x14ac:dyDescent="0.25">
      <c r="A9174" s="1"/>
    </row>
    <row r="9175" spans="1:1" ht="46.5" customHeight="1" x14ac:dyDescent="0.25">
      <c r="A9175" s="1"/>
    </row>
    <row r="9176" spans="1:1" ht="46.5" customHeight="1" x14ac:dyDescent="0.25">
      <c r="A9176" s="1"/>
    </row>
    <row r="9177" spans="1:1" ht="46.5" customHeight="1" x14ac:dyDescent="0.25">
      <c r="A9177" s="1"/>
    </row>
    <row r="9178" spans="1:1" ht="46.5" customHeight="1" x14ac:dyDescent="0.25">
      <c r="A9178" s="1"/>
    </row>
    <row r="9179" spans="1:1" ht="46.5" customHeight="1" x14ac:dyDescent="0.25">
      <c r="A9179" s="1"/>
    </row>
    <row r="9180" spans="1:1" ht="46.5" customHeight="1" x14ac:dyDescent="0.25">
      <c r="A9180" s="1"/>
    </row>
    <row r="9181" spans="1:1" ht="46.5" customHeight="1" x14ac:dyDescent="0.25">
      <c r="A9181" s="1"/>
    </row>
    <row r="9182" spans="1:1" ht="46.5" customHeight="1" x14ac:dyDescent="0.25">
      <c r="A9182" s="1"/>
    </row>
    <row r="9183" spans="1:1" ht="46.5" customHeight="1" x14ac:dyDescent="0.25">
      <c r="A9183" s="1"/>
    </row>
    <row r="9184" spans="1:1" ht="46.5" customHeight="1" x14ac:dyDescent="0.25">
      <c r="A9184" s="1"/>
    </row>
    <row r="9185" spans="1:1" ht="46.5" customHeight="1" x14ac:dyDescent="0.25">
      <c r="A9185" s="1"/>
    </row>
    <row r="9186" spans="1:1" ht="46.5" customHeight="1" x14ac:dyDescent="0.25">
      <c r="A9186" s="1"/>
    </row>
    <row r="9187" spans="1:1" ht="46.5" customHeight="1" x14ac:dyDescent="0.25">
      <c r="A9187" s="1"/>
    </row>
    <row r="9188" spans="1:1" ht="46.5" customHeight="1" x14ac:dyDescent="0.25">
      <c r="A9188" s="1"/>
    </row>
    <row r="9189" spans="1:1" ht="46.5" customHeight="1" x14ac:dyDescent="0.25">
      <c r="A9189" s="1"/>
    </row>
    <row r="9190" spans="1:1" ht="46.5" customHeight="1" x14ac:dyDescent="0.25">
      <c r="A9190" s="1"/>
    </row>
    <row r="9191" spans="1:1" ht="46.5" customHeight="1" x14ac:dyDescent="0.25">
      <c r="A9191" s="1"/>
    </row>
    <row r="9192" spans="1:1" ht="46.5" customHeight="1" x14ac:dyDescent="0.25">
      <c r="A9192" s="1"/>
    </row>
    <row r="9193" spans="1:1" ht="46.5" customHeight="1" x14ac:dyDescent="0.25">
      <c r="A9193" s="1"/>
    </row>
    <row r="9194" spans="1:1" ht="46.5" customHeight="1" x14ac:dyDescent="0.25">
      <c r="A9194" s="1"/>
    </row>
    <row r="9195" spans="1:1" ht="46.5" customHeight="1" x14ac:dyDescent="0.25">
      <c r="A9195" s="1"/>
    </row>
    <row r="9196" spans="1:1" ht="46.5" customHeight="1" x14ac:dyDescent="0.25">
      <c r="A9196" s="1"/>
    </row>
    <row r="9197" spans="1:1" ht="46.5" customHeight="1" x14ac:dyDescent="0.25">
      <c r="A9197" s="1"/>
    </row>
    <row r="9198" spans="1:1" ht="46.5" customHeight="1" x14ac:dyDescent="0.25">
      <c r="A9198" s="1"/>
    </row>
    <row r="9199" spans="1:1" ht="46.5" customHeight="1" x14ac:dyDescent="0.25">
      <c r="A9199" s="1"/>
    </row>
    <row r="9200" spans="1:1" ht="46.5" customHeight="1" x14ac:dyDescent="0.25">
      <c r="A9200" s="1"/>
    </row>
    <row r="9201" spans="1:1" ht="46.5" customHeight="1" x14ac:dyDescent="0.25">
      <c r="A9201" s="1"/>
    </row>
    <row r="9202" spans="1:1" ht="46.5" customHeight="1" x14ac:dyDescent="0.25">
      <c r="A9202" s="1"/>
    </row>
    <row r="9203" spans="1:1" ht="46.5" customHeight="1" x14ac:dyDescent="0.25">
      <c r="A9203" s="1"/>
    </row>
    <row r="9204" spans="1:1" ht="46.5" customHeight="1" x14ac:dyDescent="0.25">
      <c r="A9204" s="1"/>
    </row>
    <row r="9205" spans="1:1" ht="46.5" customHeight="1" x14ac:dyDescent="0.25">
      <c r="A9205" s="1"/>
    </row>
    <row r="9206" spans="1:1" ht="46.5" customHeight="1" x14ac:dyDescent="0.25">
      <c r="A9206" s="1"/>
    </row>
    <row r="9207" spans="1:1" ht="46.5" customHeight="1" x14ac:dyDescent="0.25">
      <c r="A9207" s="1"/>
    </row>
    <row r="9208" spans="1:1" ht="46.5" customHeight="1" x14ac:dyDescent="0.25">
      <c r="A9208" s="1"/>
    </row>
    <row r="9209" spans="1:1" ht="46.5" customHeight="1" x14ac:dyDescent="0.25">
      <c r="A9209" s="1"/>
    </row>
    <row r="9210" spans="1:1" ht="46.5" customHeight="1" x14ac:dyDescent="0.25">
      <c r="A9210" s="1"/>
    </row>
    <row r="9211" spans="1:1" ht="46.5" customHeight="1" x14ac:dyDescent="0.25">
      <c r="A9211" s="1"/>
    </row>
    <row r="9212" spans="1:1" ht="46.5" customHeight="1" x14ac:dyDescent="0.25">
      <c r="A9212" s="1"/>
    </row>
    <row r="9213" spans="1:1" ht="46.5" customHeight="1" x14ac:dyDescent="0.25">
      <c r="A9213" s="1"/>
    </row>
    <row r="9214" spans="1:1" ht="46.5" customHeight="1" x14ac:dyDescent="0.25">
      <c r="A9214" s="1"/>
    </row>
    <row r="9215" spans="1:1" ht="46.5" customHeight="1" x14ac:dyDescent="0.25">
      <c r="A9215" s="1"/>
    </row>
    <row r="9216" spans="1:1" ht="46.5" customHeight="1" x14ac:dyDescent="0.25">
      <c r="A9216" s="1"/>
    </row>
    <row r="9217" spans="1:1" ht="46.5" customHeight="1" x14ac:dyDescent="0.25">
      <c r="A9217" s="1"/>
    </row>
    <row r="9218" spans="1:1" ht="46.5" customHeight="1" x14ac:dyDescent="0.25">
      <c r="A9218" s="1"/>
    </row>
    <row r="9219" spans="1:1" ht="46.5" customHeight="1" x14ac:dyDescent="0.25">
      <c r="A9219" s="1"/>
    </row>
    <row r="9220" spans="1:1" ht="46.5" customHeight="1" x14ac:dyDescent="0.25">
      <c r="A9220" s="1"/>
    </row>
    <row r="9221" spans="1:1" ht="46.5" customHeight="1" x14ac:dyDescent="0.25">
      <c r="A9221" s="1"/>
    </row>
    <row r="9222" spans="1:1" ht="46.5" customHeight="1" x14ac:dyDescent="0.25">
      <c r="A9222" s="1"/>
    </row>
    <row r="9223" spans="1:1" ht="46.5" customHeight="1" x14ac:dyDescent="0.25">
      <c r="A9223" s="1"/>
    </row>
    <row r="9224" spans="1:1" ht="46.5" customHeight="1" x14ac:dyDescent="0.25">
      <c r="A9224" s="1"/>
    </row>
    <row r="9225" spans="1:1" ht="46.5" customHeight="1" x14ac:dyDescent="0.25">
      <c r="A9225" s="1"/>
    </row>
    <row r="9226" spans="1:1" ht="46.5" customHeight="1" x14ac:dyDescent="0.25">
      <c r="A9226" s="1"/>
    </row>
    <row r="9227" spans="1:1" ht="46.5" customHeight="1" x14ac:dyDescent="0.25">
      <c r="A9227" s="1"/>
    </row>
    <row r="9228" spans="1:1" ht="46.5" customHeight="1" x14ac:dyDescent="0.25">
      <c r="A9228" s="1"/>
    </row>
    <row r="9229" spans="1:1" ht="46.5" customHeight="1" x14ac:dyDescent="0.25">
      <c r="A9229" s="1"/>
    </row>
    <row r="9230" spans="1:1" ht="46.5" customHeight="1" x14ac:dyDescent="0.25">
      <c r="A9230" s="1"/>
    </row>
    <row r="9231" spans="1:1" ht="46.5" customHeight="1" x14ac:dyDescent="0.25">
      <c r="A9231" s="1"/>
    </row>
    <row r="9232" spans="1:1" ht="46.5" customHeight="1" x14ac:dyDescent="0.25">
      <c r="A9232" s="1"/>
    </row>
    <row r="9233" spans="1:1" ht="46.5" customHeight="1" x14ac:dyDescent="0.25">
      <c r="A9233" s="1"/>
    </row>
    <row r="9234" spans="1:1" ht="46.5" customHeight="1" x14ac:dyDescent="0.25">
      <c r="A9234" s="1"/>
    </row>
    <row r="9235" spans="1:1" ht="46.5" customHeight="1" x14ac:dyDescent="0.25">
      <c r="A9235" s="1"/>
    </row>
    <row r="9236" spans="1:1" ht="46.5" customHeight="1" x14ac:dyDescent="0.25">
      <c r="A9236" s="1"/>
    </row>
    <row r="9237" spans="1:1" ht="46.5" customHeight="1" x14ac:dyDescent="0.25">
      <c r="A9237" s="1"/>
    </row>
    <row r="9238" spans="1:1" ht="46.5" customHeight="1" x14ac:dyDescent="0.25">
      <c r="A9238" s="1"/>
    </row>
    <row r="9239" spans="1:1" ht="46.5" customHeight="1" x14ac:dyDescent="0.25">
      <c r="A9239" s="1"/>
    </row>
    <row r="9240" spans="1:1" ht="46.5" customHeight="1" x14ac:dyDescent="0.25">
      <c r="A9240" s="1"/>
    </row>
    <row r="9241" spans="1:1" ht="46.5" customHeight="1" x14ac:dyDescent="0.25">
      <c r="A9241" s="1"/>
    </row>
    <row r="9242" spans="1:1" ht="46.5" customHeight="1" x14ac:dyDescent="0.25">
      <c r="A9242" s="1"/>
    </row>
    <row r="9243" spans="1:1" ht="46.5" customHeight="1" x14ac:dyDescent="0.25">
      <c r="A9243" s="1"/>
    </row>
    <row r="9244" spans="1:1" ht="46.5" customHeight="1" x14ac:dyDescent="0.25">
      <c r="A9244" s="1"/>
    </row>
    <row r="9245" spans="1:1" ht="46.5" customHeight="1" x14ac:dyDescent="0.25">
      <c r="A9245" s="1"/>
    </row>
    <row r="9246" spans="1:1" ht="46.5" customHeight="1" x14ac:dyDescent="0.25">
      <c r="A9246" s="1"/>
    </row>
    <row r="9247" spans="1:1" ht="46.5" customHeight="1" x14ac:dyDescent="0.25">
      <c r="A9247" s="1"/>
    </row>
    <row r="9248" spans="1:1" ht="46.5" customHeight="1" x14ac:dyDescent="0.25">
      <c r="A9248" s="1"/>
    </row>
    <row r="9249" spans="1:1" ht="46.5" customHeight="1" x14ac:dyDescent="0.25">
      <c r="A9249" s="1"/>
    </row>
    <row r="9250" spans="1:1" ht="46.5" customHeight="1" x14ac:dyDescent="0.25">
      <c r="A9250" s="1"/>
    </row>
    <row r="9251" spans="1:1" ht="46.5" customHeight="1" x14ac:dyDescent="0.25">
      <c r="A9251" s="1"/>
    </row>
    <row r="9252" spans="1:1" ht="46.5" customHeight="1" x14ac:dyDescent="0.25">
      <c r="A9252" s="1"/>
    </row>
    <row r="9253" spans="1:1" ht="46.5" customHeight="1" x14ac:dyDescent="0.25">
      <c r="A9253" s="1"/>
    </row>
    <row r="9254" spans="1:1" ht="46.5" customHeight="1" x14ac:dyDescent="0.25">
      <c r="A9254" s="1"/>
    </row>
    <row r="9255" spans="1:1" ht="46.5" customHeight="1" x14ac:dyDescent="0.25">
      <c r="A9255" s="1"/>
    </row>
    <row r="9256" spans="1:1" ht="46.5" customHeight="1" x14ac:dyDescent="0.25">
      <c r="A9256" s="1"/>
    </row>
    <row r="9257" spans="1:1" ht="46.5" customHeight="1" x14ac:dyDescent="0.25">
      <c r="A9257" s="1"/>
    </row>
    <row r="9258" spans="1:1" ht="46.5" customHeight="1" x14ac:dyDescent="0.25">
      <c r="A9258" s="1"/>
    </row>
    <row r="9259" spans="1:1" ht="46.5" customHeight="1" x14ac:dyDescent="0.25">
      <c r="A9259" s="1"/>
    </row>
    <row r="9260" spans="1:1" ht="46.5" customHeight="1" x14ac:dyDescent="0.25">
      <c r="A9260" s="1"/>
    </row>
    <row r="9261" spans="1:1" ht="46.5" customHeight="1" x14ac:dyDescent="0.25">
      <c r="A9261" s="1"/>
    </row>
    <row r="9262" spans="1:1" ht="46.5" customHeight="1" x14ac:dyDescent="0.25">
      <c r="A9262" s="1"/>
    </row>
    <row r="9263" spans="1:1" ht="46.5" customHeight="1" x14ac:dyDescent="0.25">
      <c r="A9263" s="1"/>
    </row>
    <row r="9264" spans="1:1" ht="46.5" customHeight="1" x14ac:dyDescent="0.25">
      <c r="A9264" s="1"/>
    </row>
    <row r="9265" spans="1:1" ht="46.5" customHeight="1" x14ac:dyDescent="0.25">
      <c r="A9265" s="1"/>
    </row>
    <row r="9266" spans="1:1" ht="46.5" customHeight="1" x14ac:dyDescent="0.25">
      <c r="A9266" s="1"/>
    </row>
    <row r="9267" spans="1:1" ht="46.5" customHeight="1" x14ac:dyDescent="0.25">
      <c r="A9267" s="1"/>
    </row>
    <row r="9268" spans="1:1" ht="46.5" customHeight="1" x14ac:dyDescent="0.25">
      <c r="A9268" s="1"/>
    </row>
    <row r="9269" spans="1:1" ht="46.5" customHeight="1" x14ac:dyDescent="0.25">
      <c r="A9269" s="1"/>
    </row>
    <row r="9270" spans="1:1" ht="46.5" customHeight="1" x14ac:dyDescent="0.25">
      <c r="A9270" s="1"/>
    </row>
    <row r="9271" spans="1:1" ht="46.5" customHeight="1" x14ac:dyDescent="0.25">
      <c r="A9271" s="1"/>
    </row>
    <row r="9272" spans="1:1" ht="46.5" customHeight="1" x14ac:dyDescent="0.25">
      <c r="A9272" s="1"/>
    </row>
    <row r="9273" spans="1:1" ht="46.5" customHeight="1" x14ac:dyDescent="0.25">
      <c r="A9273" s="1"/>
    </row>
    <row r="9274" spans="1:1" ht="46.5" customHeight="1" x14ac:dyDescent="0.25">
      <c r="A9274" s="1"/>
    </row>
    <row r="9275" spans="1:1" ht="46.5" customHeight="1" x14ac:dyDescent="0.25">
      <c r="A9275" s="1"/>
    </row>
    <row r="9276" spans="1:1" ht="46.5" customHeight="1" x14ac:dyDescent="0.25">
      <c r="A9276" s="1"/>
    </row>
    <row r="9277" spans="1:1" ht="46.5" customHeight="1" x14ac:dyDescent="0.25">
      <c r="A9277" s="1"/>
    </row>
    <row r="9278" spans="1:1" ht="46.5" customHeight="1" x14ac:dyDescent="0.25">
      <c r="A9278" s="1"/>
    </row>
    <row r="9279" spans="1:1" ht="46.5" customHeight="1" x14ac:dyDescent="0.25">
      <c r="A9279" s="1"/>
    </row>
    <row r="9280" spans="1:1" ht="46.5" customHeight="1" x14ac:dyDescent="0.25">
      <c r="A9280" s="1"/>
    </row>
    <row r="9281" spans="1:1" ht="46.5" customHeight="1" x14ac:dyDescent="0.25">
      <c r="A9281" s="1"/>
    </row>
    <row r="9282" spans="1:1" ht="46.5" customHeight="1" x14ac:dyDescent="0.25">
      <c r="A9282" s="1"/>
    </row>
    <row r="9283" spans="1:1" ht="46.5" customHeight="1" x14ac:dyDescent="0.25">
      <c r="A9283" s="1"/>
    </row>
    <row r="9284" spans="1:1" ht="46.5" customHeight="1" x14ac:dyDescent="0.25">
      <c r="A9284" s="1"/>
    </row>
    <row r="9285" spans="1:1" ht="46.5" customHeight="1" x14ac:dyDescent="0.25">
      <c r="A9285" s="1"/>
    </row>
    <row r="9286" spans="1:1" ht="46.5" customHeight="1" x14ac:dyDescent="0.25">
      <c r="A9286" s="1"/>
    </row>
    <row r="9287" spans="1:1" ht="46.5" customHeight="1" x14ac:dyDescent="0.25">
      <c r="A9287" s="1"/>
    </row>
    <row r="9288" spans="1:1" ht="46.5" customHeight="1" x14ac:dyDescent="0.25">
      <c r="A9288" s="1"/>
    </row>
    <row r="9289" spans="1:1" ht="46.5" customHeight="1" x14ac:dyDescent="0.25">
      <c r="A9289" s="1"/>
    </row>
    <row r="9290" spans="1:1" ht="46.5" customHeight="1" x14ac:dyDescent="0.25">
      <c r="A9290" s="1"/>
    </row>
    <row r="9291" spans="1:1" ht="46.5" customHeight="1" x14ac:dyDescent="0.25">
      <c r="A9291" s="1"/>
    </row>
    <row r="9292" spans="1:1" ht="46.5" customHeight="1" x14ac:dyDescent="0.25">
      <c r="A9292" s="1"/>
    </row>
    <row r="9293" spans="1:1" ht="46.5" customHeight="1" x14ac:dyDescent="0.25">
      <c r="A9293" s="1"/>
    </row>
    <row r="9294" spans="1:1" ht="46.5" customHeight="1" x14ac:dyDescent="0.25">
      <c r="A9294" s="1"/>
    </row>
    <row r="9295" spans="1:1" ht="46.5" customHeight="1" x14ac:dyDescent="0.25">
      <c r="A9295" s="1"/>
    </row>
    <row r="9296" spans="1:1" ht="46.5" customHeight="1" x14ac:dyDescent="0.25">
      <c r="A9296" s="1"/>
    </row>
    <row r="9297" spans="1:1" ht="46.5" customHeight="1" x14ac:dyDescent="0.25">
      <c r="A9297" s="1"/>
    </row>
    <row r="9298" spans="1:1" ht="46.5" customHeight="1" x14ac:dyDescent="0.25">
      <c r="A9298" s="1"/>
    </row>
    <row r="9299" spans="1:1" ht="46.5" customHeight="1" x14ac:dyDescent="0.25">
      <c r="A9299" s="1"/>
    </row>
    <row r="9300" spans="1:1" ht="46.5" customHeight="1" x14ac:dyDescent="0.25">
      <c r="A9300" s="1"/>
    </row>
    <row r="9301" spans="1:1" ht="46.5" customHeight="1" x14ac:dyDescent="0.25">
      <c r="A9301" s="1"/>
    </row>
    <row r="9302" spans="1:1" ht="46.5" customHeight="1" x14ac:dyDescent="0.25">
      <c r="A9302" s="1"/>
    </row>
    <row r="9303" spans="1:1" ht="46.5" customHeight="1" x14ac:dyDescent="0.25">
      <c r="A9303" s="1"/>
    </row>
    <row r="9304" spans="1:1" ht="46.5" customHeight="1" x14ac:dyDescent="0.25">
      <c r="A9304" s="1"/>
    </row>
    <row r="9305" spans="1:1" ht="46.5" customHeight="1" x14ac:dyDescent="0.25">
      <c r="A9305" s="1"/>
    </row>
    <row r="9306" spans="1:1" ht="46.5" customHeight="1" x14ac:dyDescent="0.25">
      <c r="A9306" s="1"/>
    </row>
    <row r="9307" spans="1:1" ht="46.5" customHeight="1" x14ac:dyDescent="0.25">
      <c r="A9307" s="1"/>
    </row>
    <row r="9308" spans="1:1" ht="46.5" customHeight="1" x14ac:dyDescent="0.25">
      <c r="A9308" s="1"/>
    </row>
    <row r="9309" spans="1:1" ht="46.5" customHeight="1" x14ac:dyDescent="0.25">
      <c r="A9309" s="1"/>
    </row>
    <row r="9310" spans="1:1" ht="46.5" customHeight="1" x14ac:dyDescent="0.25">
      <c r="A9310" s="1"/>
    </row>
    <row r="9311" spans="1:1" ht="46.5" customHeight="1" x14ac:dyDescent="0.25">
      <c r="A9311" s="1"/>
    </row>
    <row r="9312" spans="1:1" ht="46.5" customHeight="1" x14ac:dyDescent="0.25">
      <c r="A9312" s="1"/>
    </row>
    <row r="9313" spans="1:1" ht="46.5" customHeight="1" x14ac:dyDescent="0.25">
      <c r="A9313" s="1"/>
    </row>
    <row r="9314" spans="1:1" ht="46.5" customHeight="1" x14ac:dyDescent="0.25">
      <c r="A9314" s="1"/>
    </row>
    <row r="9315" spans="1:1" ht="46.5" customHeight="1" x14ac:dyDescent="0.25">
      <c r="A9315" s="1"/>
    </row>
    <row r="9316" spans="1:1" ht="46.5" customHeight="1" x14ac:dyDescent="0.25">
      <c r="A9316" s="1"/>
    </row>
    <row r="9317" spans="1:1" ht="46.5" customHeight="1" x14ac:dyDescent="0.25">
      <c r="A9317" s="1"/>
    </row>
    <row r="9318" spans="1:1" ht="46.5" customHeight="1" x14ac:dyDescent="0.25">
      <c r="A9318" s="1"/>
    </row>
    <row r="9319" spans="1:1" ht="46.5" customHeight="1" x14ac:dyDescent="0.25">
      <c r="A9319" s="1"/>
    </row>
    <row r="9320" spans="1:1" ht="46.5" customHeight="1" x14ac:dyDescent="0.25">
      <c r="A9320" s="1"/>
    </row>
    <row r="9321" spans="1:1" ht="46.5" customHeight="1" x14ac:dyDescent="0.25">
      <c r="A9321" s="1"/>
    </row>
    <row r="9322" spans="1:1" ht="46.5" customHeight="1" x14ac:dyDescent="0.25">
      <c r="A9322" s="1"/>
    </row>
    <row r="9323" spans="1:1" ht="46.5" customHeight="1" x14ac:dyDescent="0.25">
      <c r="A9323" s="1"/>
    </row>
    <row r="9324" spans="1:1" ht="46.5" customHeight="1" x14ac:dyDescent="0.25">
      <c r="A9324" s="1"/>
    </row>
    <row r="9325" spans="1:1" ht="46.5" customHeight="1" x14ac:dyDescent="0.25">
      <c r="A9325" s="1"/>
    </row>
    <row r="9326" spans="1:1" ht="46.5" customHeight="1" x14ac:dyDescent="0.25">
      <c r="A9326" s="1"/>
    </row>
    <row r="9327" spans="1:1" ht="46.5" customHeight="1" x14ac:dyDescent="0.25">
      <c r="A9327" s="1"/>
    </row>
    <row r="9328" spans="1:1" ht="46.5" customHeight="1" x14ac:dyDescent="0.25">
      <c r="A9328" s="1"/>
    </row>
    <row r="9329" spans="1:1" ht="46.5" customHeight="1" x14ac:dyDescent="0.25">
      <c r="A9329" s="1"/>
    </row>
    <row r="9330" spans="1:1" ht="46.5" customHeight="1" x14ac:dyDescent="0.25">
      <c r="A9330" s="1"/>
    </row>
    <row r="9331" spans="1:1" ht="46.5" customHeight="1" x14ac:dyDescent="0.25">
      <c r="A9331" s="1"/>
    </row>
    <row r="9332" spans="1:1" ht="46.5" customHeight="1" x14ac:dyDescent="0.25">
      <c r="A9332" s="1"/>
    </row>
    <row r="9333" spans="1:1" ht="46.5" customHeight="1" x14ac:dyDescent="0.25">
      <c r="A9333" s="1"/>
    </row>
    <row r="9334" spans="1:1" ht="46.5" customHeight="1" x14ac:dyDescent="0.25">
      <c r="A9334" s="1"/>
    </row>
    <row r="9335" spans="1:1" ht="46.5" customHeight="1" x14ac:dyDescent="0.25">
      <c r="A9335" s="1"/>
    </row>
    <row r="9336" spans="1:1" ht="46.5" customHeight="1" x14ac:dyDescent="0.25">
      <c r="A9336" s="1"/>
    </row>
    <row r="9337" spans="1:1" ht="46.5" customHeight="1" x14ac:dyDescent="0.25">
      <c r="A9337" s="1"/>
    </row>
    <row r="9338" spans="1:1" ht="46.5" customHeight="1" x14ac:dyDescent="0.25">
      <c r="A9338" s="1"/>
    </row>
    <row r="9339" spans="1:1" ht="46.5" customHeight="1" x14ac:dyDescent="0.25">
      <c r="A9339" s="1"/>
    </row>
    <row r="9340" spans="1:1" ht="46.5" customHeight="1" x14ac:dyDescent="0.25">
      <c r="A9340" s="1"/>
    </row>
    <row r="9341" spans="1:1" ht="46.5" customHeight="1" x14ac:dyDescent="0.25">
      <c r="A9341" s="1"/>
    </row>
    <row r="9342" spans="1:1" ht="46.5" customHeight="1" x14ac:dyDescent="0.25">
      <c r="A9342" s="1"/>
    </row>
    <row r="9343" spans="1:1" ht="46.5" customHeight="1" x14ac:dyDescent="0.25">
      <c r="A9343" s="1"/>
    </row>
    <row r="9344" spans="1:1" ht="46.5" customHeight="1" x14ac:dyDescent="0.25">
      <c r="A9344" s="1"/>
    </row>
    <row r="9345" spans="1:1" ht="46.5" customHeight="1" x14ac:dyDescent="0.25">
      <c r="A9345" s="1"/>
    </row>
    <row r="9346" spans="1:1" ht="46.5" customHeight="1" x14ac:dyDescent="0.25">
      <c r="A9346" s="1"/>
    </row>
    <row r="9347" spans="1:1" ht="46.5" customHeight="1" x14ac:dyDescent="0.25">
      <c r="A9347" s="1"/>
    </row>
    <row r="9348" spans="1:1" ht="46.5" customHeight="1" x14ac:dyDescent="0.25">
      <c r="A9348" s="1"/>
    </row>
    <row r="9349" spans="1:1" ht="46.5" customHeight="1" x14ac:dyDescent="0.25">
      <c r="A9349" s="1"/>
    </row>
    <row r="9350" spans="1:1" ht="46.5" customHeight="1" x14ac:dyDescent="0.25">
      <c r="A9350" s="1"/>
    </row>
    <row r="9351" spans="1:1" ht="46.5" customHeight="1" x14ac:dyDescent="0.25">
      <c r="A9351" s="1"/>
    </row>
    <row r="9352" spans="1:1" ht="46.5" customHeight="1" x14ac:dyDescent="0.25">
      <c r="A9352" s="1"/>
    </row>
    <row r="9353" spans="1:1" ht="46.5" customHeight="1" x14ac:dyDescent="0.25">
      <c r="A9353" s="1"/>
    </row>
    <row r="9354" spans="1:1" ht="46.5" customHeight="1" x14ac:dyDescent="0.25">
      <c r="A9354" s="1"/>
    </row>
    <row r="9355" spans="1:1" ht="46.5" customHeight="1" x14ac:dyDescent="0.25">
      <c r="A9355" s="1"/>
    </row>
    <row r="9356" spans="1:1" ht="46.5" customHeight="1" x14ac:dyDescent="0.25">
      <c r="A9356" s="1"/>
    </row>
    <row r="9357" spans="1:1" ht="46.5" customHeight="1" x14ac:dyDescent="0.25">
      <c r="A9357" s="1"/>
    </row>
    <row r="9358" spans="1:1" ht="46.5" customHeight="1" x14ac:dyDescent="0.25">
      <c r="A9358" s="1"/>
    </row>
    <row r="9359" spans="1:1" ht="46.5" customHeight="1" x14ac:dyDescent="0.25">
      <c r="A9359" s="1"/>
    </row>
    <row r="9360" spans="1:1" ht="46.5" customHeight="1" x14ac:dyDescent="0.25">
      <c r="A9360" s="1"/>
    </row>
    <row r="9361" spans="1:1" ht="46.5" customHeight="1" x14ac:dyDescent="0.25">
      <c r="A9361" s="1"/>
    </row>
    <row r="9362" spans="1:1" ht="46.5" customHeight="1" x14ac:dyDescent="0.25">
      <c r="A9362" s="1"/>
    </row>
    <row r="9363" spans="1:1" ht="46.5" customHeight="1" x14ac:dyDescent="0.25">
      <c r="A9363" s="1"/>
    </row>
    <row r="9364" spans="1:1" ht="46.5" customHeight="1" x14ac:dyDescent="0.25">
      <c r="A9364" s="1"/>
    </row>
    <row r="9365" spans="1:1" ht="46.5" customHeight="1" x14ac:dyDescent="0.25">
      <c r="A9365" s="1"/>
    </row>
    <row r="9366" spans="1:1" ht="46.5" customHeight="1" x14ac:dyDescent="0.25">
      <c r="A9366" s="1"/>
    </row>
    <row r="9367" spans="1:1" ht="46.5" customHeight="1" x14ac:dyDescent="0.25">
      <c r="A9367" s="1"/>
    </row>
    <row r="9368" spans="1:1" ht="46.5" customHeight="1" x14ac:dyDescent="0.25">
      <c r="A9368" s="1"/>
    </row>
    <row r="9369" spans="1:1" ht="46.5" customHeight="1" x14ac:dyDescent="0.25">
      <c r="A9369" s="1"/>
    </row>
    <row r="9370" spans="1:1" ht="46.5" customHeight="1" x14ac:dyDescent="0.25">
      <c r="A9370" s="1"/>
    </row>
    <row r="9371" spans="1:1" ht="46.5" customHeight="1" x14ac:dyDescent="0.25">
      <c r="A9371" s="1"/>
    </row>
    <row r="9372" spans="1:1" ht="46.5" customHeight="1" x14ac:dyDescent="0.25">
      <c r="A9372" s="1"/>
    </row>
    <row r="9373" spans="1:1" ht="46.5" customHeight="1" x14ac:dyDescent="0.25">
      <c r="A9373" s="1"/>
    </row>
    <row r="9374" spans="1:1" ht="46.5" customHeight="1" x14ac:dyDescent="0.25">
      <c r="A9374" s="1"/>
    </row>
    <row r="9375" spans="1:1" ht="46.5" customHeight="1" x14ac:dyDescent="0.25">
      <c r="A9375" s="1"/>
    </row>
    <row r="9376" spans="1:1" ht="46.5" customHeight="1" x14ac:dyDescent="0.25">
      <c r="A9376" s="1"/>
    </row>
    <row r="9377" spans="1:1" ht="46.5" customHeight="1" x14ac:dyDescent="0.25">
      <c r="A9377" s="1"/>
    </row>
    <row r="9378" spans="1:1" ht="46.5" customHeight="1" x14ac:dyDescent="0.25">
      <c r="A9378" s="1"/>
    </row>
    <row r="9379" spans="1:1" ht="46.5" customHeight="1" x14ac:dyDescent="0.25">
      <c r="A9379" s="1"/>
    </row>
    <row r="9380" spans="1:1" ht="46.5" customHeight="1" x14ac:dyDescent="0.25">
      <c r="A9380" s="1"/>
    </row>
    <row r="9381" spans="1:1" ht="46.5" customHeight="1" x14ac:dyDescent="0.25">
      <c r="A9381" s="1"/>
    </row>
    <row r="9382" spans="1:1" ht="46.5" customHeight="1" x14ac:dyDescent="0.25">
      <c r="A9382" s="1"/>
    </row>
    <row r="9383" spans="1:1" ht="46.5" customHeight="1" x14ac:dyDescent="0.25">
      <c r="A9383" s="1"/>
    </row>
    <row r="9384" spans="1:1" ht="46.5" customHeight="1" x14ac:dyDescent="0.25">
      <c r="A9384" s="1"/>
    </row>
    <row r="9385" spans="1:1" ht="46.5" customHeight="1" x14ac:dyDescent="0.25">
      <c r="A9385" s="1"/>
    </row>
    <row r="9386" spans="1:1" ht="46.5" customHeight="1" x14ac:dyDescent="0.25">
      <c r="A9386" s="1"/>
    </row>
    <row r="9387" spans="1:1" ht="46.5" customHeight="1" x14ac:dyDescent="0.25">
      <c r="A9387" s="1"/>
    </row>
    <row r="9388" spans="1:1" ht="46.5" customHeight="1" x14ac:dyDescent="0.25">
      <c r="A9388" s="1"/>
    </row>
    <row r="9389" spans="1:1" ht="46.5" customHeight="1" x14ac:dyDescent="0.25">
      <c r="A9389" s="1"/>
    </row>
    <row r="9390" spans="1:1" ht="46.5" customHeight="1" x14ac:dyDescent="0.25">
      <c r="A9390" s="1"/>
    </row>
    <row r="9391" spans="1:1" ht="46.5" customHeight="1" x14ac:dyDescent="0.25">
      <c r="A9391" s="1"/>
    </row>
    <row r="9392" spans="1:1" ht="46.5" customHeight="1" x14ac:dyDescent="0.25">
      <c r="A9392" s="1"/>
    </row>
    <row r="9393" spans="1:1" ht="46.5" customHeight="1" x14ac:dyDescent="0.25">
      <c r="A9393" s="1"/>
    </row>
    <row r="9394" spans="1:1" ht="46.5" customHeight="1" x14ac:dyDescent="0.25">
      <c r="A9394" s="1"/>
    </row>
    <row r="9395" spans="1:1" ht="46.5" customHeight="1" x14ac:dyDescent="0.25">
      <c r="A9395" s="1"/>
    </row>
    <row r="9396" spans="1:1" ht="46.5" customHeight="1" x14ac:dyDescent="0.25">
      <c r="A9396" s="1"/>
    </row>
    <row r="9397" spans="1:1" ht="46.5" customHeight="1" x14ac:dyDescent="0.25">
      <c r="A9397" s="1"/>
    </row>
    <row r="9398" spans="1:1" ht="46.5" customHeight="1" x14ac:dyDescent="0.25">
      <c r="A9398" s="1"/>
    </row>
    <row r="9399" spans="1:1" ht="46.5" customHeight="1" x14ac:dyDescent="0.25">
      <c r="A9399" s="1"/>
    </row>
    <row r="9400" spans="1:1" ht="46.5" customHeight="1" x14ac:dyDescent="0.25">
      <c r="A9400" s="1"/>
    </row>
    <row r="9401" spans="1:1" ht="46.5" customHeight="1" x14ac:dyDescent="0.25">
      <c r="A9401" s="1"/>
    </row>
    <row r="9402" spans="1:1" ht="46.5" customHeight="1" x14ac:dyDescent="0.25">
      <c r="A9402" s="1"/>
    </row>
    <row r="9403" spans="1:1" ht="46.5" customHeight="1" x14ac:dyDescent="0.25">
      <c r="A9403" s="1"/>
    </row>
    <row r="9404" spans="1:1" ht="46.5" customHeight="1" x14ac:dyDescent="0.25">
      <c r="A9404" s="1"/>
    </row>
    <row r="9405" spans="1:1" ht="46.5" customHeight="1" x14ac:dyDescent="0.25">
      <c r="A9405" s="1"/>
    </row>
    <row r="9406" spans="1:1" ht="46.5" customHeight="1" x14ac:dyDescent="0.25">
      <c r="A9406" s="1"/>
    </row>
    <row r="9407" spans="1:1" ht="46.5" customHeight="1" x14ac:dyDescent="0.25">
      <c r="A9407" s="1"/>
    </row>
    <row r="9408" spans="1:1" ht="46.5" customHeight="1" x14ac:dyDescent="0.25">
      <c r="A9408" s="1"/>
    </row>
    <row r="9409" spans="1:1" ht="46.5" customHeight="1" x14ac:dyDescent="0.25">
      <c r="A9409" s="1"/>
    </row>
    <row r="9410" spans="1:1" ht="46.5" customHeight="1" x14ac:dyDescent="0.25">
      <c r="A9410" s="1"/>
    </row>
    <row r="9411" spans="1:1" ht="46.5" customHeight="1" x14ac:dyDescent="0.25">
      <c r="A9411" s="1"/>
    </row>
    <row r="9412" spans="1:1" ht="46.5" customHeight="1" x14ac:dyDescent="0.25">
      <c r="A9412" s="1"/>
    </row>
    <row r="9413" spans="1:1" ht="46.5" customHeight="1" x14ac:dyDescent="0.25">
      <c r="A9413" s="1"/>
    </row>
    <row r="9414" spans="1:1" ht="46.5" customHeight="1" x14ac:dyDescent="0.25">
      <c r="A9414" s="1"/>
    </row>
    <row r="9415" spans="1:1" ht="46.5" customHeight="1" x14ac:dyDescent="0.25">
      <c r="A9415" s="1"/>
    </row>
    <row r="9416" spans="1:1" ht="46.5" customHeight="1" x14ac:dyDescent="0.25">
      <c r="A9416" s="1"/>
    </row>
    <row r="9417" spans="1:1" ht="46.5" customHeight="1" x14ac:dyDescent="0.25">
      <c r="A9417" s="1"/>
    </row>
    <row r="9418" spans="1:1" ht="46.5" customHeight="1" x14ac:dyDescent="0.25">
      <c r="A9418" s="1"/>
    </row>
    <row r="9419" spans="1:1" ht="46.5" customHeight="1" x14ac:dyDescent="0.25">
      <c r="A9419" s="1"/>
    </row>
    <row r="9420" spans="1:1" ht="46.5" customHeight="1" x14ac:dyDescent="0.25">
      <c r="A9420" s="1"/>
    </row>
    <row r="9421" spans="1:1" ht="46.5" customHeight="1" x14ac:dyDescent="0.25">
      <c r="A9421" s="1"/>
    </row>
    <row r="9422" spans="1:1" ht="46.5" customHeight="1" x14ac:dyDescent="0.25">
      <c r="A9422" s="1"/>
    </row>
    <row r="9423" spans="1:1" ht="46.5" customHeight="1" x14ac:dyDescent="0.25">
      <c r="A9423" s="1"/>
    </row>
    <row r="9424" spans="1:1" ht="46.5" customHeight="1" x14ac:dyDescent="0.25">
      <c r="A9424" s="1"/>
    </row>
    <row r="9425" spans="1:1" ht="46.5" customHeight="1" x14ac:dyDescent="0.25">
      <c r="A9425" s="1"/>
    </row>
    <row r="9426" spans="1:1" ht="46.5" customHeight="1" x14ac:dyDescent="0.25">
      <c r="A9426" s="1"/>
    </row>
    <row r="9427" spans="1:1" ht="46.5" customHeight="1" x14ac:dyDescent="0.25">
      <c r="A9427" s="1"/>
    </row>
    <row r="9428" spans="1:1" ht="46.5" customHeight="1" x14ac:dyDescent="0.25">
      <c r="A9428" s="1"/>
    </row>
    <row r="9429" spans="1:1" ht="46.5" customHeight="1" x14ac:dyDescent="0.25">
      <c r="A9429" s="1"/>
    </row>
    <row r="9430" spans="1:1" ht="46.5" customHeight="1" x14ac:dyDescent="0.25">
      <c r="A9430" s="1"/>
    </row>
    <row r="9431" spans="1:1" ht="46.5" customHeight="1" x14ac:dyDescent="0.25">
      <c r="A9431" s="1"/>
    </row>
    <row r="9432" spans="1:1" ht="46.5" customHeight="1" x14ac:dyDescent="0.25">
      <c r="A9432" s="1"/>
    </row>
    <row r="9433" spans="1:1" ht="46.5" customHeight="1" x14ac:dyDescent="0.25">
      <c r="A9433" s="1"/>
    </row>
    <row r="9434" spans="1:1" ht="46.5" customHeight="1" x14ac:dyDescent="0.25">
      <c r="A9434" s="1"/>
    </row>
    <row r="9435" spans="1:1" ht="46.5" customHeight="1" x14ac:dyDescent="0.25">
      <c r="A9435" s="1"/>
    </row>
    <row r="9436" spans="1:1" ht="46.5" customHeight="1" x14ac:dyDescent="0.25">
      <c r="A9436" s="1"/>
    </row>
    <row r="9437" spans="1:1" ht="46.5" customHeight="1" x14ac:dyDescent="0.25">
      <c r="A9437" s="1"/>
    </row>
    <row r="9438" spans="1:1" ht="46.5" customHeight="1" x14ac:dyDescent="0.25">
      <c r="A9438" s="1"/>
    </row>
    <row r="9439" spans="1:1" ht="46.5" customHeight="1" x14ac:dyDescent="0.25">
      <c r="A9439" s="1"/>
    </row>
    <row r="9440" spans="1:1" ht="46.5" customHeight="1" x14ac:dyDescent="0.25">
      <c r="A9440" s="1"/>
    </row>
    <row r="9441" spans="1:1" ht="46.5" customHeight="1" x14ac:dyDescent="0.25">
      <c r="A9441" s="1"/>
    </row>
    <row r="9442" spans="1:1" ht="46.5" customHeight="1" x14ac:dyDescent="0.25">
      <c r="A9442" s="1"/>
    </row>
    <row r="9443" spans="1:1" ht="46.5" customHeight="1" x14ac:dyDescent="0.25">
      <c r="A9443" s="1"/>
    </row>
    <row r="9444" spans="1:1" ht="46.5" customHeight="1" x14ac:dyDescent="0.25">
      <c r="A9444" s="1"/>
    </row>
    <row r="9445" spans="1:1" ht="46.5" customHeight="1" x14ac:dyDescent="0.25">
      <c r="A9445" s="1"/>
    </row>
    <row r="9446" spans="1:1" ht="46.5" customHeight="1" x14ac:dyDescent="0.25">
      <c r="A9446" s="1"/>
    </row>
    <row r="9447" spans="1:1" ht="46.5" customHeight="1" x14ac:dyDescent="0.25">
      <c r="A9447" s="1"/>
    </row>
    <row r="9448" spans="1:1" ht="46.5" customHeight="1" x14ac:dyDescent="0.25">
      <c r="A9448" s="1"/>
    </row>
    <row r="9449" spans="1:1" ht="46.5" customHeight="1" x14ac:dyDescent="0.25">
      <c r="A9449" s="1"/>
    </row>
    <row r="9450" spans="1:1" ht="46.5" customHeight="1" x14ac:dyDescent="0.25">
      <c r="A9450" s="1"/>
    </row>
    <row r="9451" spans="1:1" ht="46.5" customHeight="1" x14ac:dyDescent="0.25">
      <c r="A9451" s="1"/>
    </row>
    <row r="9452" spans="1:1" ht="46.5" customHeight="1" x14ac:dyDescent="0.25">
      <c r="A9452" s="1"/>
    </row>
    <row r="9453" spans="1:1" ht="46.5" customHeight="1" x14ac:dyDescent="0.25">
      <c r="A9453" s="1"/>
    </row>
    <row r="9454" spans="1:1" ht="46.5" customHeight="1" x14ac:dyDescent="0.25">
      <c r="A9454" s="1"/>
    </row>
    <row r="9455" spans="1:1" ht="46.5" customHeight="1" x14ac:dyDescent="0.25">
      <c r="A9455" s="1"/>
    </row>
    <row r="9456" spans="1:1" ht="46.5" customHeight="1" x14ac:dyDescent="0.25">
      <c r="A9456" s="1"/>
    </row>
    <row r="9457" spans="1:1" ht="46.5" customHeight="1" x14ac:dyDescent="0.25">
      <c r="A9457" s="1"/>
    </row>
    <row r="9458" spans="1:1" ht="46.5" customHeight="1" x14ac:dyDescent="0.25">
      <c r="A9458" s="1"/>
    </row>
    <row r="9459" spans="1:1" ht="46.5" customHeight="1" x14ac:dyDescent="0.25">
      <c r="A9459" s="1"/>
    </row>
    <row r="9460" spans="1:1" ht="46.5" customHeight="1" x14ac:dyDescent="0.25">
      <c r="A9460" s="1"/>
    </row>
    <row r="9461" spans="1:1" ht="46.5" customHeight="1" x14ac:dyDescent="0.25">
      <c r="A9461" s="1"/>
    </row>
    <row r="9462" spans="1:1" ht="46.5" customHeight="1" x14ac:dyDescent="0.25">
      <c r="A9462" s="1"/>
    </row>
    <row r="9463" spans="1:1" ht="46.5" customHeight="1" x14ac:dyDescent="0.25">
      <c r="A9463" s="1"/>
    </row>
    <row r="9464" spans="1:1" ht="46.5" customHeight="1" x14ac:dyDescent="0.25">
      <c r="A9464" s="1"/>
    </row>
    <row r="9465" spans="1:1" ht="46.5" customHeight="1" x14ac:dyDescent="0.25">
      <c r="A9465" s="1"/>
    </row>
    <row r="9466" spans="1:1" ht="46.5" customHeight="1" x14ac:dyDescent="0.25">
      <c r="A9466" s="1"/>
    </row>
    <row r="9467" spans="1:1" ht="46.5" customHeight="1" x14ac:dyDescent="0.25">
      <c r="A9467" s="1"/>
    </row>
    <row r="9468" spans="1:1" ht="46.5" customHeight="1" x14ac:dyDescent="0.25">
      <c r="A9468" s="1"/>
    </row>
    <row r="9469" spans="1:1" ht="46.5" customHeight="1" x14ac:dyDescent="0.25">
      <c r="A9469" s="1"/>
    </row>
    <row r="9470" spans="1:1" ht="46.5" customHeight="1" x14ac:dyDescent="0.25">
      <c r="A9470" s="1"/>
    </row>
    <row r="9471" spans="1:1" ht="46.5" customHeight="1" x14ac:dyDescent="0.25">
      <c r="A9471" s="1"/>
    </row>
    <row r="9472" spans="1:1" ht="46.5" customHeight="1" x14ac:dyDescent="0.25">
      <c r="A9472" s="1"/>
    </row>
    <row r="9473" spans="1:1" ht="46.5" customHeight="1" x14ac:dyDescent="0.25">
      <c r="A9473" s="1"/>
    </row>
    <row r="9474" spans="1:1" ht="46.5" customHeight="1" x14ac:dyDescent="0.25">
      <c r="A9474" s="1"/>
    </row>
    <row r="9475" spans="1:1" ht="46.5" customHeight="1" x14ac:dyDescent="0.25">
      <c r="A9475" s="1"/>
    </row>
    <row r="9476" spans="1:1" ht="46.5" customHeight="1" x14ac:dyDescent="0.25">
      <c r="A9476" s="1"/>
    </row>
    <row r="9477" spans="1:1" ht="46.5" customHeight="1" x14ac:dyDescent="0.25">
      <c r="A9477" s="1"/>
    </row>
    <row r="9478" spans="1:1" ht="46.5" customHeight="1" x14ac:dyDescent="0.25">
      <c r="A9478" s="1"/>
    </row>
    <row r="9479" spans="1:1" ht="46.5" customHeight="1" x14ac:dyDescent="0.25">
      <c r="A9479" s="1"/>
    </row>
    <row r="9480" spans="1:1" ht="46.5" customHeight="1" x14ac:dyDescent="0.25">
      <c r="A9480" s="1"/>
    </row>
    <row r="9481" spans="1:1" ht="46.5" customHeight="1" x14ac:dyDescent="0.25">
      <c r="A9481" s="1"/>
    </row>
    <row r="9482" spans="1:1" ht="46.5" customHeight="1" x14ac:dyDescent="0.25">
      <c r="A9482" s="1"/>
    </row>
    <row r="9483" spans="1:1" ht="46.5" customHeight="1" x14ac:dyDescent="0.25">
      <c r="A9483" s="1"/>
    </row>
    <row r="9484" spans="1:1" ht="46.5" customHeight="1" x14ac:dyDescent="0.25">
      <c r="A9484" s="1"/>
    </row>
    <row r="9485" spans="1:1" ht="46.5" customHeight="1" x14ac:dyDescent="0.25">
      <c r="A9485" s="1"/>
    </row>
    <row r="9486" spans="1:1" ht="46.5" customHeight="1" x14ac:dyDescent="0.25">
      <c r="A9486" s="1"/>
    </row>
    <row r="9487" spans="1:1" ht="46.5" customHeight="1" x14ac:dyDescent="0.25">
      <c r="A9487" s="1"/>
    </row>
    <row r="9488" spans="1:1" ht="46.5" customHeight="1" x14ac:dyDescent="0.25">
      <c r="A9488" s="1"/>
    </row>
    <row r="9489" spans="1:1" ht="46.5" customHeight="1" x14ac:dyDescent="0.25">
      <c r="A9489" s="1"/>
    </row>
    <row r="9490" spans="1:1" ht="46.5" customHeight="1" x14ac:dyDescent="0.25">
      <c r="A9490" s="1"/>
    </row>
    <row r="9491" spans="1:1" ht="46.5" customHeight="1" x14ac:dyDescent="0.25">
      <c r="A9491" s="1"/>
    </row>
    <row r="9492" spans="1:1" ht="46.5" customHeight="1" x14ac:dyDescent="0.25">
      <c r="A9492" s="1"/>
    </row>
    <row r="9493" spans="1:1" ht="46.5" customHeight="1" x14ac:dyDescent="0.25">
      <c r="A9493" s="1"/>
    </row>
    <row r="9494" spans="1:1" ht="46.5" customHeight="1" x14ac:dyDescent="0.25">
      <c r="A9494" s="1"/>
    </row>
    <row r="9495" spans="1:1" ht="46.5" customHeight="1" x14ac:dyDescent="0.25">
      <c r="A9495" s="1"/>
    </row>
    <row r="9496" spans="1:1" ht="46.5" customHeight="1" x14ac:dyDescent="0.25">
      <c r="A9496" s="1"/>
    </row>
    <row r="9497" spans="1:1" ht="46.5" customHeight="1" x14ac:dyDescent="0.25">
      <c r="A9497" s="1"/>
    </row>
    <row r="9498" spans="1:1" ht="46.5" customHeight="1" x14ac:dyDescent="0.25">
      <c r="A9498" s="1"/>
    </row>
    <row r="9499" spans="1:1" ht="46.5" customHeight="1" x14ac:dyDescent="0.25">
      <c r="A9499" s="1"/>
    </row>
    <row r="9500" spans="1:1" ht="46.5" customHeight="1" x14ac:dyDescent="0.25">
      <c r="A9500" s="1"/>
    </row>
    <row r="9501" spans="1:1" ht="46.5" customHeight="1" x14ac:dyDescent="0.25">
      <c r="A9501" s="1"/>
    </row>
    <row r="9502" spans="1:1" ht="46.5" customHeight="1" x14ac:dyDescent="0.25">
      <c r="A9502" s="1"/>
    </row>
    <row r="9503" spans="1:1" ht="46.5" customHeight="1" x14ac:dyDescent="0.25">
      <c r="A9503" s="1"/>
    </row>
    <row r="9504" spans="1:1" ht="46.5" customHeight="1" x14ac:dyDescent="0.25">
      <c r="A9504" s="1"/>
    </row>
    <row r="9505" spans="1:1" ht="46.5" customHeight="1" x14ac:dyDescent="0.25">
      <c r="A9505" s="1"/>
    </row>
    <row r="9506" spans="1:1" ht="46.5" customHeight="1" x14ac:dyDescent="0.25">
      <c r="A9506" s="1"/>
    </row>
    <row r="9507" spans="1:1" ht="46.5" customHeight="1" x14ac:dyDescent="0.25">
      <c r="A9507" s="1"/>
    </row>
    <row r="9508" spans="1:1" ht="46.5" customHeight="1" x14ac:dyDescent="0.25">
      <c r="A9508" s="1"/>
    </row>
    <row r="9509" spans="1:1" ht="46.5" customHeight="1" x14ac:dyDescent="0.25">
      <c r="A9509" s="1"/>
    </row>
    <row r="9510" spans="1:1" ht="46.5" customHeight="1" x14ac:dyDescent="0.25">
      <c r="A9510" s="1"/>
    </row>
    <row r="9511" spans="1:1" ht="46.5" customHeight="1" x14ac:dyDescent="0.25">
      <c r="A9511" s="1"/>
    </row>
    <row r="9512" spans="1:1" ht="46.5" customHeight="1" x14ac:dyDescent="0.25">
      <c r="A9512" s="1"/>
    </row>
    <row r="9513" spans="1:1" ht="46.5" customHeight="1" x14ac:dyDescent="0.25">
      <c r="A9513" s="1"/>
    </row>
    <row r="9514" spans="1:1" ht="46.5" customHeight="1" x14ac:dyDescent="0.25">
      <c r="A9514" s="1"/>
    </row>
    <row r="9515" spans="1:1" ht="46.5" customHeight="1" x14ac:dyDescent="0.25">
      <c r="A9515" s="1"/>
    </row>
    <row r="9516" spans="1:1" ht="46.5" customHeight="1" x14ac:dyDescent="0.25">
      <c r="A9516" s="1"/>
    </row>
    <row r="9517" spans="1:1" ht="46.5" customHeight="1" x14ac:dyDescent="0.25">
      <c r="A9517" s="1"/>
    </row>
    <row r="9518" spans="1:1" ht="46.5" customHeight="1" x14ac:dyDescent="0.25">
      <c r="A9518" s="1"/>
    </row>
    <row r="9519" spans="1:1" ht="46.5" customHeight="1" x14ac:dyDescent="0.25">
      <c r="A9519" s="1"/>
    </row>
    <row r="9520" spans="1:1" ht="46.5" customHeight="1" x14ac:dyDescent="0.25">
      <c r="A9520" s="1"/>
    </row>
    <row r="9521" spans="1:1" ht="46.5" customHeight="1" x14ac:dyDescent="0.25">
      <c r="A9521" s="1"/>
    </row>
    <row r="9522" spans="1:1" ht="46.5" customHeight="1" x14ac:dyDescent="0.25">
      <c r="A9522" s="1"/>
    </row>
    <row r="9523" spans="1:1" ht="46.5" customHeight="1" x14ac:dyDescent="0.25">
      <c r="A9523" s="1"/>
    </row>
    <row r="9524" spans="1:1" ht="46.5" customHeight="1" x14ac:dyDescent="0.25">
      <c r="A9524" s="1"/>
    </row>
    <row r="9525" spans="1:1" ht="46.5" customHeight="1" x14ac:dyDescent="0.25">
      <c r="A9525" s="1"/>
    </row>
    <row r="9526" spans="1:1" ht="46.5" customHeight="1" x14ac:dyDescent="0.25">
      <c r="A9526" s="1"/>
    </row>
    <row r="9527" spans="1:1" ht="46.5" customHeight="1" x14ac:dyDescent="0.25">
      <c r="A9527" s="1"/>
    </row>
    <row r="9528" spans="1:1" ht="46.5" customHeight="1" x14ac:dyDescent="0.25">
      <c r="A9528" s="1"/>
    </row>
    <row r="9529" spans="1:1" ht="46.5" customHeight="1" x14ac:dyDescent="0.25">
      <c r="A9529" s="1"/>
    </row>
    <row r="9530" spans="1:1" ht="46.5" customHeight="1" x14ac:dyDescent="0.25">
      <c r="A9530" s="1"/>
    </row>
    <row r="9531" spans="1:1" ht="46.5" customHeight="1" x14ac:dyDescent="0.25">
      <c r="A9531" s="1"/>
    </row>
    <row r="9532" spans="1:1" ht="46.5" customHeight="1" x14ac:dyDescent="0.25">
      <c r="A9532" s="1"/>
    </row>
    <row r="9533" spans="1:1" ht="46.5" customHeight="1" x14ac:dyDescent="0.25">
      <c r="A9533" s="1"/>
    </row>
    <row r="9534" spans="1:1" ht="46.5" customHeight="1" x14ac:dyDescent="0.25">
      <c r="A9534" s="1"/>
    </row>
    <row r="9535" spans="1:1" ht="46.5" customHeight="1" x14ac:dyDescent="0.25">
      <c r="A9535" s="1"/>
    </row>
    <row r="9536" spans="1:1" ht="46.5" customHeight="1" x14ac:dyDescent="0.25">
      <c r="A9536" s="1"/>
    </row>
    <row r="9537" spans="1:1" ht="46.5" customHeight="1" x14ac:dyDescent="0.25">
      <c r="A9537" s="1"/>
    </row>
    <row r="9538" spans="1:1" ht="46.5" customHeight="1" x14ac:dyDescent="0.25">
      <c r="A9538" s="1"/>
    </row>
    <row r="9539" spans="1:1" ht="46.5" customHeight="1" x14ac:dyDescent="0.25">
      <c r="A9539" s="1"/>
    </row>
    <row r="9540" spans="1:1" ht="46.5" customHeight="1" x14ac:dyDescent="0.25">
      <c r="A9540" s="1"/>
    </row>
    <row r="9541" spans="1:1" ht="46.5" customHeight="1" x14ac:dyDescent="0.25">
      <c r="A9541" s="1"/>
    </row>
    <row r="9542" spans="1:1" ht="46.5" customHeight="1" x14ac:dyDescent="0.25">
      <c r="A9542" s="1"/>
    </row>
    <row r="9543" spans="1:1" ht="46.5" customHeight="1" x14ac:dyDescent="0.25">
      <c r="A9543" s="1"/>
    </row>
    <row r="9544" spans="1:1" ht="46.5" customHeight="1" x14ac:dyDescent="0.25">
      <c r="A9544" s="1"/>
    </row>
    <row r="9545" spans="1:1" ht="46.5" customHeight="1" x14ac:dyDescent="0.25">
      <c r="A9545" s="1"/>
    </row>
    <row r="9546" spans="1:1" ht="46.5" customHeight="1" x14ac:dyDescent="0.25">
      <c r="A9546" s="1"/>
    </row>
    <row r="9547" spans="1:1" ht="46.5" customHeight="1" x14ac:dyDescent="0.25">
      <c r="A9547" s="1"/>
    </row>
    <row r="9548" spans="1:1" ht="46.5" customHeight="1" x14ac:dyDescent="0.25">
      <c r="A9548" s="1"/>
    </row>
    <row r="9549" spans="1:1" ht="46.5" customHeight="1" x14ac:dyDescent="0.25">
      <c r="A9549" s="1"/>
    </row>
    <row r="9550" spans="1:1" ht="46.5" customHeight="1" x14ac:dyDescent="0.25">
      <c r="A9550" s="1"/>
    </row>
    <row r="9551" spans="1:1" ht="46.5" customHeight="1" x14ac:dyDescent="0.25">
      <c r="A9551" s="1"/>
    </row>
    <row r="9552" spans="1:1" ht="46.5" customHeight="1" x14ac:dyDescent="0.25">
      <c r="A9552" s="1"/>
    </row>
    <row r="9553" spans="1:1" ht="46.5" customHeight="1" x14ac:dyDescent="0.25">
      <c r="A9553" s="1"/>
    </row>
    <row r="9554" spans="1:1" ht="46.5" customHeight="1" x14ac:dyDescent="0.25">
      <c r="A9554" s="1"/>
    </row>
    <row r="9555" spans="1:1" ht="46.5" customHeight="1" x14ac:dyDescent="0.25">
      <c r="A9555" s="1"/>
    </row>
    <row r="9556" spans="1:1" ht="46.5" customHeight="1" x14ac:dyDescent="0.25">
      <c r="A9556" s="1"/>
    </row>
    <row r="9557" spans="1:1" ht="46.5" customHeight="1" x14ac:dyDescent="0.25">
      <c r="A9557" s="1"/>
    </row>
    <row r="9558" spans="1:1" ht="46.5" customHeight="1" x14ac:dyDescent="0.25">
      <c r="A9558" s="1"/>
    </row>
    <row r="9559" spans="1:1" ht="46.5" customHeight="1" x14ac:dyDescent="0.25">
      <c r="A9559" s="1"/>
    </row>
    <row r="9560" spans="1:1" ht="46.5" customHeight="1" x14ac:dyDescent="0.25">
      <c r="A9560" s="1"/>
    </row>
    <row r="9561" spans="1:1" ht="46.5" customHeight="1" x14ac:dyDescent="0.25">
      <c r="A9561" s="1"/>
    </row>
    <row r="9562" spans="1:1" ht="46.5" customHeight="1" x14ac:dyDescent="0.25">
      <c r="A9562" s="1"/>
    </row>
    <row r="9563" spans="1:1" ht="46.5" customHeight="1" x14ac:dyDescent="0.25">
      <c r="A9563" s="1"/>
    </row>
    <row r="9564" spans="1:1" ht="46.5" customHeight="1" x14ac:dyDescent="0.25">
      <c r="A9564" s="1"/>
    </row>
    <row r="9565" spans="1:1" ht="46.5" customHeight="1" x14ac:dyDescent="0.25">
      <c r="A9565" s="1"/>
    </row>
    <row r="9566" spans="1:1" ht="46.5" customHeight="1" x14ac:dyDescent="0.25">
      <c r="A9566" s="1"/>
    </row>
    <row r="9567" spans="1:1" ht="46.5" customHeight="1" x14ac:dyDescent="0.25">
      <c r="A9567" s="1"/>
    </row>
    <row r="9568" spans="1:1" ht="46.5" customHeight="1" x14ac:dyDescent="0.25">
      <c r="A9568" s="1"/>
    </row>
    <row r="9569" spans="1:1" ht="46.5" customHeight="1" x14ac:dyDescent="0.25">
      <c r="A9569" s="1"/>
    </row>
    <row r="9570" spans="1:1" ht="46.5" customHeight="1" x14ac:dyDescent="0.25">
      <c r="A9570" s="1"/>
    </row>
    <row r="9571" spans="1:1" ht="46.5" customHeight="1" x14ac:dyDescent="0.25">
      <c r="A9571" s="1"/>
    </row>
    <row r="9572" spans="1:1" ht="46.5" customHeight="1" x14ac:dyDescent="0.25">
      <c r="A9572" s="1"/>
    </row>
    <row r="9573" spans="1:1" ht="46.5" customHeight="1" x14ac:dyDescent="0.25">
      <c r="A9573" s="1"/>
    </row>
    <row r="9574" spans="1:1" ht="46.5" customHeight="1" x14ac:dyDescent="0.25">
      <c r="A9574" s="1"/>
    </row>
    <row r="9575" spans="1:1" ht="46.5" customHeight="1" x14ac:dyDescent="0.25">
      <c r="A9575" s="1"/>
    </row>
    <row r="9576" spans="1:1" ht="46.5" customHeight="1" x14ac:dyDescent="0.25">
      <c r="A9576" s="1"/>
    </row>
    <row r="9577" spans="1:1" ht="46.5" customHeight="1" x14ac:dyDescent="0.25">
      <c r="A9577" s="1"/>
    </row>
    <row r="9578" spans="1:1" ht="46.5" customHeight="1" x14ac:dyDescent="0.25">
      <c r="A9578" s="1"/>
    </row>
    <row r="9579" spans="1:1" ht="46.5" customHeight="1" x14ac:dyDescent="0.25">
      <c r="A9579" s="1"/>
    </row>
    <row r="9580" spans="1:1" ht="46.5" customHeight="1" x14ac:dyDescent="0.25">
      <c r="A9580" s="1"/>
    </row>
    <row r="9581" spans="1:1" ht="46.5" customHeight="1" x14ac:dyDescent="0.25">
      <c r="A9581" s="1"/>
    </row>
    <row r="9582" spans="1:1" ht="46.5" customHeight="1" x14ac:dyDescent="0.25">
      <c r="A9582" s="1"/>
    </row>
    <row r="9583" spans="1:1" ht="46.5" customHeight="1" x14ac:dyDescent="0.25">
      <c r="A9583" s="1"/>
    </row>
    <row r="9584" spans="1:1" ht="46.5" customHeight="1" x14ac:dyDescent="0.25">
      <c r="A9584" s="1"/>
    </row>
    <row r="9585" spans="1:1" ht="46.5" customHeight="1" x14ac:dyDescent="0.25">
      <c r="A9585" s="1"/>
    </row>
    <row r="9586" spans="1:1" ht="46.5" customHeight="1" x14ac:dyDescent="0.25">
      <c r="A9586" s="1"/>
    </row>
    <row r="9587" spans="1:1" ht="46.5" customHeight="1" x14ac:dyDescent="0.25">
      <c r="A9587" s="1"/>
    </row>
    <row r="9588" spans="1:1" ht="46.5" customHeight="1" x14ac:dyDescent="0.25">
      <c r="A9588" s="1"/>
    </row>
    <row r="9589" spans="1:1" ht="46.5" customHeight="1" x14ac:dyDescent="0.25">
      <c r="A9589" s="1"/>
    </row>
    <row r="9590" spans="1:1" ht="46.5" customHeight="1" x14ac:dyDescent="0.25">
      <c r="A9590" s="1"/>
    </row>
    <row r="9591" spans="1:1" ht="46.5" customHeight="1" x14ac:dyDescent="0.25">
      <c r="A9591" s="1"/>
    </row>
    <row r="9592" spans="1:1" ht="46.5" customHeight="1" x14ac:dyDescent="0.25">
      <c r="A9592" s="1"/>
    </row>
    <row r="9593" spans="1:1" ht="46.5" customHeight="1" x14ac:dyDescent="0.25">
      <c r="A9593" s="1"/>
    </row>
    <row r="9594" spans="1:1" ht="46.5" customHeight="1" x14ac:dyDescent="0.25">
      <c r="A9594" s="1"/>
    </row>
    <row r="9595" spans="1:1" ht="46.5" customHeight="1" x14ac:dyDescent="0.25">
      <c r="A9595" s="1"/>
    </row>
    <row r="9596" spans="1:1" ht="46.5" customHeight="1" x14ac:dyDescent="0.25">
      <c r="A9596" s="1"/>
    </row>
    <row r="9597" spans="1:1" ht="46.5" customHeight="1" x14ac:dyDescent="0.25">
      <c r="A9597" s="1"/>
    </row>
    <row r="9598" spans="1:1" ht="46.5" customHeight="1" x14ac:dyDescent="0.25">
      <c r="A9598" s="1"/>
    </row>
    <row r="9599" spans="1:1" ht="46.5" customHeight="1" x14ac:dyDescent="0.25">
      <c r="A9599" s="1"/>
    </row>
    <row r="9600" spans="1:1" ht="46.5" customHeight="1" x14ac:dyDescent="0.25">
      <c r="A9600" s="1"/>
    </row>
    <row r="9601" spans="1:1" ht="46.5" customHeight="1" x14ac:dyDescent="0.25">
      <c r="A9601" s="1"/>
    </row>
    <row r="9602" spans="1:1" ht="46.5" customHeight="1" x14ac:dyDescent="0.25">
      <c r="A9602" s="1"/>
    </row>
    <row r="9603" spans="1:1" ht="46.5" customHeight="1" x14ac:dyDescent="0.25">
      <c r="A9603" s="1"/>
    </row>
    <row r="9604" spans="1:1" ht="46.5" customHeight="1" x14ac:dyDescent="0.25">
      <c r="A9604" s="1"/>
    </row>
    <row r="9605" spans="1:1" ht="46.5" customHeight="1" x14ac:dyDescent="0.25">
      <c r="A9605" s="1"/>
    </row>
    <row r="9606" spans="1:1" ht="46.5" customHeight="1" x14ac:dyDescent="0.25">
      <c r="A9606" s="1"/>
    </row>
    <row r="9607" spans="1:1" ht="46.5" customHeight="1" x14ac:dyDescent="0.25">
      <c r="A9607" s="1"/>
    </row>
    <row r="9608" spans="1:1" ht="46.5" customHeight="1" x14ac:dyDescent="0.25">
      <c r="A9608" s="1"/>
    </row>
    <row r="9609" spans="1:1" ht="46.5" customHeight="1" x14ac:dyDescent="0.25">
      <c r="A9609" s="1"/>
    </row>
    <row r="9610" spans="1:1" ht="46.5" customHeight="1" x14ac:dyDescent="0.25">
      <c r="A9610" s="1"/>
    </row>
    <row r="9611" spans="1:1" ht="46.5" customHeight="1" x14ac:dyDescent="0.25">
      <c r="A9611" s="1"/>
    </row>
    <row r="9612" spans="1:1" ht="46.5" customHeight="1" x14ac:dyDescent="0.25">
      <c r="A9612" s="1"/>
    </row>
    <row r="9613" spans="1:1" ht="46.5" customHeight="1" x14ac:dyDescent="0.25">
      <c r="A9613" s="1"/>
    </row>
    <row r="9614" spans="1:1" ht="46.5" customHeight="1" x14ac:dyDescent="0.25">
      <c r="A9614" s="1"/>
    </row>
    <row r="9615" spans="1:1" ht="46.5" customHeight="1" x14ac:dyDescent="0.25">
      <c r="A9615" s="1"/>
    </row>
    <row r="9616" spans="1:1" ht="46.5" customHeight="1" x14ac:dyDescent="0.25">
      <c r="A9616" s="1"/>
    </row>
    <row r="9617" spans="1:1" ht="46.5" customHeight="1" x14ac:dyDescent="0.25">
      <c r="A9617" s="1"/>
    </row>
    <row r="9618" spans="1:1" ht="46.5" customHeight="1" x14ac:dyDescent="0.25">
      <c r="A9618" s="1"/>
    </row>
    <row r="9619" spans="1:1" ht="46.5" customHeight="1" x14ac:dyDescent="0.25">
      <c r="A9619" s="1"/>
    </row>
    <row r="9620" spans="1:1" ht="46.5" customHeight="1" x14ac:dyDescent="0.25">
      <c r="A9620" s="1"/>
    </row>
    <row r="9621" spans="1:1" ht="46.5" customHeight="1" x14ac:dyDescent="0.25">
      <c r="A9621" s="1"/>
    </row>
    <row r="9622" spans="1:1" ht="46.5" customHeight="1" x14ac:dyDescent="0.25">
      <c r="A9622" s="1"/>
    </row>
    <row r="9623" spans="1:1" ht="46.5" customHeight="1" x14ac:dyDescent="0.25">
      <c r="A9623" s="1"/>
    </row>
    <row r="9624" spans="1:1" ht="46.5" customHeight="1" x14ac:dyDescent="0.25">
      <c r="A9624" s="1"/>
    </row>
    <row r="9625" spans="1:1" ht="46.5" customHeight="1" x14ac:dyDescent="0.25">
      <c r="A9625" s="1"/>
    </row>
    <row r="9626" spans="1:1" ht="46.5" customHeight="1" x14ac:dyDescent="0.25">
      <c r="A9626" s="1"/>
    </row>
    <row r="9627" spans="1:1" ht="46.5" customHeight="1" x14ac:dyDescent="0.25">
      <c r="A9627" s="1"/>
    </row>
    <row r="9628" spans="1:1" ht="46.5" customHeight="1" x14ac:dyDescent="0.25">
      <c r="A9628" s="1"/>
    </row>
    <row r="9629" spans="1:1" ht="46.5" customHeight="1" x14ac:dyDescent="0.25">
      <c r="A9629" s="1"/>
    </row>
    <row r="9630" spans="1:1" ht="46.5" customHeight="1" x14ac:dyDescent="0.25">
      <c r="A9630" s="1"/>
    </row>
    <row r="9631" spans="1:1" ht="46.5" customHeight="1" x14ac:dyDescent="0.25">
      <c r="A9631" s="1"/>
    </row>
    <row r="9632" spans="1:1" ht="46.5" customHeight="1" x14ac:dyDescent="0.25">
      <c r="A9632" s="1"/>
    </row>
    <row r="9633" spans="1:1" ht="46.5" customHeight="1" x14ac:dyDescent="0.25">
      <c r="A9633" s="1"/>
    </row>
    <row r="9634" spans="1:1" ht="46.5" customHeight="1" x14ac:dyDescent="0.25">
      <c r="A9634" s="1"/>
    </row>
    <row r="9635" spans="1:1" ht="46.5" customHeight="1" x14ac:dyDescent="0.25">
      <c r="A9635" s="1"/>
    </row>
    <row r="9636" spans="1:1" ht="46.5" customHeight="1" x14ac:dyDescent="0.25">
      <c r="A9636" s="1"/>
    </row>
    <row r="9637" spans="1:1" ht="46.5" customHeight="1" x14ac:dyDescent="0.25">
      <c r="A9637" s="1"/>
    </row>
    <row r="9638" spans="1:1" ht="46.5" customHeight="1" x14ac:dyDescent="0.25">
      <c r="A9638" s="1"/>
    </row>
    <row r="9639" spans="1:1" ht="46.5" customHeight="1" x14ac:dyDescent="0.25">
      <c r="A9639" s="1"/>
    </row>
    <row r="9640" spans="1:1" ht="46.5" customHeight="1" x14ac:dyDescent="0.25">
      <c r="A9640" s="1"/>
    </row>
    <row r="9641" spans="1:1" ht="46.5" customHeight="1" x14ac:dyDescent="0.25">
      <c r="A9641" s="1"/>
    </row>
    <row r="9642" spans="1:1" ht="46.5" customHeight="1" x14ac:dyDescent="0.25">
      <c r="A9642" s="1"/>
    </row>
    <row r="9643" spans="1:1" ht="46.5" customHeight="1" x14ac:dyDescent="0.25">
      <c r="A9643" s="1"/>
    </row>
    <row r="9644" spans="1:1" ht="46.5" customHeight="1" x14ac:dyDescent="0.25">
      <c r="A9644" s="1"/>
    </row>
    <row r="9645" spans="1:1" ht="46.5" customHeight="1" x14ac:dyDescent="0.25">
      <c r="A9645" s="1"/>
    </row>
    <row r="9646" spans="1:1" ht="46.5" customHeight="1" x14ac:dyDescent="0.25">
      <c r="A9646" s="1"/>
    </row>
    <row r="9647" spans="1:1" ht="46.5" customHeight="1" x14ac:dyDescent="0.25">
      <c r="A9647" s="1"/>
    </row>
    <row r="9648" spans="1:1" ht="46.5" customHeight="1" x14ac:dyDescent="0.25">
      <c r="A9648" s="1"/>
    </row>
    <row r="9649" spans="1:1" ht="46.5" customHeight="1" x14ac:dyDescent="0.25">
      <c r="A9649" s="1"/>
    </row>
    <row r="9650" spans="1:1" ht="46.5" customHeight="1" x14ac:dyDescent="0.25">
      <c r="A9650" s="1"/>
    </row>
    <row r="9651" spans="1:1" ht="46.5" customHeight="1" x14ac:dyDescent="0.25">
      <c r="A9651" s="1"/>
    </row>
    <row r="9652" spans="1:1" ht="46.5" customHeight="1" x14ac:dyDescent="0.25">
      <c r="A9652" s="1"/>
    </row>
    <row r="9653" spans="1:1" ht="46.5" customHeight="1" x14ac:dyDescent="0.25">
      <c r="A9653" s="1"/>
    </row>
    <row r="9654" spans="1:1" ht="46.5" customHeight="1" x14ac:dyDescent="0.25">
      <c r="A9654" s="1"/>
    </row>
    <row r="9655" spans="1:1" ht="46.5" customHeight="1" x14ac:dyDescent="0.25">
      <c r="A9655" s="1"/>
    </row>
    <row r="9656" spans="1:1" ht="46.5" customHeight="1" x14ac:dyDescent="0.25">
      <c r="A9656" s="1"/>
    </row>
    <row r="9657" spans="1:1" ht="46.5" customHeight="1" x14ac:dyDescent="0.25">
      <c r="A9657" s="1"/>
    </row>
    <row r="9658" spans="1:1" ht="46.5" customHeight="1" x14ac:dyDescent="0.25">
      <c r="A9658" s="1"/>
    </row>
    <row r="9659" spans="1:1" ht="46.5" customHeight="1" x14ac:dyDescent="0.25">
      <c r="A9659" s="1"/>
    </row>
    <row r="9660" spans="1:1" ht="46.5" customHeight="1" x14ac:dyDescent="0.25">
      <c r="A9660" s="1"/>
    </row>
    <row r="9661" spans="1:1" ht="46.5" customHeight="1" x14ac:dyDescent="0.25">
      <c r="A9661" s="1"/>
    </row>
    <row r="9662" spans="1:1" ht="46.5" customHeight="1" x14ac:dyDescent="0.25">
      <c r="A9662" s="1"/>
    </row>
    <row r="9663" spans="1:1" ht="46.5" customHeight="1" x14ac:dyDescent="0.25">
      <c r="A9663" s="1"/>
    </row>
    <row r="9664" spans="1:1" ht="46.5" customHeight="1" x14ac:dyDescent="0.25">
      <c r="A9664" s="1"/>
    </row>
    <row r="9665" spans="1:1" ht="46.5" customHeight="1" x14ac:dyDescent="0.25">
      <c r="A9665" s="1"/>
    </row>
    <row r="9666" spans="1:1" ht="46.5" customHeight="1" x14ac:dyDescent="0.25">
      <c r="A9666" s="1"/>
    </row>
    <row r="9667" spans="1:1" ht="46.5" customHeight="1" x14ac:dyDescent="0.25">
      <c r="A9667" s="1"/>
    </row>
    <row r="9668" spans="1:1" ht="46.5" customHeight="1" x14ac:dyDescent="0.25">
      <c r="A9668" s="1"/>
    </row>
    <row r="9669" spans="1:1" ht="46.5" customHeight="1" x14ac:dyDescent="0.25">
      <c r="A9669" s="1"/>
    </row>
    <row r="9670" spans="1:1" ht="46.5" customHeight="1" x14ac:dyDescent="0.25">
      <c r="A9670" s="1"/>
    </row>
    <row r="9671" spans="1:1" ht="46.5" customHeight="1" x14ac:dyDescent="0.25">
      <c r="A9671" s="1"/>
    </row>
    <row r="9672" spans="1:1" ht="46.5" customHeight="1" x14ac:dyDescent="0.25">
      <c r="A9672" s="1"/>
    </row>
    <row r="9673" spans="1:1" ht="46.5" customHeight="1" x14ac:dyDescent="0.25">
      <c r="A9673" s="1"/>
    </row>
    <row r="9674" spans="1:1" ht="46.5" customHeight="1" x14ac:dyDescent="0.25">
      <c r="A9674" s="1"/>
    </row>
    <row r="9675" spans="1:1" ht="46.5" customHeight="1" x14ac:dyDescent="0.25">
      <c r="A9675" s="1"/>
    </row>
    <row r="9676" spans="1:1" ht="46.5" customHeight="1" x14ac:dyDescent="0.25">
      <c r="A9676" s="1"/>
    </row>
    <row r="9677" spans="1:1" ht="46.5" customHeight="1" x14ac:dyDescent="0.25">
      <c r="A9677" s="1"/>
    </row>
    <row r="9678" spans="1:1" ht="46.5" customHeight="1" x14ac:dyDescent="0.25">
      <c r="A9678" s="1"/>
    </row>
    <row r="9679" spans="1:1" ht="46.5" customHeight="1" x14ac:dyDescent="0.25">
      <c r="A9679" s="1"/>
    </row>
    <row r="9680" spans="1:1" ht="46.5" customHeight="1" x14ac:dyDescent="0.25">
      <c r="A9680" s="1"/>
    </row>
    <row r="9681" spans="1:1" ht="46.5" customHeight="1" x14ac:dyDescent="0.25">
      <c r="A9681" s="1"/>
    </row>
    <row r="9682" spans="1:1" ht="46.5" customHeight="1" x14ac:dyDescent="0.25">
      <c r="A9682" s="1"/>
    </row>
    <row r="9683" spans="1:1" ht="46.5" customHeight="1" x14ac:dyDescent="0.25">
      <c r="A9683" s="1"/>
    </row>
    <row r="9684" spans="1:1" ht="46.5" customHeight="1" x14ac:dyDescent="0.25">
      <c r="A9684" s="1"/>
    </row>
    <row r="9685" spans="1:1" ht="46.5" customHeight="1" x14ac:dyDescent="0.25">
      <c r="A9685" s="1"/>
    </row>
    <row r="9686" spans="1:1" ht="46.5" customHeight="1" x14ac:dyDescent="0.25">
      <c r="A9686" s="1"/>
    </row>
    <row r="9687" spans="1:1" ht="46.5" customHeight="1" x14ac:dyDescent="0.25">
      <c r="A9687" s="1"/>
    </row>
    <row r="9688" spans="1:1" ht="46.5" customHeight="1" x14ac:dyDescent="0.25">
      <c r="A9688" s="1"/>
    </row>
    <row r="9689" spans="1:1" ht="46.5" customHeight="1" x14ac:dyDescent="0.25">
      <c r="A9689" s="1"/>
    </row>
    <row r="9690" spans="1:1" ht="46.5" customHeight="1" x14ac:dyDescent="0.25">
      <c r="A9690" s="1"/>
    </row>
    <row r="9691" spans="1:1" ht="46.5" customHeight="1" x14ac:dyDescent="0.25">
      <c r="A9691" s="1"/>
    </row>
    <row r="9692" spans="1:1" ht="46.5" customHeight="1" x14ac:dyDescent="0.25">
      <c r="A9692" s="1"/>
    </row>
    <row r="9693" spans="1:1" ht="46.5" customHeight="1" x14ac:dyDescent="0.25">
      <c r="A9693" s="1"/>
    </row>
    <row r="9694" spans="1:1" ht="46.5" customHeight="1" x14ac:dyDescent="0.25">
      <c r="A9694" s="1"/>
    </row>
    <row r="9695" spans="1:1" ht="46.5" customHeight="1" x14ac:dyDescent="0.25">
      <c r="A9695" s="1"/>
    </row>
    <row r="9696" spans="1:1" ht="46.5" customHeight="1" x14ac:dyDescent="0.25">
      <c r="A9696" s="1"/>
    </row>
    <row r="9697" spans="1:1" ht="46.5" customHeight="1" x14ac:dyDescent="0.25">
      <c r="A9697" s="1"/>
    </row>
    <row r="9698" spans="1:1" ht="46.5" customHeight="1" x14ac:dyDescent="0.25">
      <c r="A9698" s="1"/>
    </row>
    <row r="9699" spans="1:1" ht="46.5" customHeight="1" x14ac:dyDescent="0.25">
      <c r="A9699" s="1"/>
    </row>
    <row r="9700" spans="1:1" ht="46.5" customHeight="1" x14ac:dyDescent="0.25">
      <c r="A9700" s="1"/>
    </row>
    <row r="9701" spans="1:1" ht="46.5" customHeight="1" x14ac:dyDescent="0.25">
      <c r="A9701" s="1"/>
    </row>
    <row r="9702" spans="1:1" ht="46.5" customHeight="1" x14ac:dyDescent="0.25">
      <c r="A9702" s="1"/>
    </row>
    <row r="9703" spans="1:1" ht="46.5" customHeight="1" x14ac:dyDescent="0.25">
      <c r="A9703" s="1"/>
    </row>
    <row r="9704" spans="1:1" ht="46.5" customHeight="1" x14ac:dyDescent="0.25">
      <c r="A9704" s="1"/>
    </row>
    <row r="9705" spans="1:1" ht="46.5" customHeight="1" x14ac:dyDescent="0.25">
      <c r="A9705" s="1"/>
    </row>
    <row r="9706" spans="1:1" ht="46.5" customHeight="1" x14ac:dyDescent="0.25">
      <c r="A9706" s="1"/>
    </row>
    <row r="9707" spans="1:1" ht="46.5" customHeight="1" x14ac:dyDescent="0.25">
      <c r="A9707" s="1"/>
    </row>
    <row r="9708" spans="1:1" ht="46.5" customHeight="1" x14ac:dyDescent="0.25">
      <c r="A9708" s="1"/>
    </row>
    <row r="9709" spans="1:1" ht="46.5" customHeight="1" x14ac:dyDescent="0.25">
      <c r="A9709" s="1"/>
    </row>
    <row r="9710" spans="1:1" ht="46.5" customHeight="1" x14ac:dyDescent="0.25">
      <c r="A9710" s="1"/>
    </row>
    <row r="9711" spans="1:1" ht="46.5" customHeight="1" x14ac:dyDescent="0.25">
      <c r="A9711" s="1"/>
    </row>
    <row r="9712" spans="1:1" ht="46.5" customHeight="1" x14ac:dyDescent="0.25">
      <c r="A9712" s="1"/>
    </row>
    <row r="9713" spans="1:1" ht="46.5" customHeight="1" x14ac:dyDescent="0.25">
      <c r="A9713" s="1"/>
    </row>
    <row r="9714" spans="1:1" ht="46.5" customHeight="1" x14ac:dyDescent="0.25">
      <c r="A9714" s="1"/>
    </row>
    <row r="9715" spans="1:1" ht="46.5" customHeight="1" x14ac:dyDescent="0.25">
      <c r="A9715" s="1"/>
    </row>
    <row r="9716" spans="1:1" ht="46.5" customHeight="1" x14ac:dyDescent="0.25">
      <c r="A9716" s="1"/>
    </row>
    <row r="9717" spans="1:1" ht="46.5" customHeight="1" x14ac:dyDescent="0.25">
      <c r="A9717" s="1"/>
    </row>
    <row r="9718" spans="1:1" ht="46.5" customHeight="1" x14ac:dyDescent="0.25">
      <c r="A9718" s="1"/>
    </row>
    <row r="9719" spans="1:1" ht="46.5" customHeight="1" x14ac:dyDescent="0.25">
      <c r="A9719" s="1"/>
    </row>
    <row r="9720" spans="1:1" ht="46.5" customHeight="1" x14ac:dyDescent="0.25">
      <c r="A9720" s="1"/>
    </row>
    <row r="9721" spans="1:1" ht="46.5" customHeight="1" x14ac:dyDescent="0.25">
      <c r="A9721" s="1"/>
    </row>
    <row r="9722" spans="1:1" ht="46.5" customHeight="1" x14ac:dyDescent="0.25">
      <c r="A9722" s="1"/>
    </row>
    <row r="9723" spans="1:1" ht="46.5" customHeight="1" x14ac:dyDescent="0.25">
      <c r="A9723" s="1"/>
    </row>
    <row r="9724" spans="1:1" ht="46.5" customHeight="1" x14ac:dyDescent="0.25">
      <c r="A9724" s="1"/>
    </row>
    <row r="9725" spans="1:1" ht="46.5" customHeight="1" x14ac:dyDescent="0.25">
      <c r="A9725" s="1"/>
    </row>
    <row r="9726" spans="1:1" ht="46.5" customHeight="1" x14ac:dyDescent="0.25">
      <c r="A9726" s="1"/>
    </row>
    <row r="9727" spans="1:1" ht="46.5" customHeight="1" x14ac:dyDescent="0.25">
      <c r="A9727" s="1"/>
    </row>
    <row r="9728" spans="1:1" ht="46.5" customHeight="1" x14ac:dyDescent="0.25">
      <c r="A9728" s="1"/>
    </row>
    <row r="9729" spans="1:1" ht="46.5" customHeight="1" x14ac:dyDescent="0.25">
      <c r="A9729" s="1"/>
    </row>
    <row r="9730" spans="1:1" ht="46.5" customHeight="1" x14ac:dyDescent="0.25">
      <c r="A9730" s="1"/>
    </row>
    <row r="9731" spans="1:1" ht="46.5" customHeight="1" x14ac:dyDescent="0.25">
      <c r="A9731" s="1"/>
    </row>
    <row r="9732" spans="1:1" ht="46.5" customHeight="1" x14ac:dyDescent="0.25">
      <c r="A9732" s="1"/>
    </row>
    <row r="9733" spans="1:1" ht="46.5" customHeight="1" x14ac:dyDescent="0.25">
      <c r="A9733" s="1"/>
    </row>
    <row r="9734" spans="1:1" ht="46.5" customHeight="1" x14ac:dyDescent="0.25">
      <c r="A9734" s="1"/>
    </row>
    <row r="9735" spans="1:1" ht="46.5" customHeight="1" x14ac:dyDescent="0.25">
      <c r="A9735" s="1"/>
    </row>
    <row r="9736" spans="1:1" ht="46.5" customHeight="1" x14ac:dyDescent="0.25">
      <c r="A9736" s="1"/>
    </row>
    <row r="9737" spans="1:1" ht="46.5" customHeight="1" x14ac:dyDescent="0.25">
      <c r="A9737" s="1"/>
    </row>
    <row r="9738" spans="1:1" ht="46.5" customHeight="1" x14ac:dyDescent="0.25">
      <c r="A9738" s="1"/>
    </row>
    <row r="9739" spans="1:1" ht="46.5" customHeight="1" x14ac:dyDescent="0.25">
      <c r="A9739" s="1"/>
    </row>
    <row r="9740" spans="1:1" ht="46.5" customHeight="1" x14ac:dyDescent="0.25">
      <c r="A9740" s="1"/>
    </row>
    <row r="9741" spans="1:1" ht="46.5" customHeight="1" x14ac:dyDescent="0.25">
      <c r="A9741" s="1"/>
    </row>
    <row r="9742" spans="1:1" ht="46.5" customHeight="1" x14ac:dyDescent="0.25">
      <c r="A9742" s="1"/>
    </row>
    <row r="9743" spans="1:1" ht="46.5" customHeight="1" x14ac:dyDescent="0.25">
      <c r="A9743" s="1"/>
    </row>
    <row r="9744" spans="1:1" ht="46.5" customHeight="1" x14ac:dyDescent="0.25">
      <c r="A9744" s="1"/>
    </row>
    <row r="9745" spans="1:1" ht="46.5" customHeight="1" x14ac:dyDescent="0.25">
      <c r="A9745" s="1"/>
    </row>
    <row r="9746" spans="1:1" ht="46.5" customHeight="1" x14ac:dyDescent="0.25">
      <c r="A9746" s="1"/>
    </row>
    <row r="9747" spans="1:1" ht="46.5" customHeight="1" x14ac:dyDescent="0.25">
      <c r="A9747" s="1"/>
    </row>
    <row r="9748" spans="1:1" ht="46.5" customHeight="1" x14ac:dyDescent="0.25">
      <c r="A9748" s="1"/>
    </row>
    <row r="9749" spans="1:1" ht="46.5" customHeight="1" x14ac:dyDescent="0.25">
      <c r="A9749" s="1"/>
    </row>
    <row r="9750" spans="1:1" ht="46.5" customHeight="1" x14ac:dyDescent="0.25">
      <c r="A9750" s="1"/>
    </row>
    <row r="9751" spans="1:1" ht="46.5" customHeight="1" x14ac:dyDescent="0.25">
      <c r="A9751" s="1"/>
    </row>
    <row r="9752" spans="1:1" ht="46.5" customHeight="1" x14ac:dyDescent="0.25">
      <c r="A9752" s="1"/>
    </row>
    <row r="9753" spans="1:1" ht="46.5" customHeight="1" x14ac:dyDescent="0.25">
      <c r="A9753" s="1"/>
    </row>
    <row r="9754" spans="1:1" ht="46.5" customHeight="1" x14ac:dyDescent="0.25">
      <c r="A9754" s="1"/>
    </row>
    <row r="9755" spans="1:1" ht="46.5" customHeight="1" x14ac:dyDescent="0.25">
      <c r="A9755" s="1"/>
    </row>
    <row r="9756" spans="1:1" ht="46.5" customHeight="1" x14ac:dyDescent="0.25">
      <c r="A9756" s="1"/>
    </row>
    <row r="9757" spans="1:1" ht="46.5" customHeight="1" x14ac:dyDescent="0.25">
      <c r="A9757" s="1"/>
    </row>
    <row r="9758" spans="1:1" ht="46.5" customHeight="1" x14ac:dyDescent="0.25">
      <c r="A9758" s="1"/>
    </row>
    <row r="9759" spans="1:1" ht="46.5" customHeight="1" x14ac:dyDescent="0.25">
      <c r="A9759" s="1"/>
    </row>
    <row r="9760" spans="1:1" ht="46.5" customHeight="1" x14ac:dyDescent="0.25">
      <c r="A9760" s="1"/>
    </row>
    <row r="9761" spans="1:1" ht="46.5" customHeight="1" x14ac:dyDescent="0.25">
      <c r="A9761" s="1"/>
    </row>
    <row r="9762" spans="1:1" ht="46.5" customHeight="1" x14ac:dyDescent="0.25">
      <c r="A9762" s="1"/>
    </row>
    <row r="9763" spans="1:1" ht="46.5" customHeight="1" x14ac:dyDescent="0.25">
      <c r="A9763" s="1"/>
    </row>
    <row r="9764" spans="1:1" ht="46.5" customHeight="1" x14ac:dyDescent="0.25">
      <c r="A9764" s="1"/>
    </row>
    <row r="9765" spans="1:1" ht="46.5" customHeight="1" x14ac:dyDescent="0.25">
      <c r="A9765" s="1"/>
    </row>
    <row r="9766" spans="1:1" ht="46.5" customHeight="1" x14ac:dyDescent="0.25">
      <c r="A9766" s="1"/>
    </row>
    <row r="9767" spans="1:1" ht="46.5" customHeight="1" x14ac:dyDescent="0.25">
      <c r="A9767" s="1"/>
    </row>
    <row r="9768" spans="1:1" ht="46.5" customHeight="1" x14ac:dyDescent="0.25">
      <c r="A9768" s="1"/>
    </row>
    <row r="9769" spans="1:1" ht="46.5" customHeight="1" x14ac:dyDescent="0.25">
      <c r="A9769" s="1"/>
    </row>
    <row r="9770" spans="1:1" ht="46.5" customHeight="1" x14ac:dyDescent="0.25">
      <c r="A9770" s="1"/>
    </row>
    <row r="9771" spans="1:1" ht="46.5" customHeight="1" x14ac:dyDescent="0.25">
      <c r="A9771" s="1"/>
    </row>
    <row r="9772" spans="1:1" ht="46.5" customHeight="1" x14ac:dyDescent="0.25">
      <c r="A9772" s="1"/>
    </row>
    <row r="9773" spans="1:1" ht="46.5" customHeight="1" x14ac:dyDescent="0.25">
      <c r="A9773" s="1"/>
    </row>
    <row r="9774" spans="1:1" ht="46.5" customHeight="1" x14ac:dyDescent="0.25">
      <c r="A9774" s="1"/>
    </row>
    <row r="9775" spans="1:1" ht="46.5" customHeight="1" x14ac:dyDescent="0.25">
      <c r="A9775" s="1"/>
    </row>
    <row r="9776" spans="1:1" ht="46.5" customHeight="1" x14ac:dyDescent="0.25">
      <c r="A9776" s="1"/>
    </row>
    <row r="9777" spans="1:1" ht="46.5" customHeight="1" x14ac:dyDescent="0.25">
      <c r="A9777" s="1"/>
    </row>
    <row r="9778" spans="1:1" ht="46.5" customHeight="1" x14ac:dyDescent="0.25">
      <c r="A9778" s="1"/>
    </row>
    <row r="9779" spans="1:1" ht="46.5" customHeight="1" x14ac:dyDescent="0.25">
      <c r="A9779" s="1"/>
    </row>
    <row r="9780" spans="1:1" ht="46.5" customHeight="1" x14ac:dyDescent="0.25">
      <c r="A9780" s="1"/>
    </row>
    <row r="9781" spans="1:1" ht="46.5" customHeight="1" x14ac:dyDescent="0.25">
      <c r="A9781" s="1"/>
    </row>
    <row r="9782" spans="1:1" ht="46.5" customHeight="1" x14ac:dyDescent="0.25">
      <c r="A9782" s="1"/>
    </row>
    <row r="9783" spans="1:1" ht="46.5" customHeight="1" x14ac:dyDescent="0.25">
      <c r="A9783" s="1"/>
    </row>
    <row r="9784" spans="1:1" ht="46.5" customHeight="1" x14ac:dyDescent="0.25">
      <c r="A9784" s="1"/>
    </row>
    <row r="9785" spans="1:1" ht="46.5" customHeight="1" x14ac:dyDescent="0.25">
      <c r="A9785" s="1"/>
    </row>
    <row r="9786" spans="1:1" ht="46.5" customHeight="1" x14ac:dyDescent="0.25">
      <c r="A9786" s="1"/>
    </row>
    <row r="9787" spans="1:1" ht="46.5" customHeight="1" x14ac:dyDescent="0.25">
      <c r="A9787" s="1"/>
    </row>
    <row r="9788" spans="1:1" ht="46.5" customHeight="1" x14ac:dyDescent="0.25">
      <c r="A9788" s="1"/>
    </row>
    <row r="9789" spans="1:1" ht="46.5" customHeight="1" x14ac:dyDescent="0.25">
      <c r="A9789" s="1"/>
    </row>
    <row r="9790" spans="1:1" ht="46.5" customHeight="1" x14ac:dyDescent="0.25">
      <c r="A9790" s="1"/>
    </row>
    <row r="9791" spans="1:1" ht="46.5" customHeight="1" x14ac:dyDescent="0.25">
      <c r="A9791" s="1"/>
    </row>
    <row r="9792" spans="1:1" ht="46.5" customHeight="1" x14ac:dyDescent="0.25">
      <c r="A9792" s="1"/>
    </row>
    <row r="9793" spans="1:1" ht="46.5" customHeight="1" x14ac:dyDescent="0.25">
      <c r="A9793" s="1"/>
    </row>
    <row r="9794" spans="1:1" ht="46.5" customHeight="1" x14ac:dyDescent="0.25">
      <c r="A9794" s="1"/>
    </row>
    <row r="9795" spans="1:1" ht="46.5" customHeight="1" x14ac:dyDescent="0.25">
      <c r="A9795" s="1"/>
    </row>
    <row r="9796" spans="1:1" ht="46.5" customHeight="1" x14ac:dyDescent="0.25">
      <c r="A9796" s="1"/>
    </row>
    <row r="9797" spans="1:1" ht="46.5" customHeight="1" x14ac:dyDescent="0.25">
      <c r="A9797" s="1"/>
    </row>
    <row r="9798" spans="1:1" ht="46.5" customHeight="1" x14ac:dyDescent="0.25">
      <c r="A9798" s="1"/>
    </row>
    <row r="9799" spans="1:1" ht="46.5" customHeight="1" x14ac:dyDescent="0.25">
      <c r="A9799" s="1"/>
    </row>
    <row r="9800" spans="1:1" ht="46.5" customHeight="1" x14ac:dyDescent="0.25">
      <c r="A9800" s="1"/>
    </row>
    <row r="9801" spans="1:1" ht="46.5" customHeight="1" x14ac:dyDescent="0.25">
      <c r="A9801" s="1"/>
    </row>
    <row r="9802" spans="1:1" ht="46.5" customHeight="1" x14ac:dyDescent="0.25">
      <c r="A9802" s="1"/>
    </row>
    <row r="9803" spans="1:1" ht="46.5" customHeight="1" x14ac:dyDescent="0.25">
      <c r="A9803" s="1"/>
    </row>
    <row r="9804" spans="1:1" ht="46.5" customHeight="1" x14ac:dyDescent="0.25">
      <c r="A9804" s="1"/>
    </row>
    <row r="9805" spans="1:1" ht="46.5" customHeight="1" x14ac:dyDescent="0.25">
      <c r="A9805" s="1"/>
    </row>
    <row r="9806" spans="1:1" ht="46.5" customHeight="1" x14ac:dyDescent="0.25">
      <c r="A9806" s="1"/>
    </row>
    <row r="9807" spans="1:1" ht="46.5" customHeight="1" x14ac:dyDescent="0.25">
      <c r="A9807" s="1"/>
    </row>
    <row r="9808" spans="1:1" ht="46.5" customHeight="1" x14ac:dyDescent="0.25">
      <c r="A9808" s="1"/>
    </row>
    <row r="9809" spans="1:1" ht="46.5" customHeight="1" x14ac:dyDescent="0.25">
      <c r="A9809" s="1"/>
    </row>
    <row r="9810" spans="1:1" ht="46.5" customHeight="1" x14ac:dyDescent="0.25">
      <c r="A9810" s="1"/>
    </row>
    <row r="9811" spans="1:1" ht="46.5" customHeight="1" x14ac:dyDescent="0.25">
      <c r="A9811" s="1"/>
    </row>
    <row r="9812" spans="1:1" ht="46.5" customHeight="1" x14ac:dyDescent="0.25">
      <c r="A9812" s="1"/>
    </row>
    <row r="9813" spans="1:1" ht="46.5" customHeight="1" x14ac:dyDescent="0.25">
      <c r="A9813" s="1"/>
    </row>
    <row r="9814" spans="1:1" ht="46.5" customHeight="1" x14ac:dyDescent="0.25">
      <c r="A9814" s="1"/>
    </row>
    <row r="9815" spans="1:1" ht="46.5" customHeight="1" x14ac:dyDescent="0.25">
      <c r="A9815" s="1"/>
    </row>
    <row r="9816" spans="1:1" ht="46.5" customHeight="1" x14ac:dyDescent="0.25">
      <c r="A9816" s="1"/>
    </row>
    <row r="9817" spans="1:1" ht="46.5" customHeight="1" x14ac:dyDescent="0.25">
      <c r="A9817" s="1"/>
    </row>
    <row r="9818" spans="1:1" ht="46.5" customHeight="1" x14ac:dyDescent="0.25">
      <c r="A9818" s="1"/>
    </row>
    <row r="9819" spans="1:1" ht="46.5" customHeight="1" x14ac:dyDescent="0.25">
      <c r="A9819" s="1"/>
    </row>
    <row r="9820" spans="1:1" ht="46.5" customHeight="1" x14ac:dyDescent="0.25">
      <c r="A9820" s="1"/>
    </row>
    <row r="9821" spans="1:1" ht="46.5" customHeight="1" x14ac:dyDescent="0.25">
      <c r="A9821" s="1"/>
    </row>
    <row r="9822" spans="1:1" ht="46.5" customHeight="1" x14ac:dyDescent="0.25">
      <c r="A9822" s="1"/>
    </row>
    <row r="9823" spans="1:1" ht="46.5" customHeight="1" x14ac:dyDescent="0.25">
      <c r="A9823" s="1"/>
    </row>
    <row r="9824" spans="1:1" ht="46.5" customHeight="1" x14ac:dyDescent="0.25">
      <c r="A9824" s="1"/>
    </row>
    <row r="9825" spans="1:1" ht="46.5" customHeight="1" x14ac:dyDescent="0.25">
      <c r="A9825" s="1"/>
    </row>
    <row r="9826" spans="1:1" ht="46.5" customHeight="1" x14ac:dyDescent="0.25">
      <c r="A9826" s="1"/>
    </row>
    <row r="9827" spans="1:1" ht="46.5" customHeight="1" x14ac:dyDescent="0.25">
      <c r="A9827" s="1"/>
    </row>
    <row r="9828" spans="1:1" ht="46.5" customHeight="1" x14ac:dyDescent="0.25">
      <c r="A9828" s="1"/>
    </row>
    <row r="9829" spans="1:1" ht="46.5" customHeight="1" x14ac:dyDescent="0.25">
      <c r="A9829" s="1"/>
    </row>
    <row r="9830" spans="1:1" ht="46.5" customHeight="1" x14ac:dyDescent="0.25">
      <c r="A9830" s="1"/>
    </row>
    <row r="9831" spans="1:1" ht="46.5" customHeight="1" x14ac:dyDescent="0.25">
      <c r="A9831" s="1"/>
    </row>
    <row r="9832" spans="1:1" ht="46.5" customHeight="1" x14ac:dyDescent="0.25">
      <c r="A9832" s="1"/>
    </row>
    <row r="9833" spans="1:1" ht="46.5" customHeight="1" x14ac:dyDescent="0.25">
      <c r="A9833" s="1"/>
    </row>
    <row r="9834" spans="1:1" ht="46.5" customHeight="1" x14ac:dyDescent="0.25">
      <c r="A9834" s="1"/>
    </row>
    <row r="9835" spans="1:1" ht="46.5" customHeight="1" x14ac:dyDescent="0.25">
      <c r="A9835" s="1"/>
    </row>
    <row r="9836" spans="1:1" ht="46.5" customHeight="1" x14ac:dyDescent="0.25">
      <c r="A9836" s="1"/>
    </row>
    <row r="9837" spans="1:1" ht="46.5" customHeight="1" x14ac:dyDescent="0.25">
      <c r="A9837" s="1"/>
    </row>
    <row r="9838" spans="1:1" ht="46.5" customHeight="1" x14ac:dyDescent="0.25">
      <c r="A9838" s="1"/>
    </row>
    <row r="9839" spans="1:1" ht="46.5" customHeight="1" x14ac:dyDescent="0.25">
      <c r="A9839" s="1"/>
    </row>
    <row r="9840" spans="1:1" ht="46.5" customHeight="1" x14ac:dyDescent="0.25">
      <c r="A9840" s="1"/>
    </row>
    <row r="9841" spans="1:1" ht="46.5" customHeight="1" x14ac:dyDescent="0.25">
      <c r="A9841" s="1"/>
    </row>
    <row r="9842" spans="1:1" ht="46.5" customHeight="1" x14ac:dyDescent="0.25">
      <c r="A9842" s="1"/>
    </row>
    <row r="9843" spans="1:1" ht="46.5" customHeight="1" x14ac:dyDescent="0.25">
      <c r="A9843" s="1"/>
    </row>
    <row r="9844" spans="1:1" ht="46.5" customHeight="1" x14ac:dyDescent="0.25">
      <c r="A9844" s="1"/>
    </row>
    <row r="9845" spans="1:1" ht="46.5" customHeight="1" x14ac:dyDescent="0.25">
      <c r="A9845" s="1"/>
    </row>
    <row r="9846" spans="1:1" ht="46.5" customHeight="1" x14ac:dyDescent="0.25">
      <c r="A9846" s="1"/>
    </row>
    <row r="9847" spans="1:1" ht="46.5" customHeight="1" x14ac:dyDescent="0.25">
      <c r="A9847" s="1"/>
    </row>
    <row r="9848" spans="1:1" ht="46.5" customHeight="1" x14ac:dyDescent="0.25">
      <c r="A9848" s="1"/>
    </row>
    <row r="9849" spans="1:1" ht="46.5" customHeight="1" x14ac:dyDescent="0.25">
      <c r="A9849" s="1"/>
    </row>
    <row r="9850" spans="1:1" ht="46.5" customHeight="1" x14ac:dyDescent="0.25">
      <c r="A9850" s="1"/>
    </row>
    <row r="9851" spans="1:1" ht="46.5" customHeight="1" x14ac:dyDescent="0.25">
      <c r="A9851" s="1"/>
    </row>
    <row r="9852" spans="1:1" ht="46.5" customHeight="1" x14ac:dyDescent="0.25">
      <c r="A9852" s="1"/>
    </row>
    <row r="9853" spans="1:1" ht="46.5" customHeight="1" x14ac:dyDescent="0.25">
      <c r="A9853" s="1"/>
    </row>
    <row r="9854" spans="1:1" ht="46.5" customHeight="1" x14ac:dyDescent="0.25">
      <c r="A9854" s="1"/>
    </row>
    <row r="9855" spans="1:1" ht="46.5" customHeight="1" x14ac:dyDescent="0.25">
      <c r="A9855" s="1"/>
    </row>
    <row r="9856" spans="1:1" ht="46.5" customHeight="1" x14ac:dyDescent="0.25">
      <c r="A9856" s="1"/>
    </row>
    <row r="9857" spans="1:1" ht="46.5" customHeight="1" x14ac:dyDescent="0.25">
      <c r="A9857" s="1"/>
    </row>
    <row r="9858" spans="1:1" ht="46.5" customHeight="1" x14ac:dyDescent="0.25">
      <c r="A9858" s="1"/>
    </row>
    <row r="9859" spans="1:1" ht="46.5" customHeight="1" x14ac:dyDescent="0.25">
      <c r="A9859" s="1"/>
    </row>
    <row r="9860" spans="1:1" ht="46.5" customHeight="1" x14ac:dyDescent="0.25">
      <c r="A9860" s="1"/>
    </row>
    <row r="9861" spans="1:1" ht="46.5" customHeight="1" x14ac:dyDescent="0.25">
      <c r="A9861" s="1"/>
    </row>
    <row r="9862" spans="1:1" ht="46.5" customHeight="1" x14ac:dyDescent="0.25">
      <c r="A9862" s="1"/>
    </row>
    <row r="9863" spans="1:1" ht="46.5" customHeight="1" x14ac:dyDescent="0.25">
      <c r="A9863" s="1"/>
    </row>
    <row r="9864" spans="1:1" ht="46.5" customHeight="1" x14ac:dyDescent="0.25">
      <c r="A9864" s="1"/>
    </row>
    <row r="9865" spans="1:1" ht="46.5" customHeight="1" x14ac:dyDescent="0.25">
      <c r="A9865" s="1"/>
    </row>
    <row r="9866" spans="1:1" ht="46.5" customHeight="1" x14ac:dyDescent="0.25">
      <c r="A9866" s="1"/>
    </row>
    <row r="9867" spans="1:1" ht="46.5" customHeight="1" x14ac:dyDescent="0.25">
      <c r="A9867" s="1"/>
    </row>
    <row r="9868" spans="1:1" ht="46.5" customHeight="1" x14ac:dyDescent="0.25">
      <c r="A9868" s="1"/>
    </row>
    <row r="9869" spans="1:1" ht="46.5" customHeight="1" x14ac:dyDescent="0.25">
      <c r="A9869" s="1"/>
    </row>
    <row r="9870" spans="1:1" ht="46.5" customHeight="1" x14ac:dyDescent="0.25">
      <c r="A9870" s="1"/>
    </row>
    <row r="9871" spans="1:1" ht="46.5" customHeight="1" x14ac:dyDescent="0.25">
      <c r="A9871" s="1"/>
    </row>
    <row r="9872" spans="1:1" ht="46.5" customHeight="1" x14ac:dyDescent="0.25">
      <c r="A9872" s="1"/>
    </row>
    <row r="9873" spans="1:1" ht="46.5" customHeight="1" x14ac:dyDescent="0.25">
      <c r="A9873" s="1"/>
    </row>
    <row r="9874" spans="1:1" ht="46.5" customHeight="1" x14ac:dyDescent="0.25">
      <c r="A9874" s="1"/>
    </row>
    <row r="9875" spans="1:1" ht="46.5" customHeight="1" x14ac:dyDescent="0.25">
      <c r="A9875" s="1"/>
    </row>
    <row r="9876" spans="1:1" ht="46.5" customHeight="1" x14ac:dyDescent="0.25">
      <c r="A9876" s="1"/>
    </row>
    <row r="9877" spans="1:1" ht="46.5" customHeight="1" x14ac:dyDescent="0.25">
      <c r="A9877" s="1"/>
    </row>
    <row r="9878" spans="1:1" ht="46.5" customHeight="1" x14ac:dyDescent="0.25">
      <c r="A9878" s="1"/>
    </row>
    <row r="9879" spans="1:1" ht="46.5" customHeight="1" x14ac:dyDescent="0.25">
      <c r="A9879" s="1"/>
    </row>
    <row r="9880" spans="1:1" ht="46.5" customHeight="1" x14ac:dyDescent="0.25">
      <c r="A9880" s="1"/>
    </row>
    <row r="9881" spans="1:1" ht="46.5" customHeight="1" x14ac:dyDescent="0.25">
      <c r="A9881" s="1"/>
    </row>
    <row r="9882" spans="1:1" ht="46.5" customHeight="1" x14ac:dyDescent="0.25">
      <c r="A9882" s="1"/>
    </row>
    <row r="9883" spans="1:1" ht="46.5" customHeight="1" x14ac:dyDescent="0.25">
      <c r="A9883" s="1"/>
    </row>
    <row r="9884" spans="1:1" ht="46.5" customHeight="1" x14ac:dyDescent="0.25">
      <c r="A9884" s="1"/>
    </row>
    <row r="9885" spans="1:1" ht="46.5" customHeight="1" x14ac:dyDescent="0.25">
      <c r="A9885" s="1"/>
    </row>
    <row r="9886" spans="1:1" ht="46.5" customHeight="1" x14ac:dyDescent="0.25">
      <c r="A9886" s="1"/>
    </row>
    <row r="9887" spans="1:1" ht="46.5" customHeight="1" x14ac:dyDescent="0.25">
      <c r="A9887" s="1"/>
    </row>
    <row r="9888" spans="1:1" ht="46.5" customHeight="1" x14ac:dyDescent="0.25">
      <c r="A9888" s="1"/>
    </row>
    <row r="9889" spans="1:1" ht="46.5" customHeight="1" x14ac:dyDescent="0.25">
      <c r="A9889" s="1"/>
    </row>
    <row r="9890" spans="1:1" ht="46.5" customHeight="1" x14ac:dyDescent="0.25">
      <c r="A9890" s="1"/>
    </row>
    <row r="9891" spans="1:1" ht="46.5" customHeight="1" x14ac:dyDescent="0.25">
      <c r="A9891" s="1"/>
    </row>
    <row r="9892" spans="1:1" ht="46.5" customHeight="1" x14ac:dyDescent="0.25">
      <c r="A9892" s="1"/>
    </row>
    <row r="9893" spans="1:1" ht="46.5" customHeight="1" x14ac:dyDescent="0.25">
      <c r="A9893" s="1"/>
    </row>
    <row r="9894" spans="1:1" ht="46.5" customHeight="1" x14ac:dyDescent="0.25">
      <c r="A9894" s="1"/>
    </row>
    <row r="9895" spans="1:1" ht="46.5" customHeight="1" x14ac:dyDescent="0.25">
      <c r="A9895" s="1"/>
    </row>
    <row r="9896" spans="1:1" ht="46.5" customHeight="1" x14ac:dyDescent="0.25">
      <c r="A9896" s="1"/>
    </row>
    <row r="9897" spans="1:1" ht="46.5" customHeight="1" x14ac:dyDescent="0.25">
      <c r="A9897" s="1"/>
    </row>
    <row r="9898" spans="1:1" ht="46.5" customHeight="1" x14ac:dyDescent="0.25">
      <c r="A9898" s="1"/>
    </row>
    <row r="9899" spans="1:1" ht="46.5" customHeight="1" x14ac:dyDescent="0.25">
      <c r="A9899" s="1"/>
    </row>
    <row r="9900" spans="1:1" ht="46.5" customHeight="1" x14ac:dyDescent="0.25">
      <c r="A9900" s="1"/>
    </row>
    <row r="9901" spans="1:1" ht="46.5" customHeight="1" x14ac:dyDescent="0.25">
      <c r="A9901" s="1"/>
    </row>
    <row r="9902" spans="1:1" ht="46.5" customHeight="1" x14ac:dyDescent="0.25">
      <c r="A9902" s="1"/>
    </row>
    <row r="9903" spans="1:1" ht="46.5" customHeight="1" x14ac:dyDescent="0.25">
      <c r="A9903" s="1"/>
    </row>
    <row r="9904" spans="1:1" ht="46.5" customHeight="1" x14ac:dyDescent="0.25">
      <c r="A9904" s="1"/>
    </row>
    <row r="9905" spans="1:1" ht="46.5" customHeight="1" x14ac:dyDescent="0.25">
      <c r="A9905" s="1"/>
    </row>
    <row r="9906" spans="1:1" ht="46.5" customHeight="1" x14ac:dyDescent="0.25">
      <c r="A9906" s="1"/>
    </row>
    <row r="9907" spans="1:1" ht="46.5" customHeight="1" x14ac:dyDescent="0.25">
      <c r="A9907" s="1"/>
    </row>
    <row r="9908" spans="1:1" ht="46.5" customHeight="1" x14ac:dyDescent="0.25">
      <c r="A9908" s="1"/>
    </row>
    <row r="9909" spans="1:1" ht="46.5" customHeight="1" x14ac:dyDescent="0.25">
      <c r="A9909" s="1"/>
    </row>
    <row r="9910" spans="1:1" ht="46.5" customHeight="1" x14ac:dyDescent="0.25">
      <c r="A9910" s="1"/>
    </row>
    <row r="9911" spans="1:1" ht="46.5" customHeight="1" x14ac:dyDescent="0.25">
      <c r="A9911" s="1"/>
    </row>
    <row r="9912" spans="1:1" ht="46.5" customHeight="1" x14ac:dyDescent="0.25">
      <c r="A9912" s="1"/>
    </row>
    <row r="9913" spans="1:1" ht="46.5" customHeight="1" x14ac:dyDescent="0.25">
      <c r="A9913" s="1"/>
    </row>
    <row r="9914" spans="1:1" ht="46.5" customHeight="1" x14ac:dyDescent="0.25">
      <c r="A9914" s="1"/>
    </row>
    <row r="9915" spans="1:1" ht="46.5" customHeight="1" x14ac:dyDescent="0.25">
      <c r="A9915" s="1"/>
    </row>
    <row r="9916" spans="1:1" ht="46.5" customHeight="1" x14ac:dyDescent="0.25">
      <c r="A9916" s="1"/>
    </row>
    <row r="9917" spans="1:1" ht="46.5" customHeight="1" x14ac:dyDescent="0.25">
      <c r="A9917" s="1"/>
    </row>
    <row r="9918" spans="1:1" ht="46.5" customHeight="1" x14ac:dyDescent="0.25">
      <c r="A9918" s="1"/>
    </row>
    <row r="9919" spans="1:1" ht="46.5" customHeight="1" x14ac:dyDescent="0.25">
      <c r="A9919" s="1"/>
    </row>
    <row r="9920" spans="1:1" ht="46.5" customHeight="1" x14ac:dyDescent="0.25">
      <c r="A9920" s="1"/>
    </row>
    <row r="9921" spans="1:1" ht="46.5" customHeight="1" x14ac:dyDescent="0.25">
      <c r="A9921" s="1"/>
    </row>
    <row r="9922" spans="1:1" ht="46.5" customHeight="1" x14ac:dyDescent="0.25">
      <c r="A9922" s="1"/>
    </row>
    <row r="9923" spans="1:1" ht="46.5" customHeight="1" x14ac:dyDescent="0.25">
      <c r="A9923" s="1"/>
    </row>
    <row r="9924" spans="1:1" ht="46.5" customHeight="1" x14ac:dyDescent="0.25">
      <c r="A9924" s="1"/>
    </row>
    <row r="9925" spans="1:1" ht="46.5" customHeight="1" x14ac:dyDescent="0.25">
      <c r="A9925" s="1"/>
    </row>
    <row r="9926" spans="1:1" ht="46.5" customHeight="1" x14ac:dyDescent="0.25">
      <c r="A9926" s="1"/>
    </row>
    <row r="9927" spans="1:1" ht="46.5" customHeight="1" x14ac:dyDescent="0.25">
      <c r="A9927" s="1"/>
    </row>
    <row r="9928" spans="1:1" ht="46.5" customHeight="1" x14ac:dyDescent="0.25">
      <c r="A9928" s="1"/>
    </row>
    <row r="9929" spans="1:1" ht="46.5" customHeight="1" x14ac:dyDescent="0.25">
      <c r="A9929" s="1"/>
    </row>
    <row r="9930" spans="1:1" ht="46.5" customHeight="1" x14ac:dyDescent="0.25">
      <c r="A9930" s="1"/>
    </row>
    <row r="9931" spans="1:1" ht="46.5" customHeight="1" x14ac:dyDescent="0.25">
      <c r="A9931" s="1"/>
    </row>
    <row r="9932" spans="1:1" ht="46.5" customHeight="1" x14ac:dyDescent="0.25">
      <c r="A9932" s="1"/>
    </row>
    <row r="9933" spans="1:1" ht="46.5" customHeight="1" x14ac:dyDescent="0.25">
      <c r="A9933" s="1"/>
    </row>
    <row r="9934" spans="1:1" ht="46.5" customHeight="1" x14ac:dyDescent="0.25">
      <c r="A9934" s="1"/>
    </row>
    <row r="9935" spans="1:1" ht="46.5" customHeight="1" x14ac:dyDescent="0.25">
      <c r="A9935" s="1"/>
    </row>
    <row r="9936" spans="1:1" ht="46.5" customHeight="1" x14ac:dyDescent="0.25">
      <c r="A9936" s="1"/>
    </row>
    <row r="9937" spans="1:1" ht="46.5" customHeight="1" x14ac:dyDescent="0.25">
      <c r="A9937" s="1"/>
    </row>
    <row r="9938" spans="1:1" ht="46.5" customHeight="1" x14ac:dyDescent="0.25">
      <c r="A9938" s="1"/>
    </row>
    <row r="9939" spans="1:1" ht="46.5" customHeight="1" x14ac:dyDescent="0.25">
      <c r="A9939" s="1"/>
    </row>
    <row r="9940" spans="1:1" ht="46.5" customHeight="1" x14ac:dyDescent="0.25">
      <c r="A9940" s="1"/>
    </row>
    <row r="9941" spans="1:1" ht="46.5" customHeight="1" x14ac:dyDescent="0.25">
      <c r="A9941" s="1"/>
    </row>
    <row r="9942" spans="1:1" ht="46.5" customHeight="1" x14ac:dyDescent="0.25">
      <c r="A9942" s="1"/>
    </row>
    <row r="9943" spans="1:1" ht="46.5" customHeight="1" x14ac:dyDescent="0.25">
      <c r="A9943" s="1"/>
    </row>
    <row r="9944" spans="1:1" ht="46.5" customHeight="1" x14ac:dyDescent="0.25">
      <c r="A9944" s="1"/>
    </row>
    <row r="9945" spans="1:1" ht="46.5" customHeight="1" x14ac:dyDescent="0.25">
      <c r="A9945" s="1"/>
    </row>
    <row r="9946" spans="1:1" ht="46.5" customHeight="1" x14ac:dyDescent="0.25">
      <c r="A9946" s="1"/>
    </row>
    <row r="9947" spans="1:1" ht="46.5" customHeight="1" x14ac:dyDescent="0.25">
      <c r="A9947" s="1"/>
    </row>
    <row r="9948" spans="1:1" ht="46.5" customHeight="1" x14ac:dyDescent="0.25">
      <c r="A9948" s="1"/>
    </row>
    <row r="9949" spans="1:1" ht="46.5" customHeight="1" x14ac:dyDescent="0.25">
      <c r="A9949" s="1"/>
    </row>
    <row r="9950" spans="1:1" ht="46.5" customHeight="1" x14ac:dyDescent="0.25">
      <c r="A9950" s="1"/>
    </row>
    <row r="9951" spans="1:1" ht="46.5" customHeight="1" x14ac:dyDescent="0.25">
      <c r="A9951" s="1"/>
    </row>
    <row r="9952" spans="1:1" ht="46.5" customHeight="1" x14ac:dyDescent="0.25">
      <c r="A9952" s="1"/>
    </row>
    <row r="9953" spans="1:1" ht="46.5" customHeight="1" x14ac:dyDescent="0.25">
      <c r="A9953" s="1"/>
    </row>
    <row r="9954" spans="1:1" ht="46.5" customHeight="1" x14ac:dyDescent="0.25">
      <c r="A9954" s="1"/>
    </row>
    <row r="9955" spans="1:1" ht="46.5" customHeight="1" x14ac:dyDescent="0.25">
      <c r="A9955" s="1"/>
    </row>
    <row r="9956" spans="1:1" ht="46.5" customHeight="1" x14ac:dyDescent="0.25">
      <c r="A9956" s="1"/>
    </row>
    <row r="9957" spans="1:1" ht="46.5" customHeight="1" x14ac:dyDescent="0.25">
      <c r="A9957" s="1"/>
    </row>
    <row r="9958" spans="1:1" ht="46.5" customHeight="1" x14ac:dyDescent="0.25">
      <c r="A9958" s="1"/>
    </row>
    <row r="9959" spans="1:1" ht="46.5" customHeight="1" x14ac:dyDescent="0.25">
      <c r="A9959" s="1"/>
    </row>
    <row r="9960" spans="1:1" ht="46.5" customHeight="1" x14ac:dyDescent="0.25">
      <c r="A9960" s="1"/>
    </row>
    <row r="9961" spans="1:1" ht="46.5" customHeight="1" x14ac:dyDescent="0.25">
      <c r="A9961" s="1"/>
    </row>
    <row r="9962" spans="1:1" ht="46.5" customHeight="1" x14ac:dyDescent="0.25">
      <c r="A9962" s="1"/>
    </row>
    <row r="9963" spans="1:1" ht="46.5" customHeight="1" x14ac:dyDescent="0.25">
      <c r="A9963" s="1"/>
    </row>
    <row r="9964" spans="1:1" ht="46.5" customHeight="1" x14ac:dyDescent="0.25">
      <c r="A9964" s="1"/>
    </row>
    <row r="9965" spans="1:1" ht="46.5" customHeight="1" x14ac:dyDescent="0.25">
      <c r="A9965" s="1"/>
    </row>
    <row r="9966" spans="1:1" ht="46.5" customHeight="1" x14ac:dyDescent="0.25">
      <c r="A9966" s="1"/>
    </row>
    <row r="9967" spans="1:1" ht="46.5" customHeight="1" x14ac:dyDescent="0.25">
      <c r="A9967" s="1"/>
    </row>
    <row r="9968" spans="1:1" ht="46.5" customHeight="1" x14ac:dyDescent="0.25">
      <c r="A9968" s="1"/>
    </row>
    <row r="9969" spans="1:1" ht="46.5" customHeight="1" x14ac:dyDescent="0.25">
      <c r="A9969" s="1"/>
    </row>
    <row r="9970" spans="1:1" ht="46.5" customHeight="1" x14ac:dyDescent="0.25">
      <c r="A9970" s="1"/>
    </row>
    <row r="9971" spans="1:1" ht="46.5" customHeight="1" x14ac:dyDescent="0.25">
      <c r="A9971" s="1"/>
    </row>
    <row r="9972" spans="1:1" ht="46.5" customHeight="1" x14ac:dyDescent="0.25">
      <c r="A9972" s="1"/>
    </row>
    <row r="9973" spans="1:1" ht="46.5" customHeight="1" x14ac:dyDescent="0.25">
      <c r="A9973" s="1"/>
    </row>
    <row r="9974" spans="1:1" ht="46.5" customHeight="1" x14ac:dyDescent="0.25">
      <c r="A9974" s="1"/>
    </row>
    <row r="9975" spans="1:1" ht="46.5" customHeight="1" x14ac:dyDescent="0.25">
      <c r="A9975" s="1"/>
    </row>
    <row r="9976" spans="1:1" ht="46.5" customHeight="1" x14ac:dyDescent="0.25">
      <c r="A9976" s="1"/>
    </row>
    <row r="9977" spans="1:1" ht="46.5" customHeight="1" x14ac:dyDescent="0.25">
      <c r="A9977" s="1"/>
    </row>
    <row r="9978" spans="1:1" ht="46.5" customHeight="1" x14ac:dyDescent="0.25">
      <c r="A9978" s="1"/>
    </row>
    <row r="9979" spans="1:1" ht="46.5" customHeight="1" x14ac:dyDescent="0.25">
      <c r="A9979" s="1"/>
    </row>
    <row r="9980" spans="1:1" ht="46.5" customHeight="1" x14ac:dyDescent="0.25">
      <c r="A9980" s="1"/>
    </row>
    <row r="9981" spans="1:1" ht="46.5" customHeight="1" x14ac:dyDescent="0.25">
      <c r="A9981" s="1"/>
    </row>
    <row r="9982" spans="1:1" ht="46.5" customHeight="1" x14ac:dyDescent="0.25">
      <c r="A9982" s="1"/>
    </row>
    <row r="9983" spans="1:1" ht="46.5" customHeight="1" x14ac:dyDescent="0.25">
      <c r="A9983" s="1"/>
    </row>
    <row r="9984" spans="1:1" ht="46.5" customHeight="1" x14ac:dyDescent="0.25">
      <c r="A9984" s="1"/>
    </row>
    <row r="9985" spans="1:1" ht="46.5" customHeight="1" x14ac:dyDescent="0.25">
      <c r="A9985" s="1"/>
    </row>
    <row r="9986" spans="1:1" ht="46.5" customHeight="1" x14ac:dyDescent="0.25">
      <c r="A9986" s="1"/>
    </row>
    <row r="9987" spans="1:1" ht="46.5" customHeight="1" x14ac:dyDescent="0.25">
      <c r="A9987" s="1"/>
    </row>
    <row r="9988" spans="1:1" ht="46.5" customHeight="1" x14ac:dyDescent="0.25">
      <c r="A9988" s="1"/>
    </row>
    <row r="9989" spans="1:1" ht="46.5" customHeight="1" x14ac:dyDescent="0.25">
      <c r="A9989" s="1"/>
    </row>
    <row r="9990" spans="1:1" ht="46.5" customHeight="1" x14ac:dyDescent="0.25">
      <c r="A9990" s="1"/>
    </row>
    <row r="9991" spans="1:1" ht="46.5" customHeight="1" x14ac:dyDescent="0.25">
      <c r="A9991" s="1"/>
    </row>
    <row r="9992" spans="1:1" ht="46.5" customHeight="1" x14ac:dyDescent="0.25">
      <c r="A9992" s="1"/>
    </row>
    <row r="9993" spans="1:1" ht="46.5" customHeight="1" x14ac:dyDescent="0.25">
      <c r="A9993" s="1"/>
    </row>
    <row r="9994" spans="1:1" ht="46.5" customHeight="1" x14ac:dyDescent="0.25">
      <c r="A9994" s="1"/>
    </row>
    <row r="9995" spans="1:1" ht="46.5" customHeight="1" x14ac:dyDescent="0.25">
      <c r="A9995" s="1"/>
    </row>
    <row r="9996" spans="1:1" ht="46.5" customHeight="1" x14ac:dyDescent="0.25">
      <c r="A9996" s="1"/>
    </row>
    <row r="9997" spans="1:1" ht="46.5" customHeight="1" x14ac:dyDescent="0.25">
      <c r="A9997" s="1"/>
    </row>
    <row r="9998" spans="1:1" ht="46.5" customHeight="1" x14ac:dyDescent="0.25">
      <c r="A9998" s="1"/>
    </row>
    <row r="9999" spans="1:1" ht="46.5" customHeight="1" x14ac:dyDescent="0.25">
      <c r="A9999" s="1"/>
    </row>
    <row r="10000" spans="1:1" ht="46.5" customHeight="1" x14ac:dyDescent="0.25">
      <c r="A10000" s="1"/>
    </row>
    <row r="10001" spans="1:1" ht="46.5" customHeight="1" x14ac:dyDescent="0.25">
      <c r="A10001" s="1"/>
    </row>
    <row r="10002" spans="1:1" ht="46.5" customHeight="1" x14ac:dyDescent="0.25">
      <c r="A10002" s="1"/>
    </row>
    <row r="10003" spans="1:1" ht="46.5" customHeight="1" x14ac:dyDescent="0.25">
      <c r="A10003" s="1"/>
    </row>
    <row r="10004" spans="1:1" ht="46.5" customHeight="1" x14ac:dyDescent="0.25">
      <c r="A10004" s="1"/>
    </row>
    <row r="10005" spans="1:1" ht="46.5" customHeight="1" x14ac:dyDescent="0.25">
      <c r="A10005" s="1"/>
    </row>
    <row r="10006" spans="1:1" ht="46.5" customHeight="1" x14ac:dyDescent="0.25">
      <c r="A10006" s="1"/>
    </row>
    <row r="10007" spans="1:1" ht="46.5" customHeight="1" x14ac:dyDescent="0.25">
      <c r="A10007" s="1"/>
    </row>
    <row r="10008" spans="1:1" ht="46.5" customHeight="1" x14ac:dyDescent="0.25">
      <c r="A10008" s="1"/>
    </row>
    <row r="10009" spans="1:1" ht="46.5" customHeight="1" x14ac:dyDescent="0.25">
      <c r="A10009" s="1"/>
    </row>
    <row r="10010" spans="1:1" ht="46.5" customHeight="1" x14ac:dyDescent="0.25">
      <c r="A10010" s="1"/>
    </row>
    <row r="10011" spans="1:1" ht="46.5" customHeight="1" x14ac:dyDescent="0.25">
      <c r="A10011" s="1"/>
    </row>
    <row r="10012" spans="1:1" ht="46.5" customHeight="1" x14ac:dyDescent="0.25">
      <c r="A10012" s="1"/>
    </row>
    <row r="10013" spans="1:1" ht="46.5" customHeight="1" x14ac:dyDescent="0.25">
      <c r="A10013" s="1"/>
    </row>
    <row r="10014" spans="1:1" ht="46.5" customHeight="1" x14ac:dyDescent="0.25">
      <c r="A10014" s="1"/>
    </row>
    <row r="10015" spans="1:1" ht="46.5" customHeight="1" x14ac:dyDescent="0.25">
      <c r="A10015" s="1"/>
    </row>
    <row r="10016" spans="1:1" ht="46.5" customHeight="1" x14ac:dyDescent="0.25">
      <c r="A10016" s="1"/>
    </row>
    <row r="10017" spans="1:1" ht="46.5" customHeight="1" x14ac:dyDescent="0.25">
      <c r="A10017" s="1"/>
    </row>
    <row r="10018" spans="1:1" ht="46.5" customHeight="1" x14ac:dyDescent="0.25">
      <c r="A10018" s="1"/>
    </row>
    <row r="10019" spans="1:1" ht="46.5" customHeight="1" x14ac:dyDescent="0.25">
      <c r="A10019" s="1"/>
    </row>
    <row r="10020" spans="1:1" ht="46.5" customHeight="1" x14ac:dyDescent="0.25">
      <c r="A10020" s="1"/>
    </row>
    <row r="10021" spans="1:1" ht="46.5" customHeight="1" x14ac:dyDescent="0.25">
      <c r="A10021" s="1"/>
    </row>
    <row r="10022" spans="1:1" ht="46.5" customHeight="1" x14ac:dyDescent="0.25">
      <c r="A10022" s="1"/>
    </row>
    <row r="10023" spans="1:1" ht="46.5" customHeight="1" x14ac:dyDescent="0.25">
      <c r="A10023" s="1"/>
    </row>
    <row r="10024" spans="1:1" ht="46.5" customHeight="1" x14ac:dyDescent="0.25">
      <c r="A10024" s="1"/>
    </row>
    <row r="10025" spans="1:1" ht="46.5" customHeight="1" x14ac:dyDescent="0.25">
      <c r="A10025" s="1"/>
    </row>
    <row r="10026" spans="1:1" ht="46.5" customHeight="1" x14ac:dyDescent="0.25">
      <c r="A10026" s="1"/>
    </row>
    <row r="10027" spans="1:1" ht="46.5" customHeight="1" x14ac:dyDescent="0.25">
      <c r="A10027" s="1"/>
    </row>
    <row r="10028" spans="1:1" ht="46.5" customHeight="1" x14ac:dyDescent="0.25">
      <c r="A10028" s="1"/>
    </row>
    <row r="10029" spans="1:1" ht="46.5" customHeight="1" x14ac:dyDescent="0.25">
      <c r="A10029" s="1"/>
    </row>
    <row r="10030" spans="1:1" ht="46.5" customHeight="1" x14ac:dyDescent="0.25">
      <c r="A10030" s="1"/>
    </row>
    <row r="10031" spans="1:1" ht="46.5" customHeight="1" x14ac:dyDescent="0.25">
      <c r="A10031" s="1"/>
    </row>
    <row r="10032" spans="1:1" ht="46.5" customHeight="1" x14ac:dyDescent="0.25">
      <c r="A10032" s="1"/>
    </row>
    <row r="10033" spans="1:1" ht="46.5" customHeight="1" x14ac:dyDescent="0.25">
      <c r="A10033" s="1"/>
    </row>
    <row r="10034" spans="1:1" ht="46.5" customHeight="1" x14ac:dyDescent="0.25">
      <c r="A10034" s="1"/>
    </row>
    <row r="10035" spans="1:1" ht="46.5" customHeight="1" x14ac:dyDescent="0.25">
      <c r="A10035" s="1"/>
    </row>
    <row r="10036" spans="1:1" ht="46.5" customHeight="1" x14ac:dyDescent="0.25">
      <c r="A10036" s="1"/>
    </row>
    <row r="10037" spans="1:1" ht="46.5" customHeight="1" x14ac:dyDescent="0.25">
      <c r="A10037" s="1"/>
    </row>
    <row r="10038" spans="1:1" ht="46.5" customHeight="1" x14ac:dyDescent="0.25">
      <c r="A10038" s="1"/>
    </row>
    <row r="10039" spans="1:1" ht="46.5" customHeight="1" x14ac:dyDescent="0.25">
      <c r="A10039" s="1"/>
    </row>
    <row r="10040" spans="1:1" ht="46.5" customHeight="1" x14ac:dyDescent="0.25">
      <c r="A10040" s="1"/>
    </row>
    <row r="10041" spans="1:1" ht="46.5" customHeight="1" x14ac:dyDescent="0.25">
      <c r="A10041" s="1"/>
    </row>
    <row r="10042" spans="1:1" ht="46.5" customHeight="1" x14ac:dyDescent="0.25">
      <c r="A10042" s="1"/>
    </row>
    <row r="10043" spans="1:1" ht="46.5" customHeight="1" x14ac:dyDescent="0.25">
      <c r="A10043" s="1"/>
    </row>
    <row r="10044" spans="1:1" ht="46.5" customHeight="1" x14ac:dyDescent="0.25">
      <c r="A10044" s="1"/>
    </row>
    <row r="10045" spans="1:1" ht="46.5" customHeight="1" x14ac:dyDescent="0.25">
      <c r="A10045" s="1"/>
    </row>
    <row r="10046" spans="1:1" ht="46.5" customHeight="1" x14ac:dyDescent="0.25">
      <c r="A10046" s="1"/>
    </row>
    <row r="10047" spans="1:1" ht="46.5" customHeight="1" x14ac:dyDescent="0.25">
      <c r="A10047" s="1"/>
    </row>
    <row r="10048" spans="1:1" ht="46.5" customHeight="1" x14ac:dyDescent="0.25">
      <c r="A10048" s="1"/>
    </row>
    <row r="10049" spans="1:1" ht="46.5" customHeight="1" x14ac:dyDescent="0.25">
      <c r="A10049" s="1"/>
    </row>
    <row r="10050" spans="1:1" ht="46.5" customHeight="1" x14ac:dyDescent="0.25">
      <c r="A10050" s="1"/>
    </row>
    <row r="10051" spans="1:1" ht="46.5" customHeight="1" x14ac:dyDescent="0.25">
      <c r="A10051" s="1"/>
    </row>
    <row r="10052" spans="1:1" ht="46.5" customHeight="1" x14ac:dyDescent="0.25">
      <c r="A10052" s="1"/>
    </row>
    <row r="10053" spans="1:1" ht="46.5" customHeight="1" x14ac:dyDescent="0.25">
      <c r="A10053" s="1"/>
    </row>
    <row r="10054" spans="1:1" ht="46.5" customHeight="1" x14ac:dyDescent="0.25">
      <c r="A10054" s="1"/>
    </row>
    <row r="10055" spans="1:1" ht="46.5" customHeight="1" x14ac:dyDescent="0.25">
      <c r="A10055" s="1"/>
    </row>
    <row r="10056" spans="1:1" ht="46.5" customHeight="1" x14ac:dyDescent="0.25">
      <c r="A10056" s="1"/>
    </row>
    <row r="10057" spans="1:1" ht="46.5" customHeight="1" x14ac:dyDescent="0.25">
      <c r="A10057" s="1"/>
    </row>
    <row r="10058" spans="1:1" ht="46.5" customHeight="1" x14ac:dyDescent="0.25">
      <c r="A10058" s="1"/>
    </row>
    <row r="10059" spans="1:1" ht="46.5" customHeight="1" x14ac:dyDescent="0.25">
      <c r="A10059" s="1"/>
    </row>
    <row r="10060" spans="1:1" ht="46.5" customHeight="1" x14ac:dyDescent="0.25">
      <c r="A10060" s="1"/>
    </row>
    <row r="10061" spans="1:1" ht="46.5" customHeight="1" x14ac:dyDescent="0.25">
      <c r="A10061" s="1"/>
    </row>
    <row r="10062" spans="1:1" ht="46.5" customHeight="1" x14ac:dyDescent="0.25">
      <c r="A10062" s="1"/>
    </row>
    <row r="10063" spans="1:1" ht="46.5" customHeight="1" x14ac:dyDescent="0.25">
      <c r="A10063" s="1"/>
    </row>
    <row r="10064" spans="1:1" ht="46.5" customHeight="1" x14ac:dyDescent="0.25">
      <c r="A10064" s="1"/>
    </row>
    <row r="10065" spans="1:1" ht="46.5" customHeight="1" x14ac:dyDescent="0.25">
      <c r="A10065" s="1"/>
    </row>
    <row r="10066" spans="1:1" ht="46.5" customHeight="1" x14ac:dyDescent="0.25">
      <c r="A10066" s="1"/>
    </row>
    <row r="10067" spans="1:1" ht="46.5" customHeight="1" x14ac:dyDescent="0.25">
      <c r="A10067" s="1"/>
    </row>
    <row r="10068" spans="1:1" ht="46.5" customHeight="1" x14ac:dyDescent="0.25">
      <c r="A10068" s="1"/>
    </row>
    <row r="10069" spans="1:1" ht="46.5" customHeight="1" x14ac:dyDescent="0.25">
      <c r="A10069" s="1"/>
    </row>
    <row r="10070" spans="1:1" ht="46.5" customHeight="1" x14ac:dyDescent="0.25">
      <c r="A10070" s="1"/>
    </row>
    <row r="10071" spans="1:1" ht="46.5" customHeight="1" x14ac:dyDescent="0.25">
      <c r="A10071" s="1"/>
    </row>
    <row r="10072" spans="1:1" ht="46.5" customHeight="1" x14ac:dyDescent="0.25">
      <c r="A10072" s="1"/>
    </row>
    <row r="10073" spans="1:1" ht="46.5" customHeight="1" x14ac:dyDescent="0.25">
      <c r="A10073" s="1"/>
    </row>
    <row r="10074" spans="1:1" ht="46.5" customHeight="1" x14ac:dyDescent="0.25">
      <c r="A10074" s="1"/>
    </row>
    <row r="10075" spans="1:1" ht="46.5" customHeight="1" x14ac:dyDescent="0.25">
      <c r="A10075" s="1"/>
    </row>
    <row r="10076" spans="1:1" ht="46.5" customHeight="1" x14ac:dyDescent="0.25">
      <c r="A10076" s="1"/>
    </row>
    <row r="10077" spans="1:1" ht="46.5" customHeight="1" x14ac:dyDescent="0.25">
      <c r="A10077" s="1"/>
    </row>
    <row r="10078" spans="1:1" ht="46.5" customHeight="1" x14ac:dyDescent="0.25">
      <c r="A10078" s="1"/>
    </row>
    <row r="10079" spans="1:1" ht="46.5" customHeight="1" x14ac:dyDescent="0.25">
      <c r="A10079" s="1"/>
    </row>
    <row r="10080" spans="1:1" ht="46.5" customHeight="1" x14ac:dyDescent="0.25">
      <c r="A10080" s="1"/>
    </row>
    <row r="10081" spans="1:1" ht="46.5" customHeight="1" x14ac:dyDescent="0.25">
      <c r="A10081" s="1"/>
    </row>
    <row r="10082" spans="1:1" ht="46.5" customHeight="1" x14ac:dyDescent="0.25">
      <c r="A10082" s="1"/>
    </row>
    <row r="10083" spans="1:1" ht="46.5" customHeight="1" x14ac:dyDescent="0.25">
      <c r="A10083" s="1"/>
    </row>
    <row r="10084" spans="1:1" ht="46.5" customHeight="1" x14ac:dyDescent="0.25">
      <c r="A10084" s="1"/>
    </row>
    <row r="10085" spans="1:1" ht="46.5" customHeight="1" x14ac:dyDescent="0.25">
      <c r="A10085" s="1"/>
    </row>
    <row r="10086" spans="1:1" ht="46.5" customHeight="1" x14ac:dyDescent="0.25">
      <c r="A10086" s="1"/>
    </row>
    <row r="10087" spans="1:1" ht="46.5" customHeight="1" x14ac:dyDescent="0.25">
      <c r="A10087" s="1"/>
    </row>
    <row r="10088" spans="1:1" ht="46.5" customHeight="1" x14ac:dyDescent="0.25">
      <c r="A10088" s="1"/>
    </row>
    <row r="10089" spans="1:1" ht="46.5" customHeight="1" x14ac:dyDescent="0.25">
      <c r="A10089" s="1"/>
    </row>
    <row r="10090" spans="1:1" ht="46.5" customHeight="1" x14ac:dyDescent="0.25">
      <c r="A10090" s="1"/>
    </row>
    <row r="10091" spans="1:1" ht="46.5" customHeight="1" x14ac:dyDescent="0.25">
      <c r="A10091" s="1"/>
    </row>
    <row r="10092" spans="1:1" ht="46.5" customHeight="1" x14ac:dyDescent="0.25">
      <c r="A10092" s="1"/>
    </row>
    <row r="10093" spans="1:1" ht="46.5" customHeight="1" x14ac:dyDescent="0.25">
      <c r="A10093" s="1"/>
    </row>
    <row r="10094" spans="1:1" ht="46.5" customHeight="1" x14ac:dyDescent="0.25">
      <c r="A10094" s="1"/>
    </row>
    <row r="10095" spans="1:1" ht="46.5" customHeight="1" x14ac:dyDescent="0.25">
      <c r="A10095" s="1"/>
    </row>
    <row r="10096" spans="1:1" ht="46.5" customHeight="1" x14ac:dyDescent="0.25">
      <c r="A10096" s="1"/>
    </row>
    <row r="10097" spans="1:1" ht="46.5" customHeight="1" x14ac:dyDescent="0.25">
      <c r="A10097" s="1"/>
    </row>
    <row r="10098" spans="1:1" ht="46.5" customHeight="1" x14ac:dyDescent="0.25">
      <c r="A10098" s="1"/>
    </row>
    <row r="10099" spans="1:1" ht="46.5" customHeight="1" x14ac:dyDescent="0.25">
      <c r="A10099" s="1"/>
    </row>
    <row r="10100" spans="1:1" ht="46.5" customHeight="1" x14ac:dyDescent="0.25">
      <c r="A10100" s="1"/>
    </row>
    <row r="10101" spans="1:1" ht="46.5" customHeight="1" x14ac:dyDescent="0.25">
      <c r="A10101" s="1"/>
    </row>
    <row r="10102" spans="1:1" ht="46.5" customHeight="1" x14ac:dyDescent="0.25">
      <c r="A10102" s="1"/>
    </row>
    <row r="10103" spans="1:1" ht="46.5" customHeight="1" x14ac:dyDescent="0.25">
      <c r="A10103" s="1"/>
    </row>
    <row r="10104" spans="1:1" ht="46.5" customHeight="1" x14ac:dyDescent="0.25">
      <c r="A10104" s="1"/>
    </row>
    <row r="10105" spans="1:1" ht="46.5" customHeight="1" x14ac:dyDescent="0.25">
      <c r="A10105" s="1"/>
    </row>
    <row r="10106" spans="1:1" ht="46.5" customHeight="1" x14ac:dyDescent="0.25">
      <c r="A10106" s="1"/>
    </row>
    <row r="10107" spans="1:1" ht="46.5" customHeight="1" x14ac:dyDescent="0.25">
      <c r="A10107" s="1"/>
    </row>
    <row r="10108" spans="1:1" ht="46.5" customHeight="1" x14ac:dyDescent="0.25">
      <c r="A10108" s="1"/>
    </row>
    <row r="10109" spans="1:1" ht="46.5" customHeight="1" x14ac:dyDescent="0.25">
      <c r="A10109" s="1"/>
    </row>
    <row r="10110" spans="1:1" ht="46.5" customHeight="1" x14ac:dyDescent="0.25">
      <c r="A10110" s="1"/>
    </row>
    <row r="10111" spans="1:1" ht="46.5" customHeight="1" x14ac:dyDescent="0.25">
      <c r="A10111" s="1"/>
    </row>
    <row r="10112" spans="1:1" ht="46.5" customHeight="1" x14ac:dyDescent="0.25">
      <c r="A10112" s="1"/>
    </row>
    <row r="10113" spans="1:1" ht="46.5" customHeight="1" x14ac:dyDescent="0.25">
      <c r="A10113" s="1"/>
    </row>
    <row r="10114" spans="1:1" ht="46.5" customHeight="1" x14ac:dyDescent="0.25">
      <c r="A10114" s="1"/>
    </row>
    <row r="10115" spans="1:1" ht="46.5" customHeight="1" x14ac:dyDescent="0.25">
      <c r="A10115" s="1"/>
    </row>
    <row r="10116" spans="1:1" ht="46.5" customHeight="1" x14ac:dyDescent="0.25">
      <c r="A10116" s="1"/>
    </row>
    <row r="10117" spans="1:1" ht="46.5" customHeight="1" x14ac:dyDescent="0.25">
      <c r="A10117" s="1"/>
    </row>
    <row r="10118" spans="1:1" ht="46.5" customHeight="1" x14ac:dyDescent="0.25">
      <c r="A10118" s="1"/>
    </row>
    <row r="10119" spans="1:1" ht="46.5" customHeight="1" x14ac:dyDescent="0.25">
      <c r="A10119" s="1"/>
    </row>
    <row r="10120" spans="1:1" ht="46.5" customHeight="1" x14ac:dyDescent="0.25">
      <c r="A10120" s="1"/>
    </row>
    <row r="10121" spans="1:1" ht="46.5" customHeight="1" x14ac:dyDescent="0.25">
      <c r="A10121" s="1"/>
    </row>
    <row r="10122" spans="1:1" ht="46.5" customHeight="1" x14ac:dyDescent="0.25">
      <c r="A10122" s="1"/>
    </row>
    <row r="10123" spans="1:1" ht="46.5" customHeight="1" x14ac:dyDescent="0.25">
      <c r="A10123" s="1"/>
    </row>
    <row r="10124" spans="1:1" ht="46.5" customHeight="1" x14ac:dyDescent="0.25">
      <c r="A10124" s="1"/>
    </row>
    <row r="10125" spans="1:1" ht="46.5" customHeight="1" x14ac:dyDescent="0.25">
      <c r="A10125" s="1"/>
    </row>
    <row r="10126" spans="1:1" ht="46.5" customHeight="1" x14ac:dyDescent="0.25">
      <c r="A10126" s="1"/>
    </row>
    <row r="10127" spans="1:1" ht="46.5" customHeight="1" x14ac:dyDescent="0.25">
      <c r="A10127" s="1"/>
    </row>
    <row r="10128" spans="1:1" ht="46.5" customHeight="1" x14ac:dyDescent="0.25">
      <c r="A10128" s="1"/>
    </row>
    <row r="10129" spans="1:1" ht="46.5" customHeight="1" x14ac:dyDescent="0.25">
      <c r="A10129" s="1"/>
    </row>
    <row r="10130" spans="1:1" ht="46.5" customHeight="1" x14ac:dyDescent="0.25">
      <c r="A10130" s="1"/>
    </row>
    <row r="10131" spans="1:1" ht="46.5" customHeight="1" x14ac:dyDescent="0.25">
      <c r="A10131" s="1"/>
    </row>
    <row r="10132" spans="1:1" ht="46.5" customHeight="1" x14ac:dyDescent="0.25">
      <c r="A10132" s="1"/>
    </row>
    <row r="10133" spans="1:1" ht="46.5" customHeight="1" x14ac:dyDescent="0.25">
      <c r="A10133" s="1"/>
    </row>
    <row r="10134" spans="1:1" ht="46.5" customHeight="1" x14ac:dyDescent="0.25">
      <c r="A10134" s="1"/>
    </row>
    <row r="10135" spans="1:1" ht="46.5" customHeight="1" x14ac:dyDescent="0.25">
      <c r="A10135" s="1"/>
    </row>
    <row r="10136" spans="1:1" ht="46.5" customHeight="1" x14ac:dyDescent="0.25">
      <c r="A10136" s="1"/>
    </row>
    <row r="10137" spans="1:1" ht="46.5" customHeight="1" x14ac:dyDescent="0.25">
      <c r="A10137" s="1"/>
    </row>
    <row r="10138" spans="1:1" ht="46.5" customHeight="1" x14ac:dyDescent="0.25">
      <c r="A10138" s="1"/>
    </row>
    <row r="10139" spans="1:1" ht="46.5" customHeight="1" x14ac:dyDescent="0.25">
      <c r="A10139" s="1"/>
    </row>
    <row r="10140" spans="1:1" ht="46.5" customHeight="1" x14ac:dyDescent="0.25">
      <c r="A10140" s="1"/>
    </row>
    <row r="10141" spans="1:1" ht="46.5" customHeight="1" x14ac:dyDescent="0.25">
      <c r="A10141" s="1"/>
    </row>
    <row r="10142" spans="1:1" ht="46.5" customHeight="1" x14ac:dyDescent="0.25">
      <c r="A10142" s="1"/>
    </row>
    <row r="10143" spans="1:1" ht="46.5" customHeight="1" x14ac:dyDescent="0.25">
      <c r="A10143" s="1"/>
    </row>
    <row r="10144" spans="1:1" ht="46.5" customHeight="1" x14ac:dyDescent="0.25">
      <c r="A10144" s="1"/>
    </row>
    <row r="10145" spans="1:1" ht="46.5" customHeight="1" x14ac:dyDescent="0.25">
      <c r="A10145" s="1"/>
    </row>
    <row r="10146" spans="1:1" ht="46.5" customHeight="1" x14ac:dyDescent="0.25">
      <c r="A10146" s="1"/>
    </row>
    <row r="10147" spans="1:1" ht="46.5" customHeight="1" x14ac:dyDescent="0.25">
      <c r="A10147" s="1"/>
    </row>
    <row r="10148" spans="1:1" ht="46.5" customHeight="1" x14ac:dyDescent="0.25">
      <c r="A10148" s="1"/>
    </row>
    <row r="10149" spans="1:1" ht="46.5" customHeight="1" x14ac:dyDescent="0.25">
      <c r="A10149" s="1"/>
    </row>
    <row r="10150" spans="1:1" ht="46.5" customHeight="1" x14ac:dyDescent="0.25">
      <c r="A10150" s="1"/>
    </row>
    <row r="10151" spans="1:1" ht="46.5" customHeight="1" x14ac:dyDescent="0.25">
      <c r="A10151" s="1"/>
    </row>
    <row r="10152" spans="1:1" ht="46.5" customHeight="1" x14ac:dyDescent="0.25">
      <c r="A10152" s="1"/>
    </row>
    <row r="10153" spans="1:1" ht="46.5" customHeight="1" x14ac:dyDescent="0.25">
      <c r="A10153" s="1"/>
    </row>
    <row r="10154" spans="1:1" ht="46.5" customHeight="1" x14ac:dyDescent="0.25">
      <c r="A10154" s="1"/>
    </row>
    <row r="10155" spans="1:1" ht="46.5" customHeight="1" x14ac:dyDescent="0.25">
      <c r="A10155" s="1"/>
    </row>
    <row r="10156" spans="1:1" ht="46.5" customHeight="1" x14ac:dyDescent="0.25">
      <c r="A10156" s="1"/>
    </row>
    <row r="10157" spans="1:1" ht="46.5" customHeight="1" x14ac:dyDescent="0.25">
      <c r="A10157" s="1"/>
    </row>
    <row r="10158" spans="1:1" ht="46.5" customHeight="1" x14ac:dyDescent="0.25">
      <c r="A10158" s="1"/>
    </row>
    <row r="10159" spans="1:1" ht="46.5" customHeight="1" x14ac:dyDescent="0.25">
      <c r="A10159" s="1"/>
    </row>
    <row r="10160" spans="1:1" ht="46.5" customHeight="1" x14ac:dyDescent="0.25">
      <c r="A10160" s="1"/>
    </row>
    <row r="10161" spans="1:1" ht="46.5" customHeight="1" x14ac:dyDescent="0.25">
      <c r="A10161" s="1"/>
    </row>
    <row r="10162" spans="1:1" ht="46.5" customHeight="1" x14ac:dyDescent="0.25">
      <c r="A10162" s="1"/>
    </row>
    <row r="10163" spans="1:1" ht="46.5" customHeight="1" x14ac:dyDescent="0.25">
      <c r="A10163" s="1"/>
    </row>
    <row r="10164" spans="1:1" ht="46.5" customHeight="1" x14ac:dyDescent="0.25">
      <c r="A10164" s="1"/>
    </row>
    <row r="10165" spans="1:1" ht="46.5" customHeight="1" x14ac:dyDescent="0.25">
      <c r="A10165" s="1"/>
    </row>
    <row r="10166" spans="1:1" ht="46.5" customHeight="1" x14ac:dyDescent="0.25">
      <c r="A10166" s="1"/>
    </row>
    <row r="10167" spans="1:1" ht="46.5" customHeight="1" x14ac:dyDescent="0.25">
      <c r="A10167" s="1"/>
    </row>
    <row r="10168" spans="1:1" ht="46.5" customHeight="1" x14ac:dyDescent="0.25">
      <c r="A10168" s="1"/>
    </row>
    <row r="10169" spans="1:1" ht="46.5" customHeight="1" x14ac:dyDescent="0.25">
      <c r="A10169" s="1"/>
    </row>
    <row r="10170" spans="1:1" ht="46.5" customHeight="1" x14ac:dyDescent="0.25">
      <c r="A10170" s="1"/>
    </row>
    <row r="10171" spans="1:1" ht="46.5" customHeight="1" x14ac:dyDescent="0.25">
      <c r="A10171" s="1"/>
    </row>
    <row r="10172" spans="1:1" ht="46.5" customHeight="1" x14ac:dyDescent="0.25">
      <c r="A10172" s="1"/>
    </row>
    <row r="10173" spans="1:1" ht="46.5" customHeight="1" x14ac:dyDescent="0.25">
      <c r="A10173" s="1"/>
    </row>
    <row r="10174" spans="1:1" ht="46.5" customHeight="1" x14ac:dyDescent="0.25">
      <c r="A10174" s="1"/>
    </row>
    <row r="10175" spans="1:1" ht="46.5" customHeight="1" x14ac:dyDescent="0.25">
      <c r="A10175" s="1"/>
    </row>
    <row r="10176" spans="1:1" ht="46.5" customHeight="1" x14ac:dyDescent="0.25">
      <c r="A10176" s="1"/>
    </row>
    <row r="10177" spans="1:1" ht="46.5" customHeight="1" x14ac:dyDescent="0.25">
      <c r="A10177" s="1"/>
    </row>
    <row r="10178" spans="1:1" ht="46.5" customHeight="1" x14ac:dyDescent="0.25">
      <c r="A10178" s="1"/>
    </row>
    <row r="10179" spans="1:1" ht="46.5" customHeight="1" x14ac:dyDescent="0.25">
      <c r="A10179" s="1"/>
    </row>
    <row r="10180" spans="1:1" ht="46.5" customHeight="1" x14ac:dyDescent="0.25">
      <c r="A10180" s="1"/>
    </row>
    <row r="10181" spans="1:1" ht="46.5" customHeight="1" x14ac:dyDescent="0.25">
      <c r="A10181" s="1"/>
    </row>
    <row r="10182" spans="1:1" ht="46.5" customHeight="1" x14ac:dyDescent="0.25">
      <c r="A10182" s="1"/>
    </row>
    <row r="10183" spans="1:1" ht="46.5" customHeight="1" x14ac:dyDescent="0.25">
      <c r="A10183" s="1"/>
    </row>
    <row r="10184" spans="1:1" ht="46.5" customHeight="1" x14ac:dyDescent="0.25">
      <c r="A10184" s="1"/>
    </row>
    <row r="10185" spans="1:1" ht="46.5" customHeight="1" x14ac:dyDescent="0.25">
      <c r="A10185" s="1"/>
    </row>
    <row r="10186" spans="1:1" ht="46.5" customHeight="1" x14ac:dyDescent="0.25">
      <c r="A10186" s="1"/>
    </row>
    <row r="10187" spans="1:1" ht="46.5" customHeight="1" x14ac:dyDescent="0.25">
      <c r="A10187" s="1"/>
    </row>
    <row r="10188" spans="1:1" ht="46.5" customHeight="1" x14ac:dyDescent="0.25">
      <c r="A10188" s="1"/>
    </row>
    <row r="10189" spans="1:1" ht="46.5" customHeight="1" x14ac:dyDescent="0.25">
      <c r="A10189" s="1"/>
    </row>
    <row r="10190" spans="1:1" ht="46.5" customHeight="1" x14ac:dyDescent="0.25">
      <c r="A10190" s="1"/>
    </row>
    <row r="10191" spans="1:1" ht="46.5" customHeight="1" x14ac:dyDescent="0.25">
      <c r="A10191" s="1"/>
    </row>
    <row r="10192" spans="1:1" ht="46.5" customHeight="1" x14ac:dyDescent="0.25">
      <c r="A10192" s="1"/>
    </row>
    <row r="10193" spans="1:1" ht="46.5" customHeight="1" x14ac:dyDescent="0.25">
      <c r="A10193" s="1"/>
    </row>
    <row r="10194" spans="1:1" ht="46.5" customHeight="1" x14ac:dyDescent="0.25">
      <c r="A10194" s="1"/>
    </row>
    <row r="10195" spans="1:1" ht="46.5" customHeight="1" x14ac:dyDescent="0.25">
      <c r="A10195" s="1"/>
    </row>
    <row r="10196" spans="1:1" ht="46.5" customHeight="1" x14ac:dyDescent="0.25">
      <c r="A10196" s="1"/>
    </row>
    <row r="10197" spans="1:1" ht="46.5" customHeight="1" x14ac:dyDescent="0.25">
      <c r="A10197" s="1"/>
    </row>
    <row r="10198" spans="1:1" ht="46.5" customHeight="1" x14ac:dyDescent="0.25">
      <c r="A10198" s="1"/>
    </row>
    <row r="10199" spans="1:1" ht="46.5" customHeight="1" x14ac:dyDescent="0.25">
      <c r="A10199" s="1"/>
    </row>
    <row r="10200" spans="1:1" ht="46.5" customHeight="1" x14ac:dyDescent="0.25">
      <c r="A10200" s="1"/>
    </row>
    <row r="10201" spans="1:1" ht="46.5" customHeight="1" x14ac:dyDescent="0.25">
      <c r="A10201" s="1"/>
    </row>
    <row r="10202" spans="1:1" ht="46.5" customHeight="1" x14ac:dyDescent="0.25">
      <c r="A10202" s="1"/>
    </row>
    <row r="10203" spans="1:1" ht="46.5" customHeight="1" x14ac:dyDescent="0.25">
      <c r="A10203" s="1"/>
    </row>
    <row r="10204" spans="1:1" ht="46.5" customHeight="1" x14ac:dyDescent="0.25">
      <c r="A10204" s="1"/>
    </row>
    <row r="10205" spans="1:1" ht="46.5" customHeight="1" x14ac:dyDescent="0.25">
      <c r="A10205" s="1"/>
    </row>
    <row r="10206" spans="1:1" ht="46.5" customHeight="1" x14ac:dyDescent="0.25">
      <c r="A10206" s="1"/>
    </row>
    <row r="10207" spans="1:1" ht="46.5" customHeight="1" x14ac:dyDescent="0.25">
      <c r="A10207" s="1"/>
    </row>
    <row r="10208" spans="1:1" ht="46.5" customHeight="1" x14ac:dyDescent="0.25">
      <c r="A10208" s="1"/>
    </row>
    <row r="10209" spans="1:1" ht="46.5" customHeight="1" x14ac:dyDescent="0.25">
      <c r="A10209" s="1"/>
    </row>
    <row r="10210" spans="1:1" ht="46.5" customHeight="1" x14ac:dyDescent="0.25">
      <c r="A10210" s="1"/>
    </row>
    <row r="10211" spans="1:1" ht="46.5" customHeight="1" x14ac:dyDescent="0.25">
      <c r="A10211" s="1"/>
    </row>
    <row r="10212" spans="1:1" ht="46.5" customHeight="1" x14ac:dyDescent="0.25">
      <c r="A10212" s="1"/>
    </row>
    <row r="10213" spans="1:1" ht="46.5" customHeight="1" x14ac:dyDescent="0.25">
      <c r="A10213" s="1"/>
    </row>
    <row r="10214" spans="1:1" ht="46.5" customHeight="1" x14ac:dyDescent="0.25">
      <c r="A10214" s="1"/>
    </row>
    <row r="10215" spans="1:1" ht="46.5" customHeight="1" x14ac:dyDescent="0.25">
      <c r="A10215" s="1"/>
    </row>
    <row r="10216" spans="1:1" ht="46.5" customHeight="1" x14ac:dyDescent="0.25">
      <c r="A10216" s="1"/>
    </row>
    <row r="10217" spans="1:1" ht="46.5" customHeight="1" x14ac:dyDescent="0.25">
      <c r="A10217" s="1"/>
    </row>
    <row r="10218" spans="1:1" ht="46.5" customHeight="1" x14ac:dyDescent="0.25">
      <c r="A10218" s="1"/>
    </row>
    <row r="10219" spans="1:1" ht="46.5" customHeight="1" x14ac:dyDescent="0.25">
      <c r="A10219" s="1"/>
    </row>
    <row r="10220" spans="1:1" ht="46.5" customHeight="1" x14ac:dyDescent="0.25">
      <c r="A10220" s="1"/>
    </row>
    <row r="10221" spans="1:1" ht="46.5" customHeight="1" x14ac:dyDescent="0.25">
      <c r="A10221" s="1"/>
    </row>
    <row r="10222" spans="1:1" ht="46.5" customHeight="1" x14ac:dyDescent="0.25">
      <c r="A10222" s="1"/>
    </row>
    <row r="10223" spans="1:1" ht="46.5" customHeight="1" x14ac:dyDescent="0.25">
      <c r="A10223" s="1"/>
    </row>
    <row r="10224" spans="1:1" ht="46.5" customHeight="1" x14ac:dyDescent="0.25">
      <c r="A10224" s="1"/>
    </row>
    <row r="10225" spans="1:1" ht="46.5" customHeight="1" x14ac:dyDescent="0.25">
      <c r="A10225" s="1"/>
    </row>
    <row r="10226" spans="1:1" ht="46.5" customHeight="1" x14ac:dyDescent="0.25">
      <c r="A10226" s="1"/>
    </row>
    <row r="10227" spans="1:1" ht="46.5" customHeight="1" x14ac:dyDescent="0.25">
      <c r="A10227" s="1"/>
    </row>
    <row r="10228" spans="1:1" ht="46.5" customHeight="1" x14ac:dyDescent="0.25">
      <c r="A10228" s="1"/>
    </row>
    <row r="10229" spans="1:1" ht="46.5" customHeight="1" x14ac:dyDescent="0.25">
      <c r="A10229" s="1"/>
    </row>
    <row r="10230" spans="1:1" ht="46.5" customHeight="1" x14ac:dyDescent="0.25">
      <c r="A10230" s="1"/>
    </row>
    <row r="10231" spans="1:1" ht="46.5" customHeight="1" x14ac:dyDescent="0.25">
      <c r="A10231" s="1"/>
    </row>
    <row r="10232" spans="1:1" ht="46.5" customHeight="1" x14ac:dyDescent="0.25">
      <c r="A10232" s="1"/>
    </row>
    <row r="10233" spans="1:1" ht="46.5" customHeight="1" x14ac:dyDescent="0.25">
      <c r="A10233" s="1"/>
    </row>
    <row r="10234" spans="1:1" ht="46.5" customHeight="1" x14ac:dyDescent="0.25">
      <c r="A10234" s="1"/>
    </row>
    <row r="10235" spans="1:1" ht="46.5" customHeight="1" x14ac:dyDescent="0.25">
      <c r="A10235" s="1"/>
    </row>
    <row r="10236" spans="1:1" ht="46.5" customHeight="1" x14ac:dyDescent="0.25">
      <c r="A10236" s="1"/>
    </row>
    <row r="10237" spans="1:1" ht="46.5" customHeight="1" x14ac:dyDescent="0.25">
      <c r="A10237" s="1"/>
    </row>
    <row r="10238" spans="1:1" ht="46.5" customHeight="1" x14ac:dyDescent="0.25">
      <c r="A10238" s="1"/>
    </row>
    <row r="10239" spans="1:1" ht="46.5" customHeight="1" x14ac:dyDescent="0.25">
      <c r="A10239" s="1"/>
    </row>
    <row r="10240" spans="1:1" ht="46.5" customHeight="1" x14ac:dyDescent="0.25">
      <c r="A10240" s="1"/>
    </row>
    <row r="10241" spans="1:1" ht="46.5" customHeight="1" x14ac:dyDescent="0.25">
      <c r="A10241" s="1"/>
    </row>
    <row r="10242" spans="1:1" ht="46.5" customHeight="1" x14ac:dyDescent="0.25">
      <c r="A10242" s="1"/>
    </row>
    <row r="10243" spans="1:1" ht="46.5" customHeight="1" x14ac:dyDescent="0.25">
      <c r="A10243" s="1"/>
    </row>
    <row r="10244" spans="1:1" ht="46.5" customHeight="1" x14ac:dyDescent="0.25">
      <c r="A10244" s="1"/>
    </row>
    <row r="10245" spans="1:1" ht="46.5" customHeight="1" x14ac:dyDescent="0.25">
      <c r="A10245" s="1"/>
    </row>
    <row r="10246" spans="1:1" ht="46.5" customHeight="1" x14ac:dyDescent="0.25">
      <c r="A10246" s="1"/>
    </row>
    <row r="10247" spans="1:1" ht="46.5" customHeight="1" x14ac:dyDescent="0.25">
      <c r="A10247" s="1"/>
    </row>
    <row r="10248" spans="1:1" ht="46.5" customHeight="1" x14ac:dyDescent="0.25">
      <c r="A10248" s="1"/>
    </row>
    <row r="10249" spans="1:1" ht="46.5" customHeight="1" x14ac:dyDescent="0.25">
      <c r="A10249" s="1"/>
    </row>
    <row r="10250" spans="1:1" ht="46.5" customHeight="1" x14ac:dyDescent="0.25">
      <c r="A10250" s="1"/>
    </row>
    <row r="10251" spans="1:1" ht="46.5" customHeight="1" x14ac:dyDescent="0.25">
      <c r="A10251" s="1"/>
    </row>
    <row r="10252" spans="1:1" ht="46.5" customHeight="1" x14ac:dyDescent="0.25">
      <c r="A10252" s="1"/>
    </row>
    <row r="10253" spans="1:1" ht="46.5" customHeight="1" x14ac:dyDescent="0.25">
      <c r="A10253" s="1"/>
    </row>
    <row r="10254" spans="1:1" ht="46.5" customHeight="1" x14ac:dyDescent="0.25">
      <c r="A10254" s="1"/>
    </row>
    <row r="10255" spans="1:1" ht="46.5" customHeight="1" x14ac:dyDescent="0.25">
      <c r="A10255" s="1"/>
    </row>
    <row r="10256" spans="1:1" ht="46.5" customHeight="1" x14ac:dyDescent="0.25">
      <c r="A10256" s="1"/>
    </row>
    <row r="10257" spans="1:1" ht="46.5" customHeight="1" x14ac:dyDescent="0.25">
      <c r="A10257" s="1"/>
    </row>
    <row r="10258" spans="1:1" ht="46.5" customHeight="1" x14ac:dyDescent="0.25">
      <c r="A10258" s="1"/>
    </row>
    <row r="10259" spans="1:1" ht="46.5" customHeight="1" x14ac:dyDescent="0.25">
      <c r="A10259" s="1"/>
    </row>
    <row r="10260" spans="1:1" ht="46.5" customHeight="1" x14ac:dyDescent="0.25">
      <c r="A10260" s="1"/>
    </row>
    <row r="10261" spans="1:1" ht="46.5" customHeight="1" x14ac:dyDescent="0.25">
      <c r="A10261" s="1"/>
    </row>
    <row r="10262" spans="1:1" ht="46.5" customHeight="1" x14ac:dyDescent="0.25">
      <c r="A10262" s="1"/>
    </row>
    <row r="10263" spans="1:1" ht="46.5" customHeight="1" x14ac:dyDescent="0.25">
      <c r="A10263" s="1"/>
    </row>
    <row r="10264" spans="1:1" ht="46.5" customHeight="1" x14ac:dyDescent="0.25">
      <c r="A10264" s="1"/>
    </row>
    <row r="10265" spans="1:1" ht="46.5" customHeight="1" x14ac:dyDescent="0.25">
      <c r="A10265" s="1"/>
    </row>
    <row r="10266" spans="1:1" ht="46.5" customHeight="1" x14ac:dyDescent="0.25">
      <c r="A10266" s="1"/>
    </row>
    <row r="10267" spans="1:1" ht="46.5" customHeight="1" x14ac:dyDescent="0.25">
      <c r="A10267" s="1"/>
    </row>
    <row r="10268" spans="1:1" ht="46.5" customHeight="1" x14ac:dyDescent="0.25">
      <c r="A10268" s="1"/>
    </row>
    <row r="10269" spans="1:1" ht="46.5" customHeight="1" x14ac:dyDescent="0.25">
      <c r="A10269" s="1"/>
    </row>
    <row r="10270" spans="1:1" ht="46.5" customHeight="1" x14ac:dyDescent="0.25">
      <c r="A10270" s="1"/>
    </row>
    <row r="10271" spans="1:1" ht="46.5" customHeight="1" x14ac:dyDescent="0.25">
      <c r="A10271" s="1"/>
    </row>
    <row r="10272" spans="1:1" ht="46.5" customHeight="1" x14ac:dyDescent="0.25">
      <c r="A10272" s="1"/>
    </row>
    <row r="10273" spans="1:1" ht="46.5" customHeight="1" x14ac:dyDescent="0.25">
      <c r="A10273" s="1"/>
    </row>
    <row r="10274" spans="1:1" ht="46.5" customHeight="1" x14ac:dyDescent="0.25">
      <c r="A10274" s="1"/>
    </row>
    <row r="10275" spans="1:1" ht="46.5" customHeight="1" x14ac:dyDescent="0.25">
      <c r="A10275" s="1"/>
    </row>
    <row r="10276" spans="1:1" ht="46.5" customHeight="1" x14ac:dyDescent="0.25">
      <c r="A10276" s="1"/>
    </row>
    <row r="10277" spans="1:1" ht="46.5" customHeight="1" x14ac:dyDescent="0.25">
      <c r="A10277" s="1"/>
    </row>
    <row r="10278" spans="1:1" ht="46.5" customHeight="1" x14ac:dyDescent="0.25">
      <c r="A10278" s="1"/>
    </row>
    <row r="10279" spans="1:1" ht="46.5" customHeight="1" x14ac:dyDescent="0.25">
      <c r="A10279" s="1"/>
    </row>
    <row r="10280" spans="1:1" ht="46.5" customHeight="1" x14ac:dyDescent="0.25">
      <c r="A10280" s="1"/>
    </row>
    <row r="10281" spans="1:1" ht="46.5" customHeight="1" x14ac:dyDescent="0.25">
      <c r="A10281" s="1"/>
    </row>
    <row r="10282" spans="1:1" ht="46.5" customHeight="1" x14ac:dyDescent="0.25">
      <c r="A10282" s="1"/>
    </row>
    <row r="10283" spans="1:1" ht="46.5" customHeight="1" x14ac:dyDescent="0.25">
      <c r="A10283" s="1"/>
    </row>
    <row r="10284" spans="1:1" ht="46.5" customHeight="1" x14ac:dyDescent="0.25">
      <c r="A10284" s="1"/>
    </row>
    <row r="10285" spans="1:1" ht="46.5" customHeight="1" x14ac:dyDescent="0.25">
      <c r="A10285" s="1"/>
    </row>
    <row r="10286" spans="1:1" ht="46.5" customHeight="1" x14ac:dyDescent="0.25">
      <c r="A10286" s="1"/>
    </row>
    <row r="10287" spans="1:1" ht="46.5" customHeight="1" x14ac:dyDescent="0.25">
      <c r="A10287" s="1"/>
    </row>
    <row r="10288" spans="1:1" ht="46.5" customHeight="1" x14ac:dyDescent="0.25">
      <c r="A10288" s="1"/>
    </row>
    <row r="10289" spans="1:1" ht="46.5" customHeight="1" x14ac:dyDescent="0.25">
      <c r="A10289" s="1"/>
    </row>
    <row r="10290" spans="1:1" ht="46.5" customHeight="1" x14ac:dyDescent="0.25">
      <c r="A10290" s="1"/>
    </row>
    <row r="10291" spans="1:1" ht="46.5" customHeight="1" x14ac:dyDescent="0.25">
      <c r="A10291" s="1"/>
    </row>
    <row r="10292" spans="1:1" ht="46.5" customHeight="1" x14ac:dyDescent="0.25">
      <c r="A10292" s="1"/>
    </row>
    <row r="10293" spans="1:1" ht="46.5" customHeight="1" x14ac:dyDescent="0.25">
      <c r="A10293" s="1"/>
    </row>
    <row r="10294" spans="1:1" ht="46.5" customHeight="1" x14ac:dyDescent="0.25">
      <c r="A10294" s="1"/>
    </row>
    <row r="10295" spans="1:1" ht="46.5" customHeight="1" x14ac:dyDescent="0.25">
      <c r="A10295" s="1"/>
    </row>
    <row r="10296" spans="1:1" ht="46.5" customHeight="1" x14ac:dyDescent="0.25">
      <c r="A10296" s="1"/>
    </row>
    <row r="10297" spans="1:1" ht="46.5" customHeight="1" x14ac:dyDescent="0.25">
      <c r="A10297" s="1"/>
    </row>
    <row r="10298" spans="1:1" ht="46.5" customHeight="1" x14ac:dyDescent="0.25">
      <c r="A10298" s="1"/>
    </row>
    <row r="10299" spans="1:1" ht="46.5" customHeight="1" x14ac:dyDescent="0.25">
      <c r="A10299" s="1"/>
    </row>
    <row r="10300" spans="1:1" ht="46.5" customHeight="1" x14ac:dyDescent="0.25">
      <c r="A10300" s="1"/>
    </row>
    <row r="10301" spans="1:1" ht="46.5" customHeight="1" x14ac:dyDescent="0.25">
      <c r="A10301" s="1"/>
    </row>
    <row r="10302" spans="1:1" ht="46.5" customHeight="1" x14ac:dyDescent="0.25">
      <c r="A10302" s="1"/>
    </row>
    <row r="10303" spans="1:1" ht="46.5" customHeight="1" x14ac:dyDescent="0.25">
      <c r="A10303" s="1"/>
    </row>
    <row r="10304" spans="1:1" ht="46.5" customHeight="1" x14ac:dyDescent="0.25">
      <c r="A10304" s="1"/>
    </row>
    <row r="10305" spans="1:1" ht="46.5" customHeight="1" x14ac:dyDescent="0.25">
      <c r="A10305" s="1"/>
    </row>
    <row r="10306" spans="1:1" ht="46.5" customHeight="1" x14ac:dyDescent="0.25">
      <c r="A10306" s="1"/>
    </row>
    <row r="10307" spans="1:1" ht="46.5" customHeight="1" x14ac:dyDescent="0.25">
      <c r="A10307" s="1"/>
    </row>
    <row r="10308" spans="1:1" ht="46.5" customHeight="1" x14ac:dyDescent="0.25">
      <c r="A10308" s="1"/>
    </row>
    <row r="10309" spans="1:1" ht="46.5" customHeight="1" x14ac:dyDescent="0.25">
      <c r="A10309" s="1"/>
    </row>
    <row r="10310" spans="1:1" ht="46.5" customHeight="1" x14ac:dyDescent="0.25">
      <c r="A10310" s="1"/>
    </row>
    <row r="10311" spans="1:1" ht="46.5" customHeight="1" x14ac:dyDescent="0.25">
      <c r="A10311" s="1"/>
    </row>
    <row r="10312" spans="1:1" ht="46.5" customHeight="1" x14ac:dyDescent="0.25">
      <c r="A10312" s="1"/>
    </row>
    <row r="10313" spans="1:1" ht="46.5" customHeight="1" x14ac:dyDescent="0.25">
      <c r="A10313" s="1"/>
    </row>
    <row r="10314" spans="1:1" ht="46.5" customHeight="1" x14ac:dyDescent="0.25">
      <c r="A10314" s="1"/>
    </row>
    <row r="10315" spans="1:1" ht="46.5" customHeight="1" x14ac:dyDescent="0.25">
      <c r="A10315" s="1"/>
    </row>
    <row r="10316" spans="1:1" ht="46.5" customHeight="1" x14ac:dyDescent="0.25">
      <c r="A10316" s="1"/>
    </row>
    <row r="10317" spans="1:1" ht="46.5" customHeight="1" x14ac:dyDescent="0.25">
      <c r="A10317" s="1"/>
    </row>
    <row r="10318" spans="1:1" ht="46.5" customHeight="1" x14ac:dyDescent="0.25">
      <c r="A10318" s="1"/>
    </row>
    <row r="10319" spans="1:1" ht="46.5" customHeight="1" x14ac:dyDescent="0.25">
      <c r="A10319" s="1"/>
    </row>
    <row r="10320" spans="1:1" ht="46.5" customHeight="1" x14ac:dyDescent="0.25">
      <c r="A10320" s="1"/>
    </row>
    <row r="10321" spans="1:1" ht="46.5" customHeight="1" x14ac:dyDescent="0.25">
      <c r="A10321" s="1"/>
    </row>
    <row r="10322" spans="1:1" ht="46.5" customHeight="1" x14ac:dyDescent="0.25">
      <c r="A10322" s="1"/>
    </row>
    <row r="10323" spans="1:1" ht="46.5" customHeight="1" x14ac:dyDescent="0.25">
      <c r="A10323" s="1"/>
    </row>
    <row r="10324" spans="1:1" ht="46.5" customHeight="1" x14ac:dyDescent="0.25">
      <c r="A10324" s="1"/>
    </row>
    <row r="10325" spans="1:1" ht="46.5" customHeight="1" x14ac:dyDescent="0.25">
      <c r="A10325" s="1"/>
    </row>
    <row r="10326" spans="1:1" ht="46.5" customHeight="1" x14ac:dyDescent="0.25">
      <c r="A10326" s="1"/>
    </row>
    <row r="10327" spans="1:1" ht="46.5" customHeight="1" x14ac:dyDescent="0.25">
      <c r="A10327" s="1"/>
    </row>
    <row r="10328" spans="1:1" ht="46.5" customHeight="1" x14ac:dyDescent="0.25">
      <c r="A10328" s="1"/>
    </row>
    <row r="10329" spans="1:1" ht="46.5" customHeight="1" x14ac:dyDescent="0.25">
      <c r="A10329" s="1"/>
    </row>
    <row r="10330" spans="1:1" ht="46.5" customHeight="1" x14ac:dyDescent="0.25">
      <c r="A10330" s="1"/>
    </row>
    <row r="10331" spans="1:1" ht="46.5" customHeight="1" x14ac:dyDescent="0.25">
      <c r="A10331" s="1"/>
    </row>
    <row r="10332" spans="1:1" ht="46.5" customHeight="1" x14ac:dyDescent="0.25">
      <c r="A10332" s="1"/>
    </row>
    <row r="10333" spans="1:1" ht="46.5" customHeight="1" x14ac:dyDescent="0.25">
      <c r="A10333" s="1"/>
    </row>
    <row r="10334" spans="1:1" ht="46.5" customHeight="1" x14ac:dyDescent="0.25">
      <c r="A10334" s="1"/>
    </row>
    <row r="10335" spans="1:1" ht="46.5" customHeight="1" x14ac:dyDescent="0.25">
      <c r="A10335" s="1"/>
    </row>
    <row r="10336" spans="1:1" ht="46.5" customHeight="1" x14ac:dyDescent="0.25">
      <c r="A10336" s="1"/>
    </row>
    <row r="10337" spans="1:1" ht="46.5" customHeight="1" x14ac:dyDescent="0.25">
      <c r="A10337" s="1"/>
    </row>
    <row r="10338" spans="1:1" ht="46.5" customHeight="1" x14ac:dyDescent="0.25">
      <c r="A10338" s="1"/>
    </row>
    <row r="10339" spans="1:1" ht="46.5" customHeight="1" x14ac:dyDescent="0.25">
      <c r="A10339" s="1"/>
    </row>
    <row r="10340" spans="1:1" ht="46.5" customHeight="1" x14ac:dyDescent="0.25">
      <c r="A10340" s="1"/>
    </row>
    <row r="10341" spans="1:1" ht="46.5" customHeight="1" x14ac:dyDescent="0.25">
      <c r="A10341" s="1"/>
    </row>
    <row r="10342" spans="1:1" ht="46.5" customHeight="1" x14ac:dyDescent="0.25">
      <c r="A10342" s="1"/>
    </row>
    <row r="10343" spans="1:1" ht="46.5" customHeight="1" x14ac:dyDescent="0.25">
      <c r="A10343" s="1"/>
    </row>
    <row r="10344" spans="1:1" ht="46.5" customHeight="1" x14ac:dyDescent="0.25">
      <c r="A10344" s="1"/>
    </row>
    <row r="10345" spans="1:1" ht="46.5" customHeight="1" x14ac:dyDescent="0.25">
      <c r="A10345" s="1"/>
    </row>
    <row r="10346" spans="1:1" ht="46.5" customHeight="1" x14ac:dyDescent="0.25">
      <c r="A10346" s="1"/>
    </row>
    <row r="10347" spans="1:1" ht="46.5" customHeight="1" x14ac:dyDescent="0.25">
      <c r="A10347" s="1"/>
    </row>
    <row r="10348" spans="1:1" ht="46.5" customHeight="1" x14ac:dyDescent="0.25">
      <c r="A10348" s="1"/>
    </row>
    <row r="10349" spans="1:1" ht="46.5" customHeight="1" x14ac:dyDescent="0.25">
      <c r="A10349" s="1"/>
    </row>
    <row r="10350" spans="1:1" ht="46.5" customHeight="1" x14ac:dyDescent="0.25">
      <c r="A10350" s="1"/>
    </row>
    <row r="10351" spans="1:1" ht="46.5" customHeight="1" x14ac:dyDescent="0.25">
      <c r="A10351" s="1"/>
    </row>
    <row r="10352" spans="1:1" ht="46.5" customHeight="1" x14ac:dyDescent="0.25">
      <c r="A10352" s="1"/>
    </row>
    <row r="10353" spans="1:1" ht="46.5" customHeight="1" x14ac:dyDescent="0.25">
      <c r="A10353" s="1"/>
    </row>
    <row r="10354" spans="1:1" ht="46.5" customHeight="1" x14ac:dyDescent="0.25">
      <c r="A10354" s="1"/>
    </row>
    <row r="10355" spans="1:1" ht="46.5" customHeight="1" x14ac:dyDescent="0.25">
      <c r="A10355" s="1"/>
    </row>
    <row r="10356" spans="1:1" ht="46.5" customHeight="1" x14ac:dyDescent="0.25">
      <c r="A10356" s="1"/>
    </row>
    <row r="10357" spans="1:1" ht="46.5" customHeight="1" x14ac:dyDescent="0.25">
      <c r="A10357" s="1"/>
    </row>
    <row r="10358" spans="1:1" ht="46.5" customHeight="1" x14ac:dyDescent="0.25">
      <c r="A10358" s="1"/>
    </row>
    <row r="10359" spans="1:1" ht="46.5" customHeight="1" x14ac:dyDescent="0.25">
      <c r="A10359" s="1"/>
    </row>
    <row r="10360" spans="1:1" ht="46.5" customHeight="1" x14ac:dyDescent="0.25">
      <c r="A10360" s="1"/>
    </row>
    <row r="10361" spans="1:1" ht="46.5" customHeight="1" x14ac:dyDescent="0.25">
      <c r="A10361" s="1"/>
    </row>
    <row r="10362" spans="1:1" ht="46.5" customHeight="1" x14ac:dyDescent="0.25">
      <c r="A10362" s="1"/>
    </row>
    <row r="10363" spans="1:1" ht="46.5" customHeight="1" x14ac:dyDescent="0.25">
      <c r="A10363" s="1"/>
    </row>
    <row r="10364" spans="1:1" ht="46.5" customHeight="1" x14ac:dyDescent="0.25">
      <c r="A10364" s="1"/>
    </row>
    <row r="10365" spans="1:1" ht="46.5" customHeight="1" x14ac:dyDescent="0.25">
      <c r="A10365" s="1"/>
    </row>
    <row r="10366" spans="1:1" ht="46.5" customHeight="1" x14ac:dyDescent="0.25">
      <c r="A10366" s="1"/>
    </row>
    <row r="10367" spans="1:1" ht="46.5" customHeight="1" x14ac:dyDescent="0.25">
      <c r="A10367" s="1"/>
    </row>
    <row r="10368" spans="1:1" ht="46.5" customHeight="1" x14ac:dyDescent="0.25">
      <c r="A10368" s="1"/>
    </row>
    <row r="10369" spans="1:1" ht="46.5" customHeight="1" x14ac:dyDescent="0.25">
      <c r="A10369" s="1"/>
    </row>
    <row r="10370" spans="1:1" ht="46.5" customHeight="1" x14ac:dyDescent="0.25">
      <c r="A10370" s="1"/>
    </row>
    <row r="10371" spans="1:1" ht="46.5" customHeight="1" x14ac:dyDescent="0.25">
      <c r="A10371" s="1"/>
    </row>
    <row r="10372" spans="1:1" ht="46.5" customHeight="1" x14ac:dyDescent="0.25">
      <c r="A10372" s="1"/>
    </row>
    <row r="10373" spans="1:1" ht="46.5" customHeight="1" x14ac:dyDescent="0.25">
      <c r="A10373" s="1"/>
    </row>
    <row r="10374" spans="1:1" ht="46.5" customHeight="1" x14ac:dyDescent="0.25">
      <c r="A10374" s="1"/>
    </row>
    <row r="10375" spans="1:1" ht="46.5" customHeight="1" x14ac:dyDescent="0.25">
      <c r="A10375" s="1"/>
    </row>
    <row r="10376" spans="1:1" ht="46.5" customHeight="1" x14ac:dyDescent="0.25">
      <c r="A10376" s="1"/>
    </row>
    <row r="10377" spans="1:1" ht="46.5" customHeight="1" x14ac:dyDescent="0.25">
      <c r="A10377" s="1"/>
    </row>
    <row r="10378" spans="1:1" ht="46.5" customHeight="1" x14ac:dyDescent="0.25">
      <c r="A10378" s="1"/>
    </row>
    <row r="10379" spans="1:1" ht="46.5" customHeight="1" x14ac:dyDescent="0.25">
      <c r="A10379" s="1"/>
    </row>
    <row r="10380" spans="1:1" ht="46.5" customHeight="1" x14ac:dyDescent="0.25">
      <c r="A10380" s="1"/>
    </row>
    <row r="10381" spans="1:1" ht="46.5" customHeight="1" x14ac:dyDescent="0.25">
      <c r="A10381" s="1"/>
    </row>
    <row r="10382" spans="1:1" ht="46.5" customHeight="1" x14ac:dyDescent="0.25">
      <c r="A10382" s="1"/>
    </row>
    <row r="10383" spans="1:1" ht="46.5" customHeight="1" x14ac:dyDescent="0.25">
      <c r="A10383" s="1"/>
    </row>
    <row r="10384" spans="1:1" ht="46.5" customHeight="1" x14ac:dyDescent="0.25">
      <c r="A10384" s="1"/>
    </row>
    <row r="10385" spans="1:1" ht="46.5" customHeight="1" x14ac:dyDescent="0.25">
      <c r="A10385" s="1"/>
    </row>
    <row r="10386" spans="1:1" ht="46.5" customHeight="1" x14ac:dyDescent="0.25">
      <c r="A10386" s="1"/>
    </row>
    <row r="10387" spans="1:1" ht="46.5" customHeight="1" x14ac:dyDescent="0.25">
      <c r="A10387" s="1"/>
    </row>
    <row r="10388" spans="1:1" ht="46.5" customHeight="1" x14ac:dyDescent="0.25">
      <c r="A10388" s="1"/>
    </row>
    <row r="10389" spans="1:1" ht="46.5" customHeight="1" x14ac:dyDescent="0.25">
      <c r="A10389" s="1"/>
    </row>
    <row r="10390" spans="1:1" ht="46.5" customHeight="1" x14ac:dyDescent="0.25">
      <c r="A10390" s="1"/>
    </row>
    <row r="10391" spans="1:1" ht="46.5" customHeight="1" x14ac:dyDescent="0.25">
      <c r="A10391" s="1"/>
    </row>
    <row r="10392" spans="1:1" ht="46.5" customHeight="1" x14ac:dyDescent="0.25">
      <c r="A10392" s="1"/>
    </row>
    <row r="10393" spans="1:1" ht="46.5" customHeight="1" x14ac:dyDescent="0.25">
      <c r="A10393" s="1"/>
    </row>
    <row r="10394" spans="1:1" ht="46.5" customHeight="1" x14ac:dyDescent="0.25">
      <c r="A10394" s="1"/>
    </row>
    <row r="10395" spans="1:1" ht="46.5" customHeight="1" x14ac:dyDescent="0.25">
      <c r="A10395" s="1"/>
    </row>
    <row r="10396" spans="1:1" ht="46.5" customHeight="1" x14ac:dyDescent="0.25">
      <c r="A10396" s="1"/>
    </row>
    <row r="10397" spans="1:1" ht="46.5" customHeight="1" x14ac:dyDescent="0.25">
      <c r="A10397" s="1"/>
    </row>
    <row r="10398" spans="1:1" ht="46.5" customHeight="1" x14ac:dyDescent="0.25">
      <c r="A10398" s="1"/>
    </row>
    <row r="10399" spans="1:1" ht="46.5" customHeight="1" x14ac:dyDescent="0.25">
      <c r="A10399" s="1"/>
    </row>
    <row r="10400" spans="1:1" ht="46.5" customHeight="1" x14ac:dyDescent="0.25">
      <c r="A10400" s="1"/>
    </row>
    <row r="10401" spans="1:1" ht="46.5" customHeight="1" x14ac:dyDescent="0.25">
      <c r="A10401" s="1"/>
    </row>
    <row r="10402" spans="1:1" ht="46.5" customHeight="1" x14ac:dyDescent="0.25">
      <c r="A10402" s="1"/>
    </row>
    <row r="10403" spans="1:1" ht="46.5" customHeight="1" x14ac:dyDescent="0.25">
      <c r="A10403" s="1"/>
    </row>
    <row r="10404" spans="1:1" ht="46.5" customHeight="1" x14ac:dyDescent="0.25">
      <c r="A10404" s="1"/>
    </row>
    <row r="10405" spans="1:1" ht="46.5" customHeight="1" x14ac:dyDescent="0.25">
      <c r="A10405" s="1"/>
    </row>
    <row r="10406" spans="1:1" ht="46.5" customHeight="1" x14ac:dyDescent="0.25">
      <c r="A10406" s="1"/>
    </row>
    <row r="10407" spans="1:1" ht="46.5" customHeight="1" x14ac:dyDescent="0.25">
      <c r="A10407" s="1"/>
    </row>
    <row r="10408" spans="1:1" ht="46.5" customHeight="1" x14ac:dyDescent="0.25">
      <c r="A10408" s="1"/>
    </row>
    <row r="10409" spans="1:1" ht="46.5" customHeight="1" x14ac:dyDescent="0.25">
      <c r="A10409" s="1"/>
    </row>
    <row r="10410" spans="1:1" ht="46.5" customHeight="1" x14ac:dyDescent="0.25">
      <c r="A10410" s="1"/>
    </row>
    <row r="10411" spans="1:1" ht="46.5" customHeight="1" x14ac:dyDescent="0.25">
      <c r="A10411" s="1"/>
    </row>
    <row r="10412" spans="1:1" ht="46.5" customHeight="1" x14ac:dyDescent="0.25">
      <c r="A10412" s="1"/>
    </row>
    <row r="10413" spans="1:1" ht="46.5" customHeight="1" x14ac:dyDescent="0.25">
      <c r="A10413" s="1"/>
    </row>
    <row r="10414" spans="1:1" ht="46.5" customHeight="1" x14ac:dyDescent="0.25">
      <c r="A10414" s="1"/>
    </row>
    <row r="10415" spans="1:1" ht="46.5" customHeight="1" x14ac:dyDescent="0.25">
      <c r="A10415" s="1"/>
    </row>
    <row r="10416" spans="1:1" ht="46.5" customHeight="1" x14ac:dyDescent="0.25">
      <c r="A10416" s="1"/>
    </row>
    <row r="10417" spans="1:1" ht="46.5" customHeight="1" x14ac:dyDescent="0.25">
      <c r="A10417" s="1"/>
    </row>
    <row r="10418" spans="1:1" ht="46.5" customHeight="1" x14ac:dyDescent="0.25">
      <c r="A10418" s="1"/>
    </row>
    <row r="10419" spans="1:1" ht="46.5" customHeight="1" x14ac:dyDescent="0.25">
      <c r="A10419" s="1"/>
    </row>
    <row r="10420" spans="1:1" ht="46.5" customHeight="1" x14ac:dyDescent="0.25">
      <c r="A10420" s="1"/>
    </row>
    <row r="10421" spans="1:1" ht="46.5" customHeight="1" x14ac:dyDescent="0.25">
      <c r="A10421" s="1"/>
    </row>
    <row r="10422" spans="1:1" ht="46.5" customHeight="1" x14ac:dyDescent="0.25">
      <c r="A10422" s="1"/>
    </row>
    <row r="10423" spans="1:1" ht="46.5" customHeight="1" x14ac:dyDescent="0.25">
      <c r="A10423" s="1"/>
    </row>
    <row r="10424" spans="1:1" ht="46.5" customHeight="1" x14ac:dyDescent="0.25">
      <c r="A10424" s="1"/>
    </row>
    <row r="10425" spans="1:1" ht="46.5" customHeight="1" x14ac:dyDescent="0.25">
      <c r="A10425" s="1"/>
    </row>
    <row r="10426" spans="1:1" ht="46.5" customHeight="1" x14ac:dyDescent="0.25">
      <c r="A10426" s="1"/>
    </row>
    <row r="10427" spans="1:1" ht="46.5" customHeight="1" x14ac:dyDescent="0.25">
      <c r="A10427" s="1"/>
    </row>
    <row r="10428" spans="1:1" ht="46.5" customHeight="1" x14ac:dyDescent="0.25">
      <c r="A10428" s="1"/>
    </row>
    <row r="10429" spans="1:1" ht="46.5" customHeight="1" x14ac:dyDescent="0.25">
      <c r="A10429" s="1"/>
    </row>
    <row r="10430" spans="1:1" ht="46.5" customHeight="1" x14ac:dyDescent="0.25">
      <c r="A10430" s="1"/>
    </row>
    <row r="10431" spans="1:1" ht="46.5" customHeight="1" x14ac:dyDescent="0.25">
      <c r="A10431" s="1"/>
    </row>
    <row r="10432" spans="1:1" ht="46.5" customHeight="1" x14ac:dyDescent="0.25">
      <c r="A10432" s="1"/>
    </row>
    <row r="10433" spans="1:1" ht="46.5" customHeight="1" x14ac:dyDescent="0.25">
      <c r="A10433" s="1"/>
    </row>
    <row r="10434" spans="1:1" ht="46.5" customHeight="1" x14ac:dyDescent="0.25">
      <c r="A10434" s="1"/>
    </row>
    <row r="10435" spans="1:1" ht="46.5" customHeight="1" x14ac:dyDescent="0.25">
      <c r="A10435" s="1"/>
    </row>
    <row r="10436" spans="1:1" ht="46.5" customHeight="1" x14ac:dyDescent="0.25">
      <c r="A10436" s="1"/>
    </row>
    <row r="10437" spans="1:1" ht="46.5" customHeight="1" x14ac:dyDescent="0.25">
      <c r="A10437" s="1"/>
    </row>
    <row r="10438" spans="1:1" ht="46.5" customHeight="1" x14ac:dyDescent="0.25">
      <c r="A10438" s="1"/>
    </row>
    <row r="10439" spans="1:1" ht="46.5" customHeight="1" x14ac:dyDescent="0.25">
      <c r="A10439" s="1"/>
    </row>
    <row r="10440" spans="1:1" ht="46.5" customHeight="1" x14ac:dyDescent="0.25">
      <c r="A10440" s="1"/>
    </row>
    <row r="10441" spans="1:1" ht="46.5" customHeight="1" x14ac:dyDescent="0.25">
      <c r="A10441" s="1"/>
    </row>
    <row r="10442" spans="1:1" ht="46.5" customHeight="1" x14ac:dyDescent="0.25">
      <c r="A10442" s="1"/>
    </row>
    <row r="10443" spans="1:1" ht="46.5" customHeight="1" x14ac:dyDescent="0.25">
      <c r="A10443" s="1"/>
    </row>
    <row r="10444" spans="1:1" ht="46.5" customHeight="1" x14ac:dyDescent="0.25">
      <c r="A10444" s="1"/>
    </row>
    <row r="10445" spans="1:1" ht="46.5" customHeight="1" x14ac:dyDescent="0.25">
      <c r="A10445" s="1"/>
    </row>
    <row r="10446" spans="1:1" ht="46.5" customHeight="1" x14ac:dyDescent="0.25">
      <c r="A10446" s="1"/>
    </row>
    <row r="10447" spans="1:1" ht="46.5" customHeight="1" x14ac:dyDescent="0.25">
      <c r="A10447" s="1"/>
    </row>
    <row r="10448" spans="1:1" ht="46.5" customHeight="1" x14ac:dyDescent="0.25">
      <c r="A10448" s="1"/>
    </row>
    <row r="10449" spans="1:1" ht="46.5" customHeight="1" x14ac:dyDescent="0.25">
      <c r="A10449" s="1"/>
    </row>
    <row r="10450" spans="1:1" ht="46.5" customHeight="1" x14ac:dyDescent="0.25">
      <c r="A10450" s="1"/>
    </row>
    <row r="10451" spans="1:1" ht="46.5" customHeight="1" x14ac:dyDescent="0.25">
      <c r="A10451" s="1"/>
    </row>
    <row r="10452" spans="1:1" ht="46.5" customHeight="1" x14ac:dyDescent="0.25">
      <c r="A10452" s="1"/>
    </row>
    <row r="10453" spans="1:1" ht="46.5" customHeight="1" x14ac:dyDescent="0.25">
      <c r="A10453" s="1"/>
    </row>
    <row r="10454" spans="1:1" ht="46.5" customHeight="1" x14ac:dyDescent="0.25">
      <c r="A10454" s="1"/>
    </row>
    <row r="10455" spans="1:1" ht="46.5" customHeight="1" x14ac:dyDescent="0.25">
      <c r="A10455" s="1"/>
    </row>
    <row r="10456" spans="1:1" ht="46.5" customHeight="1" x14ac:dyDescent="0.25">
      <c r="A10456" s="1"/>
    </row>
    <row r="10457" spans="1:1" ht="46.5" customHeight="1" x14ac:dyDescent="0.25">
      <c r="A10457" s="1"/>
    </row>
    <row r="10458" spans="1:1" ht="46.5" customHeight="1" x14ac:dyDescent="0.25">
      <c r="A10458" s="1"/>
    </row>
    <row r="10459" spans="1:1" ht="46.5" customHeight="1" x14ac:dyDescent="0.25">
      <c r="A10459" s="1"/>
    </row>
    <row r="10460" spans="1:1" ht="46.5" customHeight="1" x14ac:dyDescent="0.25">
      <c r="A10460" s="1"/>
    </row>
    <row r="10461" spans="1:1" ht="46.5" customHeight="1" x14ac:dyDescent="0.25">
      <c r="A10461" s="1"/>
    </row>
    <row r="10462" spans="1:1" ht="46.5" customHeight="1" x14ac:dyDescent="0.25">
      <c r="A10462" s="1"/>
    </row>
    <row r="10463" spans="1:1" ht="46.5" customHeight="1" x14ac:dyDescent="0.25">
      <c r="A10463" s="1"/>
    </row>
    <row r="10464" spans="1:1" ht="46.5" customHeight="1" x14ac:dyDescent="0.25">
      <c r="A10464" s="1"/>
    </row>
    <row r="10465" spans="1:1" ht="46.5" customHeight="1" x14ac:dyDescent="0.25">
      <c r="A10465" s="1"/>
    </row>
    <row r="10466" spans="1:1" ht="46.5" customHeight="1" x14ac:dyDescent="0.25">
      <c r="A10466" s="1"/>
    </row>
    <row r="10467" spans="1:1" ht="46.5" customHeight="1" x14ac:dyDescent="0.25">
      <c r="A10467" s="1"/>
    </row>
    <row r="10468" spans="1:1" ht="46.5" customHeight="1" x14ac:dyDescent="0.25">
      <c r="A10468" s="1"/>
    </row>
    <row r="10469" spans="1:1" ht="46.5" customHeight="1" x14ac:dyDescent="0.25">
      <c r="A10469" s="1"/>
    </row>
    <row r="10470" spans="1:1" ht="46.5" customHeight="1" x14ac:dyDescent="0.25">
      <c r="A10470" s="1"/>
    </row>
    <row r="10471" spans="1:1" ht="46.5" customHeight="1" x14ac:dyDescent="0.25">
      <c r="A10471" s="1"/>
    </row>
    <row r="10472" spans="1:1" ht="46.5" customHeight="1" x14ac:dyDescent="0.25">
      <c r="A10472" s="1"/>
    </row>
    <row r="10473" spans="1:1" ht="46.5" customHeight="1" x14ac:dyDescent="0.25">
      <c r="A10473" s="1"/>
    </row>
    <row r="10474" spans="1:1" ht="46.5" customHeight="1" x14ac:dyDescent="0.25">
      <c r="A10474" s="1"/>
    </row>
    <row r="10475" spans="1:1" ht="46.5" customHeight="1" x14ac:dyDescent="0.25">
      <c r="A10475" s="1"/>
    </row>
    <row r="10476" spans="1:1" ht="46.5" customHeight="1" x14ac:dyDescent="0.25">
      <c r="A10476" s="1"/>
    </row>
    <row r="10477" spans="1:1" ht="46.5" customHeight="1" x14ac:dyDescent="0.25">
      <c r="A10477" s="1"/>
    </row>
    <row r="10478" spans="1:1" ht="46.5" customHeight="1" x14ac:dyDescent="0.25">
      <c r="A10478" s="1"/>
    </row>
    <row r="10479" spans="1:1" ht="46.5" customHeight="1" x14ac:dyDescent="0.25">
      <c r="A10479" s="1"/>
    </row>
    <row r="10480" spans="1:1" ht="46.5" customHeight="1" x14ac:dyDescent="0.25">
      <c r="A10480" s="1"/>
    </row>
    <row r="10481" spans="1:1" ht="46.5" customHeight="1" x14ac:dyDescent="0.25">
      <c r="A10481" s="1"/>
    </row>
    <row r="10482" spans="1:1" ht="46.5" customHeight="1" x14ac:dyDescent="0.25">
      <c r="A10482" s="1"/>
    </row>
    <row r="10483" spans="1:1" ht="46.5" customHeight="1" x14ac:dyDescent="0.25">
      <c r="A10483" s="1"/>
    </row>
    <row r="10484" spans="1:1" ht="46.5" customHeight="1" x14ac:dyDescent="0.25">
      <c r="A10484" s="1"/>
    </row>
    <row r="10485" spans="1:1" ht="46.5" customHeight="1" x14ac:dyDescent="0.25">
      <c r="A10485" s="1"/>
    </row>
    <row r="10486" spans="1:1" ht="46.5" customHeight="1" x14ac:dyDescent="0.25">
      <c r="A10486" s="1"/>
    </row>
    <row r="10487" spans="1:1" ht="46.5" customHeight="1" x14ac:dyDescent="0.25">
      <c r="A10487" s="1"/>
    </row>
    <row r="10488" spans="1:1" ht="46.5" customHeight="1" x14ac:dyDescent="0.25">
      <c r="A10488" s="1"/>
    </row>
    <row r="10489" spans="1:1" ht="46.5" customHeight="1" x14ac:dyDescent="0.25">
      <c r="A10489" s="1"/>
    </row>
    <row r="10490" spans="1:1" ht="46.5" customHeight="1" x14ac:dyDescent="0.25">
      <c r="A10490" s="1"/>
    </row>
    <row r="10491" spans="1:1" ht="46.5" customHeight="1" x14ac:dyDescent="0.25">
      <c r="A10491" s="1"/>
    </row>
    <row r="10492" spans="1:1" ht="46.5" customHeight="1" x14ac:dyDescent="0.25">
      <c r="A10492" s="1"/>
    </row>
    <row r="10493" spans="1:1" ht="46.5" customHeight="1" x14ac:dyDescent="0.25">
      <c r="A10493" s="1"/>
    </row>
    <row r="10494" spans="1:1" ht="46.5" customHeight="1" x14ac:dyDescent="0.25">
      <c r="A10494" s="1"/>
    </row>
    <row r="10495" spans="1:1" ht="46.5" customHeight="1" x14ac:dyDescent="0.25">
      <c r="A10495" s="1"/>
    </row>
    <row r="10496" spans="1:1" ht="46.5" customHeight="1" x14ac:dyDescent="0.25">
      <c r="A10496" s="1"/>
    </row>
    <row r="10497" spans="1:1" ht="46.5" customHeight="1" x14ac:dyDescent="0.25">
      <c r="A10497" s="1"/>
    </row>
    <row r="10498" spans="1:1" ht="46.5" customHeight="1" x14ac:dyDescent="0.25">
      <c r="A10498" s="1"/>
    </row>
    <row r="10499" spans="1:1" ht="46.5" customHeight="1" x14ac:dyDescent="0.25">
      <c r="A10499" s="1"/>
    </row>
    <row r="10500" spans="1:1" ht="46.5" customHeight="1" x14ac:dyDescent="0.25">
      <c r="A10500" s="1"/>
    </row>
    <row r="10501" spans="1:1" ht="46.5" customHeight="1" x14ac:dyDescent="0.25">
      <c r="A10501" s="1"/>
    </row>
    <row r="10502" spans="1:1" ht="46.5" customHeight="1" x14ac:dyDescent="0.25">
      <c r="A10502" s="1"/>
    </row>
    <row r="10503" spans="1:1" ht="46.5" customHeight="1" x14ac:dyDescent="0.25">
      <c r="A10503" s="1"/>
    </row>
    <row r="10504" spans="1:1" ht="46.5" customHeight="1" x14ac:dyDescent="0.25">
      <c r="A10504" s="1"/>
    </row>
    <row r="10505" spans="1:1" ht="46.5" customHeight="1" x14ac:dyDescent="0.25">
      <c r="A10505" s="1"/>
    </row>
    <row r="10506" spans="1:1" ht="46.5" customHeight="1" x14ac:dyDescent="0.25">
      <c r="A10506" s="1"/>
    </row>
    <row r="10507" spans="1:1" ht="46.5" customHeight="1" x14ac:dyDescent="0.25">
      <c r="A10507" s="1"/>
    </row>
    <row r="10508" spans="1:1" ht="46.5" customHeight="1" x14ac:dyDescent="0.25">
      <c r="A10508" s="1"/>
    </row>
    <row r="10509" spans="1:1" ht="46.5" customHeight="1" x14ac:dyDescent="0.25">
      <c r="A10509" s="1"/>
    </row>
    <row r="10510" spans="1:1" ht="46.5" customHeight="1" x14ac:dyDescent="0.25">
      <c r="A10510" s="1"/>
    </row>
    <row r="10511" spans="1:1" ht="46.5" customHeight="1" x14ac:dyDescent="0.25">
      <c r="A10511" s="1"/>
    </row>
    <row r="10512" spans="1:1" ht="46.5" customHeight="1" x14ac:dyDescent="0.25">
      <c r="A10512" s="1"/>
    </row>
    <row r="10513" spans="1:1" ht="46.5" customHeight="1" x14ac:dyDescent="0.25">
      <c r="A10513" s="1"/>
    </row>
    <row r="10514" spans="1:1" ht="46.5" customHeight="1" x14ac:dyDescent="0.25">
      <c r="A10514" s="1"/>
    </row>
    <row r="10515" spans="1:1" ht="46.5" customHeight="1" x14ac:dyDescent="0.25">
      <c r="A10515" s="1"/>
    </row>
    <row r="10516" spans="1:1" ht="46.5" customHeight="1" x14ac:dyDescent="0.25">
      <c r="A10516" s="1"/>
    </row>
    <row r="10517" spans="1:1" ht="46.5" customHeight="1" x14ac:dyDescent="0.25">
      <c r="A10517" s="1"/>
    </row>
    <row r="10518" spans="1:1" ht="46.5" customHeight="1" x14ac:dyDescent="0.25">
      <c r="A10518" s="1"/>
    </row>
    <row r="10519" spans="1:1" ht="46.5" customHeight="1" x14ac:dyDescent="0.25">
      <c r="A10519" s="1"/>
    </row>
    <row r="10520" spans="1:1" ht="46.5" customHeight="1" x14ac:dyDescent="0.25">
      <c r="A10520" s="1"/>
    </row>
    <row r="10521" spans="1:1" ht="46.5" customHeight="1" x14ac:dyDescent="0.25">
      <c r="A10521" s="1"/>
    </row>
    <row r="10522" spans="1:1" ht="46.5" customHeight="1" x14ac:dyDescent="0.25">
      <c r="A10522" s="1"/>
    </row>
    <row r="10523" spans="1:1" ht="46.5" customHeight="1" x14ac:dyDescent="0.25">
      <c r="A10523" s="1"/>
    </row>
    <row r="10524" spans="1:1" ht="46.5" customHeight="1" x14ac:dyDescent="0.25">
      <c r="A10524" s="1"/>
    </row>
    <row r="10525" spans="1:1" ht="46.5" customHeight="1" x14ac:dyDescent="0.25">
      <c r="A10525" s="1"/>
    </row>
    <row r="10526" spans="1:1" ht="46.5" customHeight="1" x14ac:dyDescent="0.25">
      <c r="A10526" s="1"/>
    </row>
    <row r="10527" spans="1:1" ht="46.5" customHeight="1" x14ac:dyDescent="0.25">
      <c r="A10527" s="1"/>
    </row>
    <row r="10528" spans="1:1" ht="46.5" customHeight="1" x14ac:dyDescent="0.25">
      <c r="A10528" s="1"/>
    </row>
    <row r="10529" spans="1:1" ht="46.5" customHeight="1" x14ac:dyDescent="0.25">
      <c r="A10529" s="1"/>
    </row>
    <row r="10530" spans="1:1" ht="46.5" customHeight="1" x14ac:dyDescent="0.25">
      <c r="A10530" s="1"/>
    </row>
    <row r="10531" spans="1:1" ht="46.5" customHeight="1" x14ac:dyDescent="0.25">
      <c r="A10531" s="1"/>
    </row>
    <row r="10532" spans="1:1" ht="46.5" customHeight="1" x14ac:dyDescent="0.25">
      <c r="A10532" s="1"/>
    </row>
    <row r="10533" spans="1:1" ht="46.5" customHeight="1" x14ac:dyDescent="0.25">
      <c r="A10533" s="1"/>
    </row>
    <row r="10534" spans="1:1" ht="46.5" customHeight="1" x14ac:dyDescent="0.25">
      <c r="A10534" s="1"/>
    </row>
    <row r="10535" spans="1:1" ht="46.5" customHeight="1" x14ac:dyDescent="0.25">
      <c r="A10535" s="1"/>
    </row>
    <row r="10536" spans="1:1" ht="46.5" customHeight="1" x14ac:dyDescent="0.25">
      <c r="A10536" s="1"/>
    </row>
    <row r="10537" spans="1:1" ht="46.5" customHeight="1" x14ac:dyDescent="0.25">
      <c r="A10537" s="1"/>
    </row>
    <row r="10538" spans="1:1" ht="46.5" customHeight="1" x14ac:dyDescent="0.25">
      <c r="A10538" s="1"/>
    </row>
    <row r="10539" spans="1:1" ht="46.5" customHeight="1" x14ac:dyDescent="0.25">
      <c r="A10539" s="1"/>
    </row>
    <row r="10540" spans="1:1" ht="46.5" customHeight="1" x14ac:dyDescent="0.25">
      <c r="A10540" s="1"/>
    </row>
    <row r="10541" spans="1:1" ht="46.5" customHeight="1" x14ac:dyDescent="0.25">
      <c r="A10541" s="1"/>
    </row>
    <row r="10542" spans="1:1" ht="46.5" customHeight="1" x14ac:dyDescent="0.25">
      <c r="A10542" s="1"/>
    </row>
    <row r="10543" spans="1:1" ht="46.5" customHeight="1" x14ac:dyDescent="0.25">
      <c r="A10543" s="1"/>
    </row>
    <row r="10544" spans="1:1" ht="46.5" customHeight="1" x14ac:dyDescent="0.25">
      <c r="A10544" s="1"/>
    </row>
    <row r="10545" spans="1:1" ht="46.5" customHeight="1" x14ac:dyDescent="0.25">
      <c r="A10545" s="1"/>
    </row>
    <row r="10546" spans="1:1" ht="46.5" customHeight="1" x14ac:dyDescent="0.25">
      <c r="A10546" s="1"/>
    </row>
    <row r="10547" spans="1:1" ht="46.5" customHeight="1" x14ac:dyDescent="0.25">
      <c r="A10547" s="1"/>
    </row>
    <row r="10548" spans="1:1" ht="46.5" customHeight="1" x14ac:dyDescent="0.25">
      <c r="A10548" s="1"/>
    </row>
    <row r="10549" spans="1:1" ht="46.5" customHeight="1" x14ac:dyDescent="0.25">
      <c r="A10549" s="1"/>
    </row>
    <row r="10550" spans="1:1" ht="46.5" customHeight="1" x14ac:dyDescent="0.25">
      <c r="A10550" s="1"/>
    </row>
    <row r="10551" spans="1:1" ht="46.5" customHeight="1" x14ac:dyDescent="0.25">
      <c r="A10551" s="1"/>
    </row>
    <row r="10552" spans="1:1" ht="46.5" customHeight="1" x14ac:dyDescent="0.25">
      <c r="A10552" s="1"/>
    </row>
    <row r="10553" spans="1:1" ht="46.5" customHeight="1" x14ac:dyDescent="0.25">
      <c r="A10553" s="1"/>
    </row>
    <row r="10554" spans="1:1" ht="46.5" customHeight="1" x14ac:dyDescent="0.25">
      <c r="A10554" s="1"/>
    </row>
    <row r="10555" spans="1:1" ht="46.5" customHeight="1" x14ac:dyDescent="0.25">
      <c r="A10555" s="1"/>
    </row>
    <row r="10556" spans="1:1" ht="46.5" customHeight="1" x14ac:dyDescent="0.25">
      <c r="A10556" s="1"/>
    </row>
    <row r="10557" spans="1:1" ht="46.5" customHeight="1" x14ac:dyDescent="0.25">
      <c r="A10557" s="1"/>
    </row>
    <row r="10558" spans="1:1" ht="46.5" customHeight="1" x14ac:dyDescent="0.25">
      <c r="A10558" s="1"/>
    </row>
    <row r="10559" spans="1:1" ht="46.5" customHeight="1" x14ac:dyDescent="0.25">
      <c r="A10559" s="1"/>
    </row>
    <row r="10560" spans="1:1" ht="46.5" customHeight="1" x14ac:dyDescent="0.25">
      <c r="A10560" s="1"/>
    </row>
    <row r="10561" spans="1:1" ht="46.5" customHeight="1" x14ac:dyDescent="0.25">
      <c r="A10561" s="1"/>
    </row>
    <row r="10562" spans="1:1" ht="46.5" customHeight="1" x14ac:dyDescent="0.25">
      <c r="A10562" s="1"/>
    </row>
    <row r="10563" spans="1:1" ht="46.5" customHeight="1" x14ac:dyDescent="0.25">
      <c r="A10563" s="1"/>
    </row>
    <row r="10564" spans="1:1" ht="46.5" customHeight="1" x14ac:dyDescent="0.25">
      <c r="A10564" s="1"/>
    </row>
    <row r="10565" spans="1:1" ht="46.5" customHeight="1" x14ac:dyDescent="0.25">
      <c r="A10565" s="1"/>
    </row>
    <row r="10566" spans="1:1" ht="46.5" customHeight="1" x14ac:dyDescent="0.25">
      <c r="A10566" s="1"/>
    </row>
    <row r="10567" spans="1:1" ht="46.5" customHeight="1" x14ac:dyDescent="0.25">
      <c r="A10567" s="1"/>
    </row>
    <row r="10568" spans="1:1" ht="46.5" customHeight="1" x14ac:dyDescent="0.25">
      <c r="A10568" s="1"/>
    </row>
    <row r="10569" spans="1:1" ht="46.5" customHeight="1" x14ac:dyDescent="0.25">
      <c r="A10569" s="1"/>
    </row>
    <row r="10570" spans="1:1" ht="46.5" customHeight="1" x14ac:dyDescent="0.25">
      <c r="A10570" s="1"/>
    </row>
    <row r="10571" spans="1:1" ht="46.5" customHeight="1" x14ac:dyDescent="0.25">
      <c r="A10571" s="1"/>
    </row>
    <row r="10572" spans="1:1" ht="46.5" customHeight="1" x14ac:dyDescent="0.25">
      <c r="A10572" s="1"/>
    </row>
    <row r="10573" spans="1:1" ht="46.5" customHeight="1" x14ac:dyDescent="0.25">
      <c r="A10573" s="1"/>
    </row>
    <row r="10574" spans="1:1" ht="46.5" customHeight="1" x14ac:dyDescent="0.25">
      <c r="A10574" s="1"/>
    </row>
    <row r="10575" spans="1:1" ht="46.5" customHeight="1" x14ac:dyDescent="0.25">
      <c r="A10575" s="1"/>
    </row>
    <row r="10576" spans="1:1" ht="46.5" customHeight="1" x14ac:dyDescent="0.25">
      <c r="A10576" s="1"/>
    </row>
    <row r="10577" spans="1:1" ht="46.5" customHeight="1" x14ac:dyDescent="0.25">
      <c r="A10577" s="1"/>
    </row>
    <row r="10578" spans="1:1" ht="46.5" customHeight="1" x14ac:dyDescent="0.25">
      <c r="A10578" s="1"/>
    </row>
    <row r="10579" spans="1:1" ht="46.5" customHeight="1" x14ac:dyDescent="0.25">
      <c r="A10579" s="1"/>
    </row>
    <row r="10580" spans="1:1" ht="46.5" customHeight="1" x14ac:dyDescent="0.25">
      <c r="A10580" s="1"/>
    </row>
    <row r="10581" spans="1:1" ht="46.5" customHeight="1" x14ac:dyDescent="0.25">
      <c r="A10581" s="1"/>
    </row>
    <row r="10582" spans="1:1" ht="46.5" customHeight="1" x14ac:dyDescent="0.25">
      <c r="A10582" s="1"/>
    </row>
    <row r="10583" spans="1:1" ht="46.5" customHeight="1" x14ac:dyDescent="0.25">
      <c r="A10583" s="1"/>
    </row>
    <row r="10584" spans="1:1" ht="46.5" customHeight="1" x14ac:dyDescent="0.25">
      <c r="A10584" s="1"/>
    </row>
    <row r="10585" spans="1:1" ht="46.5" customHeight="1" x14ac:dyDescent="0.25">
      <c r="A10585" s="1"/>
    </row>
    <row r="10586" spans="1:1" ht="46.5" customHeight="1" x14ac:dyDescent="0.25">
      <c r="A10586" s="1"/>
    </row>
    <row r="10587" spans="1:1" ht="46.5" customHeight="1" x14ac:dyDescent="0.25">
      <c r="A10587" s="1"/>
    </row>
    <row r="10588" spans="1:1" ht="46.5" customHeight="1" x14ac:dyDescent="0.25">
      <c r="A10588" s="1"/>
    </row>
    <row r="10589" spans="1:1" ht="46.5" customHeight="1" x14ac:dyDescent="0.25">
      <c r="A10589" s="1"/>
    </row>
    <row r="10590" spans="1:1" ht="46.5" customHeight="1" x14ac:dyDescent="0.25">
      <c r="A10590" s="1"/>
    </row>
    <row r="10591" spans="1:1" ht="46.5" customHeight="1" x14ac:dyDescent="0.25">
      <c r="A10591" s="1"/>
    </row>
    <row r="10592" spans="1:1" ht="46.5" customHeight="1" x14ac:dyDescent="0.25">
      <c r="A10592" s="1"/>
    </row>
    <row r="10593" spans="1:1" ht="46.5" customHeight="1" x14ac:dyDescent="0.25">
      <c r="A10593" s="1"/>
    </row>
    <row r="10594" spans="1:1" ht="46.5" customHeight="1" x14ac:dyDescent="0.25">
      <c r="A10594" s="1"/>
    </row>
    <row r="10595" spans="1:1" ht="46.5" customHeight="1" x14ac:dyDescent="0.25">
      <c r="A10595" s="1"/>
    </row>
    <row r="10596" spans="1:1" ht="46.5" customHeight="1" x14ac:dyDescent="0.25">
      <c r="A10596" s="1"/>
    </row>
    <row r="10597" spans="1:1" ht="46.5" customHeight="1" x14ac:dyDescent="0.25">
      <c r="A10597" s="1"/>
    </row>
    <row r="10598" spans="1:1" ht="46.5" customHeight="1" x14ac:dyDescent="0.25">
      <c r="A10598" s="1"/>
    </row>
    <row r="10599" spans="1:1" ht="46.5" customHeight="1" x14ac:dyDescent="0.25">
      <c r="A10599" s="1"/>
    </row>
    <row r="10600" spans="1:1" ht="46.5" customHeight="1" x14ac:dyDescent="0.25">
      <c r="A10600" s="1"/>
    </row>
    <row r="10601" spans="1:1" ht="46.5" customHeight="1" x14ac:dyDescent="0.25">
      <c r="A10601" s="1"/>
    </row>
    <row r="10602" spans="1:1" ht="46.5" customHeight="1" x14ac:dyDescent="0.25">
      <c r="A10602" s="1"/>
    </row>
    <row r="10603" spans="1:1" ht="46.5" customHeight="1" x14ac:dyDescent="0.25">
      <c r="A10603" s="1"/>
    </row>
    <row r="10604" spans="1:1" ht="46.5" customHeight="1" x14ac:dyDescent="0.25">
      <c r="A10604" s="1"/>
    </row>
    <row r="10605" spans="1:1" ht="46.5" customHeight="1" x14ac:dyDescent="0.25">
      <c r="A10605" s="1"/>
    </row>
    <row r="10606" spans="1:1" ht="46.5" customHeight="1" x14ac:dyDescent="0.25">
      <c r="A10606" s="1"/>
    </row>
    <row r="10607" spans="1:1" ht="46.5" customHeight="1" x14ac:dyDescent="0.25">
      <c r="A10607" s="1"/>
    </row>
    <row r="10608" spans="1:1" ht="46.5" customHeight="1" x14ac:dyDescent="0.25">
      <c r="A10608" s="1"/>
    </row>
    <row r="10609" spans="1:1" ht="46.5" customHeight="1" x14ac:dyDescent="0.25">
      <c r="A10609" s="1"/>
    </row>
    <row r="10610" spans="1:1" ht="46.5" customHeight="1" x14ac:dyDescent="0.25">
      <c r="A10610" s="1"/>
    </row>
    <row r="10611" spans="1:1" ht="46.5" customHeight="1" x14ac:dyDescent="0.25">
      <c r="A10611" s="1"/>
    </row>
    <row r="10612" spans="1:1" ht="46.5" customHeight="1" x14ac:dyDescent="0.25">
      <c r="A10612" s="1"/>
    </row>
    <row r="10613" spans="1:1" ht="46.5" customHeight="1" x14ac:dyDescent="0.25">
      <c r="A10613" s="1"/>
    </row>
    <row r="10614" spans="1:1" ht="46.5" customHeight="1" x14ac:dyDescent="0.25">
      <c r="A10614" s="1"/>
    </row>
    <row r="10615" spans="1:1" ht="46.5" customHeight="1" x14ac:dyDescent="0.25">
      <c r="A10615" s="1"/>
    </row>
    <row r="10616" spans="1:1" ht="46.5" customHeight="1" x14ac:dyDescent="0.25">
      <c r="A10616" s="1"/>
    </row>
    <row r="10617" spans="1:1" ht="46.5" customHeight="1" x14ac:dyDescent="0.25">
      <c r="A10617" s="1"/>
    </row>
    <row r="10618" spans="1:1" ht="46.5" customHeight="1" x14ac:dyDescent="0.25">
      <c r="A10618" s="1"/>
    </row>
    <row r="10619" spans="1:1" ht="46.5" customHeight="1" x14ac:dyDescent="0.25">
      <c r="A10619" s="1"/>
    </row>
    <row r="10620" spans="1:1" ht="46.5" customHeight="1" x14ac:dyDescent="0.25">
      <c r="A10620" s="1"/>
    </row>
    <row r="10621" spans="1:1" ht="46.5" customHeight="1" x14ac:dyDescent="0.25">
      <c r="A10621" s="1"/>
    </row>
    <row r="10622" spans="1:1" ht="46.5" customHeight="1" x14ac:dyDescent="0.25">
      <c r="A10622" s="1"/>
    </row>
    <row r="10623" spans="1:1" ht="46.5" customHeight="1" x14ac:dyDescent="0.25">
      <c r="A10623" s="1"/>
    </row>
    <row r="10624" spans="1:1" ht="46.5" customHeight="1" x14ac:dyDescent="0.25">
      <c r="A10624" s="1"/>
    </row>
    <row r="10625" spans="1:1" ht="46.5" customHeight="1" x14ac:dyDescent="0.25">
      <c r="A10625" s="1"/>
    </row>
    <row r="10626" spans="1:1" ht="46.5" customHeight="1" x14ac:dyDescent="0.25">
      <c r="A10626" s="1"/>
    </row>
    <row r="10627" spans="1:1" ht="46.5" customHeight="1" x14ac:dyDescent="0.25">
      <c r="A10627" s="1"/>
    </row>
    <row r="10628" spans="1:1" ht="46.5" customHeight="1" x14ac:dyDescent="0.25">
      <c r="A10628" s="1"/>
    </row>
    <row r="10629" spans="1:1" ht="46.5" customHeight="1" x14ac:dyDescent="0.25">
      <c r="A10629" s="1"/>
    </row>
    <row r="10630" spans="1:1" ht="46.5" customHeight="1" x14ac:dyDescent="0.25">
      <c r="A10630" s="1"/>
    </row>
    <row r="10631" spans="1:1" ht="46.5" customHeight="1" x14ac:dyDescent="0.25">
      <c r="A10631" s="1"/>
    </row>
    <row r="10632" spans="1:1" ht="46.5" customHeight="1" x14ac:dyDescent="0.25">
      <c r="A10632" s="1"/>
    </row>
    <row r="10633" spans="1:1" ht="46.5" customHeight="1" x14ac:dyDescent="0.25">
      <c r="A10633" s="1"/>
    </row>
    <row r="10634" spans="1:1" ht="46.5" customHeight="1" x14ac:dyDescent="0.25">
      <c r="A10634" s="1"/>
    </row>
    <row r="10635" spans="1:1" ht="46.5" customHeight="1" x14ac:dyDescent="0.25">
      <c r="A10635" s="1"/>
    </row>
    <row r="10636" spans="1:1" ht="46.5" customHeight="1" x14ac:dyDescent="0.25">
      <c r="A10636" s="1"/>
    </row>
    <row r="10637" spans="1:1" ht="46.5" customHeight="1" x14ac:dyDescent="0.25">
      <c r="A10637" s="1"/>
    </row>
    <row r="10638" spans="1:1" ht="46.5" customHeight="1" x14ac:dyDescent="0.25">
      <c r="A10638" s="1"/>
    </row>
    <row r="10639" spans="1:1" ht="46.5" customHeight="1" x14ac:dyDescent="0.25">
      <c r="A10639" s="1"/>
    </row>
    <row r="10640" spans="1:1" ht="46.5" customHeight="1" x14ac:dyDescent="0.25">
      <c r="A10640" s="1"/>
    </row>
    <row r="10641" spans="1:1" ht="46.5" customHeight="1" x14ac:dyDescent="0.25">
      <c r="A10641" s="1"/>
    </row>
    <row r="10642" spans="1:1" ht="46.5" customHeight="1" x14ac:dyDescent="0.25">
      <c r="A10642" s="1"/>
    </row>
    <row r="10643" spans="1:1" ht="46.5" customHeight="1" x14ac:dyDescent="0.25">
      <c r="A10643" s="1"/>
    </row>
    <row r="10644" spans="1:1" ht="46.5" customHeight="1" x14ac:dyDescent="0.25">
      <c r="A10644" s="1"/>
    </row>
    <row r="10645" spans="1:1" ht="46.5" customHeight="1" x14ac:dyDescent="0.25">
      <c r="A10645" s="1"/>
    </row>
    <row r="10646" spans="1:1" ht="46.5" customHeight="1" x14ac:dyDescent="0.25">
      <c r="A10646" s="1"/>
    </row>
    <row r="10647" spans="1:1" ht="46.5" customHeight="1" x14ac:dyDescent="0.25">
      <c r="A10647" s="1"/>
    </row>
    <row r="10648" spans="1:1" ht="46.5" customHeight="1" x14ac:dyDescent="0.25">
      <c r="A10648" s="1"/>
    </row>
    <row r="10649" spans="1:1" ht="46.5" customHeight="1" x14ac:dyDescent="0.25">
      <c r="A10649" s="1"/>
    </row>
    <row r="10650" spans="1:1" ht="46.5" customHeight="1" x14ac:dyDescent="0.25">
      <c r="A10650" s="1"/>
    </row>
    <row r="10651" spans="1:1" ht="46.5" customHeight="1" x14ac:dyDescent="0.25">
      <c r="A10651" s="1"/>
    </row>
    <row r="10652" spans="1:1" ht="46.5" customHeight="1" x14ac:dyDescent="0.25">
      <c r="A10652" s="1"/>
    </row>
    <row r="10653" spans="1:1" ht="46.5" customHeight="1" x14ac:dyDescent="0.25">
      <c r="A10653" s="1"/>
    </row>
    <row r="10654" spans="1:1" ht="46.5" customHeight="1" x14ac:dyDescent="0.25">
      <c r="A10654" s="1"/>
    </row>
    <row r="10655" spans="1:1" ht="46.5" customHeight="1" x14ac:dyDescent="0.25">
      <c r="A10655" s="1"/>
    </row>
    <row r="10656" spans="1:1" ht="46.5" customHeight="1" x14ac:dyDescent="0.25">
      <c r="A10656" s="1"/>
    </row>
    <row r="10657" spans="1:1" ht="46.5" customHeight="1" x14ac:dyDescent="0.25">
      <c r="A10657" s="1"/>
    </row>
    <row r="10658" spans="1:1" ht="46.5" customHeight="1" x14ac:dyDescent="0.25">
      <c r="A10658" s="1"/>
    </row>
    <row r="10659" spans="1:1" ht="46.5" customHeight="1" x14ac:dyDescent="0.25">
      <c r="A10659" s="1"/>
    </row>
    <row r="10660" spans="1:1" ht="46.5" customHeight="1" x14ac:dyDescent="0.25">
      <c r="A10660" s="1"/>
    </row>
    <row r="10661" spans="1:1" ht="46.5" customHeight="1" x14ac:dyDescent="0.25">
      <c r="A10661" s="1"/>
    </row>
    <row r="10662" spans="1:1" ht="46.5" customHeight="1" x14ac:dyDescent="0.25">
      <c r="A10662" s="1"/>
    </row>
    <row r="10663" spans="1:1" ht="46.5" customHeight="1" x14ac:dyDescent="0.25">
      <c r="A10663" s="1"/>
    </row>
    <row r="10664" spans="1:1" ht="46.5" customHeight="1" x14ac:dyDescent="0.25">
      <c r="A10664" s="1"/>
    </row>
    <row r="10665" spans="1:1" ht="46.5" customHeight="1" x14ac:dyDescent="0.25">
      <c r="A10665" s="1"/>
    </row>
    <row r="10666" spans="1:1" ht="46.5" customHeight="1" x14ac:dyDescent="0.25">
      <c r="A10666" s="1"/>
    </row>
    <row r="10667" spans="1:1" ht="46.5" customHeight="1" x14ac:dyDescent="0.25">
      <c r="A10667" s="1"/>
    </row>
    <row r="10668" spans="1:1" ht="46.5" customHeight="1" x14ac:dyDescent="0.25">
      <c r="A10668" s="1"/>
    </row>
    <row r="10669" spans="1:1" ht="46.5" customHeight="1" x14ac:dyDescent="0.25">
      <c r="A10669" s="1"/>
    </row>
    <row r="10670" spans="1:1" ht="46.5" customHeight="1" x14ac:dyDescent="0.25">
      <c r="A10670" s="1"/>
    </row>
    <row r="10671" spans="1:1" ht="46.5" customHeight="1" x14ac:dyDescent="0.25">
      <c r="A10671" s="1"/>
    </row>
    <row r="10672" spans="1:1" ht="46.5" customHeight="1" x14ac:dyDescent="0.25">
      <c r="A10672" s="1"/>
    </row>
    <row r="10673" spans="1:1" ht="46.5" customHeight="1" x14ac:dyDescent="0.25">
      <c r="A10673" s="1"/>
    </row>
    <row r="10674" spans="1:1" ht="46.5" customHeight="1" x14ac:dyDescent="0.25">
      <c r="A10674" s="1"/>
    </row>
    <row r="10675" spans="1:1" ht="46.5" customHeight="1" x14ac:dyDescent="0.25">
      <c r="A10675" s="1"/>
    </row>
    <row r="10676" spans="1:1" ht="46.5" customHeight="1" x14ac:dyDescent="0.25">
      <c r="A10676" s="1"/>
    </row>
    <row r="10677" spans="1:1" ht="46.5" customHeight="1" x14ac:dyDescent="0.25">
      <c r="A10677" s="1"/>
    </row>
    <row r="10678" spans="1:1" ht="46.5" customHeight="1" x14ac:dyDescent="0.25">
      <c r="A10678" s="1"/>
    </row>
    <row r="10679" spans="1:1" ht="46.5" customHeight="1" x14ac:dyDescent="0.25">
      <c r="A10679" s="1"/>
    </row>
    <row r="10680" spans="1:1" ht="46.5" customHeight="1" x14ac:dyDescent="0.25">
      <c r="A10680" s="1"/>
    </row>
    <row r="10681" spans="1:1" ht="46.5" customHeight="1" x14ac:dyDescent="0.25">
      <c r="A10681" s="1"/>
    </row>
    <row r="10682" spans="1:1" ht="46.5" customHeight="1" x14ac:dyDescent="0.25">
      <c r="A10682" s="1"/>
    </row>
    <row r="10683" spans="1:1" ht="46.5" customHeight="1" x14ac:dyDescent="0.25">
      <c r="A10683" s="1"/>
    </row>
    <row r="10684" spans="1:1" ht="46.5" customHeight="1" x14ac:dyDescent="0.25">
      <c r="A10684" s="1"/>
    </row>
    <row r="10685" spans="1:1" ht="46.5" customHeight="1" x14ac:dyDescent="0.25">
      <c r="A10685" s="1"/>
    </row>
    <row r="10686" spans="1:1" ht="46.5" customHeight="1" x14ac:dyDescent="0.25">
      <c r="A10686" s="1"/>
    </row>
    <row r="10687" spans="1:1" ht="46.5" customHeight="1" x14ac:dyDescent="0.25">
      <c r="A10687" s="1"/>
    </row>
    <row r="10688" spans="1:1" ht="46.5" customHeight="1" x14ac:dyDescent="0.25">
      <c r="A10688" s="1"/>
    </row>
    <row r="10689" spans="1:1" ht="46.5" customHeight="1" x14ac:dyDescent="0.25">
      <c r="A10689" s="1"/>
    </row>
    <row r="10690" spans="1:1" ht="46.5" customHeight="1" x14ac:dyDescent="0.25">
      <c r="A10690" s="1"/>
    </row>
    <row r="10691" spans="1:1" ht="46.5" customHeight="1" x14ac:dyDescent="0.25">
      <c r="A10691" s="1"/>
    </row>
    <row r="10692" spans="1:1" ht="46.5" customHeight="1" x14ac:dyDescent="0.25">
      <c r="A10692" s="1"/>
    </row>
    <row r="10693" spans="1:1" ht="46.5" customHeight="1" x14ac:dyDescent="0.25">
      <c r="A10693" s="1"/>
    </row>
    <row r="10694" spans="1:1" ht="46.5" customHeight="1" x14ac:dyDescent="0.25">
      <c r="A10694" s="1"/>
    </row>
    <row r="10695" spans="1:1" ht="46.5" customHeight="1" x14ac:dyDescent="0.25">
      <c r="A10695" s="1"/>
    </row>
    <row r="10696" spans="1:1" ht="46.5" customHeight="1" x14ac:dyDescent="0.25">
      <c r="A10696" s="1"/>
    </row>
    <row r="10697" spans="1:1" ht="46.5" customHeight="1" x14ac:dyDescent="0.25">
      <c r="A10697" s="1"/>
    </row>
    <row r="10698" spans="1:1" ht="46.5" customHeight="1" x14ac:dyDescent="0.25">
      <c r="A10698" s="1"/>
    </row>
    <row r="10699" spans="1:1" ht="46.5" customHeight="1" x14ac:dyDescent="0.25">
      <c r="A10699" s="1"/>
    </row>
    <row r="10700" spans="1:1" ht="46.5" customHeight="1" x14ac:dyDescent="0.25">
      <c r="A10700" s="1"/>
    </row>
    <row r="10701" spans="1:1" ht="46.5" customHeight="1" x14ac:dyDescent="0.25">
      <c r="A10701" s="1"/>
    </row>
    <row r="10702" spans="1:1" ht="46.5" customHeight="1" x14ac:dyDescent="0.25">
      <c r="A10702" s="1"/>
    </row>
    <row r="10703" spans="1:1" ht="46.5" customHeight="1" x14ac:dyDescent="0.25">
      <c r="A10703" s="1"/>
    </row>
    <row r="10704" spans="1:1" ht="46.5" customHeight="1" x14ac:dyDescent="0.25">
      <c r="A10704" s="1"/>
    </row>
    <row r="10705" spans="1:1" ht="46.5" customHeight="1" x14ac:dyDescent="0.25">
      <c r="A10705" s="1"/>
    </row>
    <row r="10706" spans="1:1" ht="46.5" customHeight="1" x14ac:dyDescent="0.25">
      <c r="A10706" s="1"/>
    </row>
    <row r="10707" spans="1:1" ht="46.5" customHeight="1" x14ac:dyDescent="0.25">
      <c r="A10707" s="1"/>
    </row>
    <row r="10708" spans="1:1" ht="46.5" customHeight="1" x14ac:dyDescent="0.25">
      <c r="A10708" s="1"/>
    </row>
    <row r="10709" spans="1:1" ht="46.5" customHeight="1" x14ac:dyDescent="0.25">
      <c r="A10709" s="1"/>
    </row>
    <row r="10710" spans="1:1" ht="46.5" customHeight="1" x14ac:dyDescent="0.25">
      <c r="A10710" s="1"/>
    </row>
    <row r="10711" spans="1:1" ht="46.5" customHeight="1" x14ac:dyDescent="0.25">
      <c r="A10711" s="1"/>
    </row>
    <row r="10712" spans="1:1" ht="46.5" customHeight="1" x14ac:dyDescent="0.25">
      <c r="A10712" s="1"/>
    </row>
    <row r="10713" spans="1:1" ht="46.5" customHeight="1" x14ac:dyDescent="0.25">
      <c r="A10713" s="1"/>
    </row>
    <row r="10714" spans="1:1" ht="46.5" customHeight="1" x14ac:dyDescent="0.25">
      <c r="A10714" s="1"/>
    </row>
    <row r="10715" spans="1:1" ht="46.5" customHeight="1" x14ac:dyDescent="0.25">
      <c r="A10715" s="1"/>
    </row>
    <row r="10716" spans="1:1" ht="46.5" customHeight="1" x14ac:dyDescent="0.25">
      <c r="A10716" s="1"/>
    </row>
    <row r="10717" spans="1:1" ht="46.5" customHeight="1" x14ac:dyDescent="0.25">
      <c r="A10717" s="1"/>
    </row>
    <row r="10718" spans="1:1" ht="46.5" customHeight="1" x14ac:dyDescent="0.25">
      <c r="A10718" s="1"/>
    </row>
    <row r="10719" spans="1:1" ht="46.5" customHeight="1" x14ac:dyDescent="0.25">
      <c r="A10719" s="1"/>
    </row>
    <row r="10720" spans="1:1" ht="46.5" customHeight="1" x14ac:dyDescent="0.25">
      <c r="A10720" s="1"/>
    </row>
    <row r="10721" spans="1:1" ht="46.5" customHeight="1" x14ac:dyDescent="0.25">
      <c r="A10721" s="1"/>
    </row>
    <row r="10722" spans="1:1" ht="46.5" customHeight="1" x14ac:dyDescent="0.25">
      <c r="A10722" s="1"/>
    </row>
    <row r="10723" spans="1:1" ht="46.5" customHeight="1" x14ac:dyDescent="0.25">
      <c r="A10723" s="1"/>
    </row>
    <row r="10724" spans="1:1" ht="46.5" customHeight="1" x14ac:dyDescent="0.25">
      <c r="A10724" s="1"/>
    </row>
    <row r="10725" spans="1:1" ht="46.5" customHeight="1" x14ac:dyDescent="0.25">
      <c r="A10725" s="1"/>
    </row>
    <row r="10726" spans="1:1" ht="46.5" customHeight="1" x14ac:dyDescent="0.25">
      <c r="A10726" s="1"/>
    </row>
    <row r="10727" spans="1:1" ht="46.5" customHeight="1" x14ac:dyDescent="0.25">
      <c r="A10727" s="1"/>
    </row>
    <row r="10728" spans="1:1" ht="46.5" customHeight="1" x14ac:dyDescent="0.25">
      <c r="A10728" s="1"/>
    </row>
    <row r="10729" spans="1:1" ht="46.5" customHeight="1" x14ac:dyDescent="0.25">
      <c r="A10729" s="1"/>
    </row>
    <row r="10730" spans="1:1" ht="46.5" customHeight="1" x14ac:dyDescent="0.25">
      <c r="A10730" s="1"/>
    </row>
    <row r="10731" spans="1:1" ht="46.5" customHeight="1" x14ac:dyDescent="0.25">
      <c r="A10731" s="1"/>
    </row>
    <row r="10732" spans="1:1" ht="46.5" customHeight="1" x14ac:dyDescent="0.25">
      <c r="A10732" s="1"/>
    </row>
    <row r="10733" spans="1:1" ht="46.5" customHeight="1" x14ac:dyDescent="0.25">
      <c r="A10733" s="1"/>
    </row>
    <row r="10734" spans="1:1" ht="46.5" customHeight="1" x14ac:dyDescent="0.25">
      <c r="A10734" s="1"/>
    </row>
    <row r="10735" spans="1:1" ht="46.5" customHeight="1" x14ac:dyDescent="0.25">
      <c r="A10735" s="1"/>
    </row>
    <row r="10736" spans="1:1" ht="46.5" customHeight="1" x14ac:dyDescent="0.25">
      <c r="A10736" s="1"/>
    </row>
    <row r="10737" spans="1:1" ht="46.5" customHeight="1" x14ac:dyDescent="0.25">
      <c r="A10737" s="1"/>
    </row>
    <row r="10738" spans="1:1" ht="46.5" customHeight="1" x14ac:dyDescent="0.25">
      <c r="A10738" s="1"/>
    </row>
    <row r="10739" spans="1:1" ht="46.5" customHeight="1" x14ac:dyDescent="0.25">
      <c r="A10739" s="1"/>
    </row>
    <row r="10740" spans="1:1" ht="46.5" customHeight="1" x14ac:dyDescent="0.25">
      <c r="A10740" s="1"/>
    </row>
    <row r="10741" spans="1:1" ht="46.5" customHeight="1" x14ac:dyDescent="0.25">
      <c r="A10741" s="1"/>
    </row>
    <row r="10742" spans="1:1" ht="46.5" customHeight="1" x14ac:dyDescent="0.25">
      <c r="A10742" s="1"/>
    </row>
    <row r="10743" spans="1:1" ht="46.5" customHeight="1" x14ac:dyDescent="0.25">
      <c r="A10743" s="1"/>
    </row>
    <row r="10744" spans="1:1" ht="46.5" customHeight="1" x14ac:dyDescent="0.25">
      <c r="A10744" s="1"/>
    </row>
    <row r="10745" spans="1:1" ht="46.5" customHeight="1" x14ac:dyDescent="0.25">
      <c r="A10745" s="1"/>
    </row>
    <row r="10746" spans="1:1" ht="46.5" customHeight="1" x14ac:dyDescent="0.25">
      <c r="A10746" s="1"/>
    </row>
    <row r="10747" spans="1:1" ht="46.5" customHeight="1" x14ac:dyDescent="0.25">
      <c r="A10747" s="1"/>
    </row>
    <row r="10748" spans="1:1" ht="46.5" customHeight="1" x14ac:dyDescent="0.25">
      <c r="A10748" s="1"/>
    </row>
    <row r="10749" spans="1:1" ht="46.5" customHeight="1" x14ac:dyDescent="0.25">
      <c r="A10749" s="1"/>
    </row>
    <row r="10750" spans="1:1" ht="46.5" customHeight="1" x14ac:dyDescent="0.25">
      <c r="A10750" s="1"/>
    </row>
    <row r="10751" spans="1:1" ht="46.5" customHeight="1" x14ac:dyDescent="0.25">
      <c r="A10751" s="1"/>
    </row>
    <row r="10752" spans="1:1" ht="46.5" customHeight="1" x14ac:dyDescent="0.25">
      <c r="A10752" s="1"/>
    </row>
    <row r="10753" spans="1:1" ht="46.5" customHeight="1" x14ac:dyDescent="0.25">
      <c r="A10753" s="1"/>
    </row>
    <row r="10754" spans="1:1" ht="46.5" customHeight="1" x14ac:dyDescent="0.25">
      <c r="A10754" s="1"/>
    </row>
    <row r="10755" spans="1:1" ht="46.5" customHeight="1" x14ac:dyDescent="0.25">
      <c r="A10755" s="1"/>
    </row>
    <row r="10756" spans="1:1" ht="46.5" customHeight="1" x14ac:dyDescent="0.25">
      <c r="A10756" s="1"/>
    </row>
    <row r="10757" spans="1:1" ht="46.5" customHeight="1" x14ac:dyDescent="0.25">
      <c r="A10757" s="1"/>
    </row>
    <row r="10758" spans="1:1" ht="46.5" customHeight="1" x14ac:dyDescent="0.25">
      <c r="A10758" s="1"/>
    </row>
    <row r="10759" spans="1:1" ht="46.5" customHeight="1" x14ac:dyDescent="0.25">
      <c r="A10759" s="1"/>
    </row>
    <row r="10760" spans="1:1" ht="46.5" customHeight="1" x14ac:dyDescent="0.25">
      <c r="A10760" s="1"/>
    </row>
    <row r="10761" spans="1:1" ht="46.5" customHeight="1" x14ac:dyDescent="0.25">
      <c r="A10761" s="1"/>
    </row>
    <row r="10762" spans="1:1" ht="46.5" customHeight="1" x14ac:dyDescent="0.25">
      <c r="A10762" s="1"/>
    </row>
    <row r="10763" spans="1:1" ht="46.5" customHeight="1" x14ac:dyDescent="0.25">
      <c r="A10763" s="1"/>
    </row>
    <row r="10764" spans="1:1" ht="46.5" customHeight="1" x14ac:dyDescent="0.25">
      <c r="A10764" s="1"/>
    </row>
    <row r="10765" spans="1:1" ht="46.5" customHeight="1" x14ac:dyDescent="0.25">
      <c r="A10765" s="1"/>
    </row>
    <row r="10766" spans="1:1" ht="46.5" customHeight="1" x14ac:dyDescent="0.25">
      <c r="A10766" s="1"/>
    </row>
    <row r="10767" spans="1:1" ht="46.5" customHeight="1" x14ac:dyDescent="0.25">
      <c r="A10767" s="1"/>
    </row>
    <row r="10768" spans="1:1" ht="46.5" customHeight="1" x14ac:dyDescent="0.25">
      <c r="A10768" s="1"/>
    </row>
    <row r="10769" spans="1:1" ht="46.5" customHeight="1" x14ac:dyDescent="0.25">
      <c r="A10769" s="1"/>
    </row>
    <row r="10770" spans="1:1" ht="46.5" customHeight="1" x14ac:dyDescent="0.25">
      <c r="A10770" s="1"/>
    </row>
    <row r="10771" spans="1:1" ht="46.5" customHeight="1" x14ac:dyDescent="0.25">
      <c r="A10771" s="1"/>
    </row>
    <row r="10772" spans="1:1" ht="46.5" customHeight="1" x14ac:dyDescent="0.25">
      <c r="A10772" s="1"/>
    </row>
    <row r="10773" spans="1:1" ht="46.5" customHeight="1" x14ac:dyDescent="0.25">
      <c r="A10773" s="1"/>
    </row>
    <row r="10774" spans="1:1" ht="46.5" customHeight="1" x14ac:dyDescent="0.25">
      <c r="A10774" s="1"/>
    </row>
    <row r="10775" spans="1:1" ht="46.5" customHeight="1" x14ac:dyDescent="0.25">
      <c r="A10775" s="1"/>
    </row>
    <row r="10776" spans="1:1" ht="46.5" customHeight="1" x14ac:dyDescent="0.25">
      <c r="A10776" s="1"/>
    </row>
    <row r="10777" spans="1:1" ht="46.5" customHeight="1" x14ac:dyDescent="0.25">
      <c r="A10777" s="1"/>
    </row>
    <row r="10778" spans="1:1" ht="46.5" customHeight="1" x14ac:dyDescent="0.25">
      <c r="A10778" s="1"/>
    </row>
    <row r="10779" spans="1:1" ht="46.5" customHeight="1" x14ac:dyDescent="0.25">
      <c r="A10779" s="1"/>
    </row>
    <row r="10780" spans="1:1" ht="46.5" customHeight="1" x14ac:dyDescent="0.25">
      <c r="A10780" s="1"/>
    </row>
    <row r="10781" spans="1:1" ht="46.5" customHeight="1" x14ac:dyDescent="0.25">
      <c r="A10781" s="1"/>
    </row>
    <row r="10782" spans="1:1" ht="46.5" customHeight="1" x14ac:dyDescent="0.25">
      <c r="A10782" s="1"/>
    </row>
    <row r="10783" spans="1:1" ht="46.5" customHeight="1" x14ac:dyDescent="0.25">
      <c r="A10783" s="1"/>
    </row>
    <row r="10784" spans="1:1" ht="46.5" customHeight="1" x14ac:dyDescent="0.25">
      <c r="A10784" s="1"/>
    </row>
    <row r="10785" spans="1:1" ht="46.5" customHeight="1" x14ac:dyDescent="0.25">
      <c r="A10785" s="1"/>
    </row>
    <row r="10786" spans="1:1" ht="46.5" customHeight="1" x14ac:dyDescent="0.25">
      <c r="A10786" s="1"/>
    </row>
    <row r="10787" spans="1:1" ht="46.5" customHeight="1" x14ac:dyDescent="0.25">
      <c r="A10787" s="1"/>
    </row>
    <row r="10788" spans="1:1" ht="46.5" customHeight="1" x14ac:dyDescent="0.25">
      <c r="A10788" s="1"/>
    </row>
    <row r="10789" spans="1:1" ht="46.5" customHeight="1" x14ac:dyDescent="0.25">
      <c r="A10789" s="1"/>
    </row>
    <row r="10790" spans="1:1" ht="46.5" customHeight="1" x14ac:dyDescent="0.25">
      <c r="A10790" s="1"/>
    </row>
    <row r="10791" spans="1:1" ht="46.5" customHeight="1" x14ac:dyDescent="0.25">
      <c r="A10791" s="1"/>
    </row>
    <row r="10792" spans="1:1" ht="46.5" customHeight="1" x14ac:dyDescent="0.25">
      <c r="A10792" s="1"/>
    </row>
    <row r="10793" spans="1:1" ht="46.5" customHeight="1" x14ac:dyDescent="0.25">
      <c r="A10793" s="1"/>
    </row>
    <row r="10794" spans="1:1" ht="46.5" customHeight="1" x14ac:dyDescent="0.25">
      <c r="A10794" s="1"/>
    </row>
    <row r="10795" spans="1:1" ht="46.5" customHeight="1" x14ac:dyDescent="0.25">
      <c r="A10795" s="1"/>
    </row>
    <row r="10796" spans="1:1" ht="46.5" customHeight="1" x14ac:dyDescent="0.25">
      <c r="A10796" s="1"/>
    </row>
    <row r="10797" spans="1:1" ht="46.5" customHeight="1" x14ac:dyDescent="0.25">
      <c r="A10797" s="1"/>
    </row>
    <row r="10798" spans="1:1" ht="46.5" customHeight="1" x14ac:dyDescent="0.25">
      <c r="A10798" s="1"/>
    </row>
    <row r="10799" spans="1:1" ht="46.5" customHeight="1" x14ac:dyDescent="0.25">
      <c r="A10799" s="1"/>
    </row>
    <row r="10800" spans="1:1" ht="46.5" customHeight="1" x14ac:dyDescent="0.25">
      <c r="A10800" s="1"/>
    </row>
    <row r="10801" spans="1:1" ht="46.5" customHeight="1" x14ac:dyDescent="0.25">
      <c r="A10801" s="1"/>
    </row>
    <row r="10802" spans="1:1" ht="46.5" customHeight="1" x14ac:dyDescent="0.25">
      <c r="A10802" s="1"/>
    </row>
    <row r="10803" spans="1:1" ht="46.5" customHeight="1" x14ac:dyDescent="0.25">
      <c r="A10803" s="1"/>
    </row>
    <row r="10804" spans="1:1" ht="46.5" customHeight="1" x14ac:dyDescent="0.25">
      <c r="A10804" s="1"/>
    </row>
    <row r="10805" spans="1:1" ht="46.5" customHeight="1" x14ac:dyDescent="0.25">
      <c r="A10805" s="1"/>
    </row>
    <row r="10806" spans="1:1" ht="46.5" customHeight="1" x14ac:dyDescent="0.25">
      <c r="A10806" s="1"/>
    </row>
    <row r="10807" spans="1:1" ht="46.5" customHeight="1" x14ac:dyDescent="0.25">
      <c r="A10807" s="1"/>
    </row>
    <row r="10808" spans="1:1" ht="46.5" customHeight="1" x14ac:dyDescent="0.25">
      <c r="A10808" s="1"/>
    </row>
    <row r="10809" spans="1:1" ht="46.5" customHeight="1" x14ac:dyDescent="0.25">
      <c r="A10809" s="1"/>
    </row>
    <row r="10810" spans="1:1" ht="46.5" customHeight="1" x14ac:dyDescent="0.25">
      <c r="A10810" s="1"/>
    </row>
    <row r="10811" spans="1:1" ht="46.5" customHeight="1" x14ac:dyDescent="0.25">
      <c r="A10811" s="1"/>
    </row>
    <row r="10812" spans="1:1" ht="46.5" customHeight="1" x14ac:dyDescent="0.25">
      <c r="A10812" s="1"/>
    </row>
    <row r="10813" spans="1:1" ht="46.5" customHeight="1" x14ac:dyDescent="0.25">
      <c r="A10813" s="1"/>
    </row>
    <row r="10814" spans="1:1" ht="46.5" customHeight="1" x14ac:dyDescent="0.25">
      <c r="A10814" s="1"/>
    </row>
    <row r="10815" spans="1:1" ht="46.5" customHeight="1" x14ac:dyDescent="0.25">
      <c r="A10815" s="1"/>
    </row>
    <row r="10816" spans="1:1" ht="46.5" customHeight="1" x14ac:dyDescent="0.25">
      <c r="A10816" s="1"/>
    </row>
    <row r="10817" spans="1:1" ht="46.5" customHeight="1" x14ac:dyDescent="0.25">
      <c r="A10817" s="1"/>
    </row>
    <row r="10818" spans="1:1" ht="46.5" customHeight="1" x14ac:dyDescent="0.25">
      <c r="A10818" s="1"/>
    </row>
    <row r="10819" spans="1:1" ht="46.5" customHeight="1" x14ac:dyDescent="0.25">
      <c r="A10819" s="1"/>
    </row>
    <row r="10820" spans="1:1" ht="46.5" customHeight="1" x14ac:dyDescent="0.25">
      <c r="A10820" s="1"/>
    </row>
    <row r="10821" spans="1:1" ht="46.5" customHeight="1" x14ac:dyDescent="0.25">
      <c r="A10821" s="1"/>
    </row>
    <row r="10822" spans="1:1" ht="46.5" customHeight="1" x14ac:dyDescent="0.25">
      <c r="A10822" s="1"/>
    </row>
    <row r="10823" spans="1:1" ht="46.5" customHeight="1" x14ac:dyDescent="0.25">
      <c r="A10823" s="1"/>
    </row>
    <row r="10824" spans="1:1" ht="46.5" customHeight="1" x14ac:dyDescent="0.25">
      <c r="A10824" s="1"/>
    </row>
    <row r="10825" spans="1:1" ht="46.5" customHeight="1" x14ac:dyDescent="0.25">
      <c r="A10825" s="1"/>
    </row>
    <row r="10826" spans="1:1" ht="46.5" customHeight="1" x14ac:dyDescent="0.25">
      <c r="A10826" s="1"/>
    </row>
    <row r="10827" spans="1:1" ht="46.5" customHeight="1" x14ac:dyDescent="0.25">
      <c r="A10827" s="1"/>
    </row>
    <row r="10828" spans="1:1" ht="46.5" customHeight="1" x14ac:dyDescent="0.25">
      <c r="A10828" s="1"/>
    </row>
    <row r="10829" spans="1:1" ht="46.5" customHeight="1" x14ac:dyDescent="0.25">
      <c r="A10829" s="1"/>
    </row>
    <row r="10830" spans="1:1" ht="46.5" customHeight="1" x14ac:dyDescent="0.25">
      <c r="A10830" s="1"/>
    </row>
    <row r="10831" spans="1:1" ht="46.5" customHeight="1" x14ac:dyDescent="0.25">
      <c r="A10831" s="1"/>
    </row>
    <row r="10832" spans="1:1" ht="46.5" customHeight="1" x14ac:dyDescent="0.25">
      <c r="A10832" s="1"/>
    </row>
    <row r="10833" spans="1:1" ht="46.5" customHeight="1" x14ac:dyDescent="0.25">
      <c r="A10833" s="1"/>
    </row>
    <row r="10834" spans="1:1" ht="46.5" customHeight="1" x14ac:dyDescent="0.25">
      <c r="A10834" s="1"/>
    </row>
    <row r="10835" spans="1:1" ht="46.5" customHeight="1" x14ac:dyDescent="0.25">
      <c r="A10835" s="1"/>
    </row>
    <row r="10836" spans="1:1" ht="46.5" customHeight="1" x14ac:dyDescent="0.25">
      <c r="A10836" s="1"/>
    </row>
    <row r="10837" spans="1:1" ht="46.5" customHeight="1" x14ac:dyDescent="0.25">
      <c r="A10837" s="1"/>
    </row>
    <row r="10838" spans="1:1" ht="46.5" customHeight="1" x14ac:dyDescent="0.25">
      <c r="A10838" s="1"/>
    </row>
    <row r="10839" spans="1:1" ht="46.5" customHeight="1" x14ac:dyDescent="0.25">
      <c r="A10839" s="1"/>
    </row>
    <row r="10840" spans="1:1" ht="46.5" customHeight="1" x14ac:dyDescent="0.25">
      <c r="A10840" s="1"/>
    </row>
    <row r="10841" spans="1:1" ht="46.5" customHeight="1" x14ac:dyDescent="0.25">
      <c r="A10841" s="1"/>
    </row>
    <row r="10842" spans="1:1" ht="46.5" customHeight="1" x14ac:dyDescent="0.25">
      <c r="A10842" s="1"/>
    </row>
    <row r="10843" spans="1:1" ht="46.5" customHeight="1" x14ac:dyDescent="0.25">
      <c r="A10843" s="1"/>
    </row>
    <row r="10844" spans="1:1" ht="46.5" customHeight="1" x14ac:dyDescent="0.25">
      <c r="A10844" s="1"/>
    </row>
    <row r="10845" spans="1:1" ht="46.5" customHeight="1" x14ac:dyDescent="0.25">
      <c r="A10845" s="1"/>
    </row>
    <row r="10846" spans="1:1" ht="46.5" customHeight="1" x14ac:dyDescent="0.25">
      <c r="A10846" s="1"/>
    </row>
    <row r="10847" spans="1:1" ht="46.5" customHeight="1" x14ac:dyDescent="0.25">
      <c r="A10847" s="1"/>
    </row>
    <row r="10848" spans="1:1" ht="46.5" customHeight="1" x14ac:dyDescent="0.25">
      <c r="A10848" s="1"/>
    </row>
    <row r="10849" spans="1:1" ht="46.5" customHeight="1" x14ac:dyDescent="0.25">
      <c r="A10849" s="1"/>
    </row>
    <row r="10850" spans="1:1" ht="46.5" customHeight="1" x14ac:dyDescent="0.25">
      <c r="A10850" s="1"/>
    </row>
    <row r="10851" spans="1:1" ht="46.5" customHeight="1" x14ac:dyDescent="0.25">
      <c r="A10851" s="1"/>
    </row>
    <row r="10852" spans="1:1" ht="46.5" customHeight="1" x14ac:dyDescent="0.25">
      <c r="A10852" s="1"/>
    </row>
    <row r="10853" spans="1:1" ht="46.5" customHeight="1" x14ac:dyDescent="0.25">
      <c r="A10853" s="1"/>
    </row>
    <row r="10854" spans="1:1" ht="46.5" customHeight="1" x14ac:dyDescent="0.25">
      <c r="A10854" s="1"/>
    </row>
    <row r="10855" spans="1:1" ht="46.5" customHeight="1" x14ac:dyDescent="0.25">
      <c r="A10855" s="1"/>
    </row>
    <row r="10856" spans="1:1" ht="46.5" customHeight="1" x14ac:dyDescent="0.25">
      <c r="A10856" s="1"/>
    </row>
    <row r="10857" spans="1:1" ht="46.5" customHeight="1" x14ac:dyDescent="0.25">
      <c r="A10857" s="1"/>
    </row>
    <row r="10858" spans="1:1" ht="46.5" customHeight="1" x14ac:dyDescent="0.25">
      <c r="A10858" s="1"/>
    </row>
    <row r="10859" spans="1:1" ht="46.5" customHeight="1" x14ac:dyDescent="0.25">
      <c r="A10859" s="1"/>
    </row>
    <row r="10860" spans="1:1" ht="46.5" customHeight="1" x14ac:dyDescent="0.25">
      <c r="A10860" s="1"/>
    </row>
    <row r="10861" spans="1:1" ht="46.5" customHeight="1" x14ac:dyDescent="0.25">
      <c r="A10861" s="1"/>
    </row>
    <row r="10862" spans="1:1" ht="46.5" customHeight="1" x14ac:dyDescent="0.25">
      <c r="A10862" s="1"/>
    </row>
    <row r="10863" spans="1:1" ht="46.5" customHeight="1" x14ac:dyDescent="0.25">
      <c r="A10863" s="1"/>
    </row>
    <row r="10864" spans="1:1" ht="46.5" customHeight="1" x14ac:dyDescent="0.25">
      <c r="A10864" s="1"/>
    </row>
    <row r="10865" spans="1:1" ht="46.5" customHeight="1" x14ac:dyDescent="0.25">
      <c r="A10865" s="1"/>
    </row>
    <row r="10866" spans="1:1" ht="46.5" customHeight="1" x14ac:dyDescent="0.25">
      <c r="A10866" s="1"/>
    </row>
    <row r="10867" spans="1:1" ht="46.5" customHeight="1" x14ac:dyDescent="0.25">
      <c r="A10867" s="1"/>
    </row>
    <row r="10868" spans="1:1" ht="46.5" customHeight="1" x14ac:dyDescent="0.25">
      <c r="A10868" s="1"/>
    </row>
    <row r="10869" spans="1:1" ht="46.5" customHeight="1" x14ac:dyDescent="0.25">
      <c r="A10869" s="1"/>
    </row>
    <row r="10870" spans="1:1" ht="46.5" customHeight="1" x14ac:dyDescent="0.25">
      <c r="A10870" s="1"/>
    </row>
    <row r="10871" spans="1:1" ht="46.5" customHeight="1" x14ac:dyDescent="0.25">
      <c r="A10871" s="1"/>
    </row>
    <row r="10872" spans="1:1" ht="46.5" customHeight="1" x14ac:dyDescent="0.25">
      <c r="A10872" s="1"/>
    </row>
    <row r="10873" spans="1:1" ht="46.5" customHeight="1" x14ac:dyDescent="0.25">
      <c r="A10873" s="1"/>
    </row>
    <row r="10874" spans="1:1" ht="46.5" customHeight="1" x14ac:dyDescent="0.25">
      <c r="A10874" s="1"/>
    </row>
    <row r="10875" spans="1:1" ht="46.5" customHeight="1" x14ac:dyDescent="0.25">
      <c r="A10875" s="1"/>
    </row>
    <row r="10876" spans="1:1" ht="46.5" customHeight="1" x14ac:dyDescent="0.25">
      <c r="A10876" s="1"/>
    </row>
    <row r="10877" spans="1:1" ht="46.5" customHeight="1" x14ac:dyDescent="0.25">
      <c r="A10877" s="1"/>
    </row>
    <row r="10878" spans="1:1" ht="46.5" customHeight="1" x14ac:dyDescent="0.25">
      <c r="A10878" s="1"/>
    </row>
    <row r="10879" spans="1:1" ht="46.5" customHeight="1" x14ac:dyDescent="0.25">
      <c r="A10879" s="1"/>
    </row>
    <row r="10880" spans="1:1" ht="46.5" customHeight="1" x14ac:dyDescent="0.25">
      <c r="A10880" s="1"/>
    </row>
    <row r="10881" spans="1:1" ht="46.5" customHeight="1" x14ac:dyDescent="0.25">
      <c r="A10881" s="1"/>
    </row>
    <row r="10882" spans="1:1" ht="46.5" customHeight="1" x14ac:dyDescent="0.25">
      <c r="A10882" s="1"/>
    </row>
    <row r="10883" spans="1:1" ht="46.5" customHeight="1" x14ac:dyDescent="0.25">
      <c r="A10883" s="1"/>
    </row>
    <row r="10884" spans="1:1" ht="46.5" customHeight="1" x14ac:dyDescent="0.25">
      <c r="A10884" s="1"/>
    </row>
    <row r="10885" spans="1:1" ht="46.5" customHeight="1" x14ac:dyDescent="0.25">
      <c r="A10885" s="1"/>
    </row>
    <row r="10886" spans="1:1" ht="46.5" customHeight="1" x14ac:dyDescent="0.25">
      <c r="A10886" s="1"/>
    </row>
    <row r="10887" spans="1:1" ht="46.5" customHeight="1" x14ac:dyDescent="0.25">
      <c r="A10887" s="1"/>
    </row>
    <row r="10888" spans="1:1" ht="46.5" customHeight="1" x14ac:dyDescent="0.25">
      <c r="A10888" s="1"/>
    </row>
    <row r="10889" spans="1:1" ht="46.5" customHeight="1" x14ac:dyDescent="0.25">
      <c r="A10889" s="1"/>
    </row>
    <row r="10890" spans="1:1" ht="46.5" customHeight="1" x14ac:dyDescent="0.25">
      <c r="A10890" s="1"/>
    </row>
    <row r="10891" spans="1:1" ht="46.5" customHeight="1" x14ac:dyDescent="0.25">
      <c r="A10891" s="1"/>
    </row>
    <row r="10892" spans="1:1" ht="46.5" customHeight="1" x14ac:dyDescent="0.25">
      <c r="A10892" s="1"/>
    </row>
    <row r="10893" spans="1:1" ht="46.5" customHeight="1" x14ac:dyDescent="0.25">
      <c r="A10893" s="1"/>
    </row>
    <row r="10894" spans="1:1" ht="46.5" customHeight="1" x14ac:dyDescent="0.25">
      <c r="A10894" s="1"/>
    </row>
    <row r="10895" spans="1:1" ht="46.5" customHeight="1" x14ac:dyDescent="0.25">
      <c r="A10895" s="1"/>
    </row>
    <row r="10896" spans="1:1" ht="46.5" customHeight="1" x14ac:dyDescent="0.25">
      <c r="A10896" s="1"/>
    </row>
    <row r="10897" spans="1:1" ht="46.5" customHeight="1" x14ac:dyDescent="0.25">
      <c r="A10897" s="1"/>
    </row>
    <row r="10898" spans="1:1" ht="46.5" customHeight="1" x14ac:dyDescent="0.25">
      <c r="A10898" s="1"/>
    </row>
    <row r="10899" spans="1:1" ht="46.5" customHeight="1" x14ac:dyDescent="0.25">
      <c r="A10899" s="1"/>
    </row>
    <row r="10900" spans="1:1" ht="46.5" customHeight="1" x14ac:dyDescent="0.25">
      <c r="A10900" s="1"/>
    </row>
    <row r="10901" spans="1:1" ht="46.5" customHeight="1" x14ac:dyDescent="0.25">
      <c r="A10901" s="1"/>
    </row>
    <row r="10902" spans="1:1" ht="46.5" customHeight="1" x14ac:dyDescent="0.25">
      <c r="A10902" s="1"/>
    </row>
    <row r="10903" spans="1:1" ht="46.5" customHeight="1" x14ac:dyDescent="0.25">
      <c r="A10903" s="1"/>
    </row>
    <row r="10904" spans="1:1" ht="46.5" customHeight="1" x14ac:dyDescent="0.25">
      <c r="A10904" s="1"/>
    </row>
    <row r="10905" spans="1:1" ht="46.5" customHeight="1" x14ac:dyDescent="0.25">
      <c r="A10905" s="1"/>
    </row>
    <row r="10906" spans="1:1" ht="46.5" customHeight="1" x14ac:dyDescent="0.25">
      <c r="A10906" s="1"/>
    </row>
    <row r="10907" spans="1:1" ht="46.5" customHeight="1" x14ac:dyDescent="0.25">
      <c r="A10907" s="1"/>
    </row>
    <row r="10908" spans="1:1" ht="46.5" customHeight="1" x14ac:dyDescent="0.25">
      <c r="A10908" s="1"/>
    </row>
    <row r="10909" spans="1:1" ht="46.5" customHeight="1" x14ac:dyDescent="0.25">
      <c r="A10909" s="1"/>
    </row>
    <row r="10910" spans="1:1" ht="46.5" customHeight="1" x14ac:dyDescent="0.25">
      <c r="A10910" s="1"/>
    </row>
    <row r="10911" spans="1:1" ht="46.5" customHeight="1" x14ac:dyDescent="0.25">
      <c r="A10911" s="1"/>
    </row>
    <row r="10912" spans="1:1" ht="46.5" customHeight="1" x14ac:dyDescent="0.25">
      <c r="A10912" s="1"/>
    </row>
    <row r="10913" spans="1:1" ht="46.5" customHeight="1" x14ac:dyDescent="0.25">
      <c r="A10913" s="1"/>
    </row>
    <row r="10914" spans="1:1" ht="46.5" customHeight="1" x14ac:dyDescent="0.25">
      <c r="A10914" s="1"/>
    </row>
    <row r="10915" spans="1:1" ht="46.5" customHeight="1" x14ac:dyDescent="0.25">
      <c r="A10915" s="1"/>
    </row>
    <row r="10916" spans="1:1" ht="46.5" customHeight="1" x14ac:dyDescent="0.25">
      <c r="A10916" s="1"/>
    </row>
    <row r="10917" spans="1:1" ht="46.5" customHeight="1" x14ac:dyDescent="0.25">
      <c r="A10917" s="1"/>
    </row>
    <row r="10918" spans="1:1" ht="46.5" customHeight="1" x14ac:dyDescent="0.25">
      <c r="A10918" s="1"/>
    </row>
    <row r="10919" spans="1:1" ht="46.5" customHeight="1" x14ac:dyDescent="0.25">
      <c r="A10919" s="1"/>
    </row>
    <row r="10920" spans="1:1" ht="46.5" customHeight="1" x14ac:dyDescent="0.25">
      <c r="A10920" s="1"/>
    </row>
    <row r="10921" spans="1:1" ht="46.5" customHeight="1" x14ac:dyDescent="0.25">
      <c r="A10921" s="1"/>
    </row>
    <row r="10922" spans="1:1" ht="46.5" customHeight="1" x14ac:dyDescent="0.25">
      <c r="A10922" s="1"/>
    </row>
    <row r="10923" spans="1:1" ht="46.5" customHeight="1" x14ac:dyDescent="0.25">
      <c r="A10923" s="1"/>
    </row>
    <row r="10924" spans="1:1" ht="46.5" customHeight="1" x14ac:dyDescent="0.25">
      <c r="A10924" s="1"/>
    </row>
    <row r="10925" spans="1:1" ht="46.5" customHeight="1" x14ac:dyDescent="0.25">
      <c r="A10925" s="1"/>
    </row>
    <row r="10926" spans="1:1" ht="46.5" customHeight="1" x14ac:dyDescent="0.25">
      <c r="A10926" s="1"/>
    </row>
    <row r="10927" spans="1:1" ht="46.5" customHeight="1" x14ac:dyDescent="0.25">
      <c r="A10927" s="1"/>
    </row>
    <row r="10928" spans="1:1" ht="46.5" customHeight="1" x14ac:dyDescent="0.25">
      <c r="A10928" s="1"/>
    </row>
    <row r="10929" spans="1:1" ht="46.5" customHeight="1" x14ac:dyDescent="0.25">
      <c r="A10929" s="1"/>
    </row>
    <row r="10930" spans="1:1" ht="46.5" customHeight="1" x14ac:dyDescent="0.25">
      <c r="A10930" s="1"/>
    </row>
    <row r="10931" spans="1:1" ht="46.5" customHeight="1" x14ac:dyDescent="0.25">
      <c r="A10931" s="1"/>
    </row>
    <row r="10932" spans="1:1" ht="46.5" customHeight="1" x14ac:dyDescent="0.25">
      <c r="A10932" s="1"/>
    </row>
    <row r="10933" spans="1:1" ht="46.5" customHeight="1" x14ac:dyDescent="0.25">
      <c r="A10933" s="1"/>
    </row>
    <row r="10934" spans="1:1" ht="46.5" customHeight="1" x14ac:dyDescent="0.25">
      <c r="A10934" s="1"/>
    </row>
    <row r="10935" spans="1:1" ht="46.5" customHeight="1" x14ac:dyDescent="0.25">
      <c r="A10935" s="1"/>
    </row>
    <row r="10936" spans="1:1" ht="46.5" customHeight="1" x14ac:dyDescent="0.25">
      <c r="A10936" s="1"/>
    </row>
    <row r="10937" spans="1:1" ht="46.5" customHeight="1" x14ac:dyDescent="0.25">
      <c r="A10937" s="1"/>
    </row>
    <row r="10938" spans="1:1" ht="46.5" customHeight="1" x14ac:dyDescent="0.25">
      <c r="A10938" s="1"/>
    </row>
    <row r="10939" spans="1:1" ht="46.5" customHeight="1" x14ac:dyDescent="0.25">
      <c r="A10939" s="1"/>
    </row>
    <row r="10940" spans="1:1" ht="46.5" customHeight="1" x14ac:dyDescent="0.25">
      <c r="A10940" s="1"/>
    </row>
    <row r="10941" spans="1:1" ht="46.5" customHeight="1" x14ac:dyDescent="0.25">
      <c r="A10941" s="1"/>
    </row>
    <row r="10942" spans="1:1" ht="46.5" customHeight="1" x14ac:dyDescent="0.25">
      <c r="A10942" s="1"/>
    </row>
    <row r="10943" spans="1:1" ht="46.5" customHeight="1" x14ac:dyDescent="0.25">
      <c r="A10943" s="1"/>
    </row>
    <row r="10944" spans="1:1" ht="46.5" customHeight="1" x14ac:dyDescent="0.25">
      <c r="A10944" s="1"/>
    </row>
    <row r="10945" spans="1:1" ht="46.5" customHeight="1" x14ac:dyDescent="0.25">
      <c r="A10945" s="1"/>
    </row>
    <row r="10946" spans="1:1" ht="46.5" customHeight="1" x14ac:dyDescent="0.25">
      <c r="A10946" s="1"/>
    </row>
    <row r="10947" spans="1:1" ht="46.5" customHeight="1" x14ac:dyDescent="0.25">
      <c r="A10947" s="1"/>
    </row>
    <row r="10948" spans="1:1" ht="46.5" customHeight="1" x14ac:dyDescent="0.25">
      <c r="A10948" s="1"/>
    </row>
    <row r="10949" spans="1:1" ht="46.5" customHeight="1" x14ac:dyDescent="0.25">
      <c r="A10949" s="1"/>
    </row>
    <row r="10950" spans="1:1" ht="46.5" customHeight="1" x14ac:dyDescent="0.25">
      <c r="A10950" s="1"/>
    </row>
    <row r="10951" spans="1:1" ht="46.5" customHeight="1" x14ac:dyDescent="0.25">
      <c r="A10951" s="1"/>
    </row>
    <row r="10952" spans="1:1" ht="46.5" customHeight="1" x14ac:dyDescent="0.25">
      <c r="A10952" s="1"/>
    </row>
    <row r="10953" spans="1:1" ht="46.5" customHeight="1" x14ac:dyDescent="0.25">
      <c r="A10953" s="1"/>
    </row>
    <row r="10954" spans="1:1" ht="46.5" customHeight="1" x14ac:dyDescent="0.25">
      <c r="A10954" s="1"/>
    </row>
    <row r="10955" spans="1:1" ht="46.5" customHeight="1" x14ac:dyDescent="0.25">
      <c r="A10955" s="1"/>
    </row>
    <row r="10956" spans="1:1" ht="46.5" customHeight="1" x14ac:dyDescent="0.25">
      <c r="A10956" s="1"/>
    </row>
    <row r="10957" spans="1:1" ht="46.5" customHeight="1" x14ac:dyDescent="0.25">
      <c r="A10957" s="1"/>
    </row>
    <row r="10958" spans="1:1" ht="46.5" customHeight="1" x14ac:dyDescent="0.25">
      <c r="A10958" s="1"/>
    </row>
    <row r="10959" spans="1:1" ht="46.5" customHeight="1" x14ac:dyDescent="0.25">
      <c r="A10959" s="1"/>
    </row>
    <row r="10960" spans="1:1" ht="46.5" customHeight="1" x14ac:dyDescent="0.25">
      <c r="A10960" s="1"/>
    </row>
    <row r="10961" spans="1:1" ht="46.5" customHeight="1" x14ac:dyDescent="0.25">
      <c r="A10961" s="1"/>
    </row>
    <row r="10962" spans="1:1" ht="46.5" customHeight="1" x14ac:dyDescent="0.25">
      <c r="A10962" s="1"/>
    </row>
    <row r="10963" spans="1:1" ht="46.5" customHeight="1" x14ac:dyDescent="0.25">
      <c r="A10963" s="1"/>
    </row>
    <row r="10964" spans="1:1" ht="46.5" customHeight="1" x14ac:dyDescent="0.25">
      <c r="A10964" s="1"/>
    </row>
    <row r="10965" spans="1:1" ht="46.5" customHeight="1" x14ac:dyDescent="0.25">
      <c r="A10965" s="1"/>
    </row>
    <row r="10966" spans="1:1" ht="46.5" customHeight="1" x14ac:dyDescent="0.25">
      <c r="A10966" s="1"/>
    </row>
    <row r="10967" spans="1:1" ht="46.5" customHeight="1" x14ac:dyDescent="0.25">
      <c r="A10967" s="1"/>
    </row>
    <row r="10968" spans="1:1" ht="46.5" customHeight="1" x14ac:dyDescent="0.25">
      <c r="A10968" s="1"/>
    </row>
    <row r="10969" spans="1:1" ht="46.5" customHeight="1" x14ac:dyDescent="0.25">
      <c r="A10969" s="1"/>
    </row>
    <row r="10970" spans="1:1" ht="46.5" customHeight="1" x14ac:dyDescent="0.25">
      <c r="A10970" s="1"/>
    </row>
    <row r="10971" spans="1:1" ht="46.5" customHeight="1" x14ac:dyDescent="0.25">
      <c r="A10971" s="1"/>
    </row>
    <row r="10972" spans="1:1" ht="46.5" customHeight="1" x14ac:dyDescent="0.25">
      <c r="A10972" s="1"/>
    </row>
    <row r="10973" spans="1:1" ht="46.5" customHeight="1" x14ac:dyDescent="0.25">
      <c r="A10973" s="1"/>
    </row>
    <row r="10974" spans="1:1" ht="46.5" customHeight="1" x14ac:dyDescent="0.25">
      <c r="A10974" s="1"/>
    </row>
    <row r="10975" spans="1:1" ht="46.5" customHeight="1" x14ac:dyDescent="0.25">
      <c r="A10975" s="1"/>
    </row>
    <row r="10976" spans="1:1" ht="46.5" customHeight="1" x14ac:dyDescent="0.25">
      <c r="A10976" s="1"/>
    </row>
    <row r="10977" spans="1:1" ht="46.5" customHeight="1" x14ac:dyDescent="0.25">
      <c r="A10977" s="1"/>
    </row>
    <row r="10978" spans="1:1" ht="46.5" customHeight="1" x14ac:dyDescent="0.25">
      <c r="A10978" s="1"/>
    </row>
    <row r="10979" spans="1:1" ht="46.5" customHeight="1" x14ac:dyDescent="0.25">
      <c r="A10979" s="1"/>
    </row>
    <row r="10980" spans="1:1" ht="46.5" customHeight="1" x14ac:dyDescent="0.25">
      <c r="A10980" s="1"/>
    </row>
    <row r="10981" spans="1:1" ht="46.5" customHeight="1" x14ac:dyDescent="0.25">
      <c r="A10981" s="1"/>
    </row>
    <row r="10982" spans="1:1" ht="46.5" customHeight="1" x14ac:dyDescent="0.25">
      <c r="A10982" s="1"/>
    </row>
    <row r="10983" spans="1:1" ht="46.5" customHeight="1" x14ac:dyDescent="0.25">
      <c r="A10983" s="1"/>
    </row>
    <row r="10984" spans="1:1" ht="46.5" customHeight="1" x14ac:dyDescent="0.25">
      <c r="A10984" s="1"/>
    </row>
    <row r="10985" spans="1:1" ht="46.5" customHeight="1" x14ac:dyDescent="0.25">
      <c r="A10985" s="1"/>
    </row>
    <row r="10986" spans="1:1" ht="46.5" customHeight="1" x14ac:dyDescent="0.25">
      <c r="A10986" s="1"/>
    </row>
    <row r="10987" spans="1:1" ht="46.5" customHeight="1" x14ac:dyDescent="0.25">
      <c r="A10987" s="1"/>
    </row>
    <row r="10988" spans="1:1" ht="46.5" customHeight="1" x14ac:dyDescent="0.25">
      <c r="A10988" s="1"/>
    </row>
    <row r="10989" spans="1:1" ht="46.5" customHeight="1" x14ac:dyDescent="0.25">
      <c r="A10989" s="1"/>
    </row>
    <row r="10990" spans="1:1" ht="46.5" customHeight="1" x14ac:dyDescent="0.25">
      <c r="A10990" s="1"/>
    </row>
    <row r="10991" spans="1:1" ht="46.5" customHeight="1" x14ac:dyDescent="0.25">
      <c r="A10991" s="1"/>
    </row>
    <row r="10992" spans="1:1" ht="46.5" customHeight="1" x14ac:dyDescent="0.25">
      <c r="A10992" s="1"/>
    </row>
    <row r="10993" spans="1:1" ht="46.5" customHeight="1" x14ac:dyDescent="0.25">
      <c r="A10993" s="1"/>
    </row>
    <row r="10994" spans="1:1" ht="46.5" customHeight="1" x14ac:dyDescent="0.25">
      <c r="A10994" s="1"/>
    </row>
    <row r="10995" spans="1:1" ht="46.5" customHeight="1" x14ac:dyDescent="0.25">
      <c r="A10995" s="1"/>
    </row>
    <row r="10996" spans="1:1" ht="46.5" customHeight="1" x14ac:dyDescent="0.25">
      <c r="A10996" s="1"/>
    </row>
    <row r="10997" spans="1:1" ht="46.5" customHeight="1" x14ac:dyDescent="0.25">
      <c r="A10997" s="1"/>
    </row>
    <row r="10998" spans="1:1" ht="46.5" customHeight="1" x14ac:dyDescent="0.25">
      <c r="A10998" s="1"/>
    </row>
    <row r="10999" spans="1:1" ht="46.5" customHeight="1" x14ac:dyDescent="0.25">
      <c r="A10999" s="1"/>
    </row>
    <row r="11000" spans="1:1" ht="46.5" customHeight="1" x14ac:dyDescent="0.25">
      <c r="A11000" s="1"/>
    </row>
    <row r="11001" spans="1:1" ht="46.5" customHeight="1" x14ac:dyDescent="0.25">
      <c r="A11001" s="1"/>
    </row>
    <row r="11002" spans="1:1" ht="46.5" customHeight="1" x14ac:dyDescent="0.25">
      <c r="A11002" s="1"/>
    </row>
    <row r="11003" spans="1:1" ht="46.5" customHeight="1" x14ac:dyDescent="0.25">
      <c r="A11003" s="1"/>
    </row>
    <row r="11004" spans="1:1" ht="46.5" customHeight="1" x14ac:dyDescent="0.25">
      <c r="A11004" s="1"/>
    </row>
    <row r="11005" spans="1:1" ht="46.5" customHeight="1" x14ac:dyDescent="0.25">
      <c r="A11005" s="1"/>
    </row>
    <row r="11006" spans="1:1" ht="46.5" customHeight="1" x14ac:dyDescent="0.25">
      <c r="A11006" s="1"/>
    </row>
    <row r="11007" spans="1:1" ht="46.5" customHeight="1" x14ac:dyDescent="0.25">
      <c r="A11007" s="1"/>
    </row>
    <row r="11008" spans="1:1" ht="46.5" customHeight="1" x14ac:dyDescent="0.25">
      <c r="A11008" s="1"/>
    </row>
    <row r="11009" spans="1:1" ht="46.5" customHeight="1" x14ac:dyDescent="0.25">
      <c r="A11009" s="1"/>
    </row>
    <row r="11010" spans="1:1" ht="46.5" customHeight="1" x14ac:dyDescent="0.25">
      <c r="A11010" s="1"/>
    </row>
    <row r="11011" spans="1:1" ht="46.5" customHeight="1" x14ac:dyDescent="0.25">
      <c r="A11011" s="1"/>
    </row>
    <row r="11012" spans="1:1" ht="46.5" customHeight="1" x14ac:dyDescent="0.25">
      <c r="A11012" s="1"/>
    </row>
    <row r="11013" spans="1:1" ht="46.5" customHeight="1" x14ac:dyDescent="0.25">
      <c r="A11013" s="1"/>
    </row>
    <row r="11014" spans="1:1" ht="46.5" customHeight="1" x14ac:dyDescent="0.25">
      <c r="A11014" s="1"/>
    </row>
    <row r="11015" spans="1:1" ht="46.5" customHeight="1" x14ac:dyDescent="0.25">
      <c r="A11015" s="1"/>
    </row>
    <row r="11016" spans="1:1" ht="46.5" customHeight="1" x14ac:dyDescent="0.25">
      <c r="A11016" s="1"/>
    </row>
    <row r="11017" spans="1:1" ht="46.5" customHeight="1" x14ac:dyDescent="0.25">
      <c r="A11017" s="1"/>
    </row>
    <row r="11018" spans="1:1" ht="46.5" customHeight="1" x14ac:dyDescent="0.25">
      <c r="A11018" s="1"/>
    </row>
    <row r="11019" spans="1:1" ht="46.5" customHeight="1" x14ac:dyDescent="0.25">
      <c r="A11019" s="1"/>
    </row>
    <row r="11020" spans="1:1" ht="46.5" customHeight="1" x14ac:dyDescent="0.25">
      <c r="A11020" s="1"/>
    </row>
    <row r="11021" spans="1:1" ht="46.5" customHeight="1" x14ac:dyDescent="0.25">
      <c r="A11021" s="1"/>
    </row>
    <row r="11022" spans="1:1" ht="46.5" customHeight="1" x14ac:dyDescent="0.25">
      <c r="A11022" s="1"/>
    </row>
    <row r="11023" spans="1:1" ht="46.5" customHeight="1" x14ac:dyDescent="0.25">
      <c r="A11023" s="1"/>
    </row>
    <row r="11024" spans="1:1" ht="46.5" customHeight="1" x14ac:dyDescent="0.25">
      <c r="A11024" s="1"/>
    </row>
    <row r="11025" spans="1:1" ht="46.5" customHeight="1" x14ac:dyDescent="0.25">
      <c r="A11025" s="1"/>
    </row>
    <row r="11026" spans="1:1" ht="46.5" customHeight="1" x14ac:dyDescent="0.25">
      <c r="A11026" s="1"/>
    </row>
    <row r="11027" spans="1:1" ht="46.5" customHeight="1" x14ac:dyDescent="0.25">
      <c r="A11027" s="1"/>
    </row>
    <row r="11028" spans="1:1" ht="46.5" customHeight="1" x14ac:dyDescent="0.25">
      <c r="A11028" s="1"/>
    </row>
    <row r="11029" spans="1:1" ht="46.5" customHeight="1" x14ac:dyDescent="0.25">
      <c r="A11029" s="1"/>
    </row>
    <row r="11030" spans="1:1" ht="46.5" customHeight="1" x14ac:dyDescent="0.25">
      <c r="A11030" s="1"/>
    </row>
    <row r="11031" spans="1:1" ht="46.5" customHeight="1" x14ac:dyDescent="0.25">
      <c r="A11031" s="1"/>
    </row>
    <row r="11032" spans="1:1" ht="46.5" customHeight="1" x14ac:dyDescent="0.25">
      <c r="A11032" s="1"/>
    </row>
    <row r="11033" spans="1:1" ht="46.5" customHeight="1" x14ac:dyDescent="0.25">
      <c r="A11033" s="1"/>
    </row>
    <row r="11034" spans="1:1" ht="46.5" customHeight="1" x14ac:dyDescent="0.25">
      <c r="A11034" s="1"/>
    </row>
    <row r="11035" spans="1:1" ht="46.5" customHeight="1" x14ac:dyDescent="0.25">
      <c r="A11035" s="1"/>
    </row>
    <row r="11036" spans="1:1" ht="46.5" customHeight="1" x14ac:dyDescent="0.25">
      <c r="A11036" s="1"/>
    </row>
    <row r="11037" spans="1:1" ht="46.5" customHeight="1" x14ac:dyDescent="0.25">
      <c r="A11037" s="1"/>
    </row>
    <row r="11038" spans="1:1" ht="46.5" customHeight="1" x14ac:dyDescent="0.25">
      <c r="A11038" s="1"/>
    </row>
    <row r="11039" spans="1:1" ht="46.5" customHeight="1" x14ac:dyDescent="0.25">
      <c r="A11039" s="1"/>
    </row>
    <row r="11040" spans="1:1" ht="46.5" customHeight="1" x14ac:dyDescent="0.25">
      <c r="A11040" s="1"/>
    </row>
    <row r="11041" spans="1:1" ht="46.5" customHeight="1" x14ac:dyDescent="0.25">
      <c r="A11041" s="1"/>
    </row>
    <row r="11042" spans="1:1" ht="46.5" customHeight="1" x14ac:dyDescent="0.25">
      <c r="A11042" s="1"/>
    </row>
    <row r="11043" spans="1:1" ht="46.5" customHeight="1" x14ac:dyDescent="0.25">
      <c r="A11043" s="1"/>
    </row>
    <row r="11044" spans="1:1" ht="46.5" customHeight="1" x14ac:dyDescent="0.25">
      <c r="A11044" s="1"/>
    </row>
    <row r="11045" spans="1:1" ht="46.5" customHeight="1" x14ac:dyDescent="0.25">
      <c r="A11045" s="1"/>
    </row>
    <row r="11046" spans="1:1" ht="46.5" customHeight="1" x14ac:dyDescent="0.25">
      <c r="A11046" s="1"/>
    </row>
    <row r="11047" spans="1:1" ht="46.5" customHeight="1" x14ac:dyDescent="0.25">
      <c r="A11047" s="1"/>
    </row>
    <row r="11048" spans="1:1" ht="46.5" customHeight="1" x14ac:dyDescent="0.25">
      <c r="A11048" s="1"/>
    </row>
    <row r="11049" spans="1:1" ht="46.5" customHeight="1" x14ac:dyDescent="0.25">
      <c r="A11049" s="1"/>
    </row>
    <row r="11050" spans="1:1" ht="46.5" customHeight="1" x14ac:dyDescent="0.25">
      <c r="A11050" s="1"/>
    </row>
    <row r="11051" spans="1:1" ht="46.5" customHeight="1" x14ac:dyDescent="0.25">
      <c r="A11051" s="1"/>
    </row>
    <row r="11052" spans="1:1" ht="46.5" customHeight="1" x14ac:dyDescent="0.25">
      <c r="A11052" s="1"/>
    </row>
    <row r="11053" spans="1:1" ht="46.5" customHeight="1" x14ac:dyDescent="0.25">
      <c r="A11053" s="1"/>
    </row>
    <row r="11054" spans="1:1" ht="46.5" customHeight="1" x14ac:dyDescent="0.25">
      <c r="A11054" s="1"/>
    </row>
    <row r="11055" spans="1:1" ht="46.5" customHeight="1" x14ac:dyDescent="0.25">
      <c r="A11055" s="1"/>
    </row>
    <row r="11056" spans="1:1" ht="46.5" customHeight="1" x14ac:dyDescent="0.25">
      <c r="A11056" s="1"/>
    </row>
    <row r="11057" spans="1:1" ht="46.5" customHeight="1" x14ac:dyDescent="0.25">
      <c r="A11057" s="1"/>
    </row>
    <row r="11058" spans="1:1" ht="46.5" customHeight="1" x14ac:dyDescent="0.25">
      <c r="A11058" s="1"/>
    </row>
    <row r="11059" spans="1:1" ht="46.5" customHeight="1" x14ac:dyDescent="0.25">
      <c r="A11059" s="1"/>
    </row>
    <row r="11060" spans="1:1" ht="46.5" customHeight="1" x14ac:dyDescent="0.25">
      <c r="A11060" s="1"/>
    </row>
    <row r="11061" spans="1:1" ht="46.5" customHeight="1" x14ac:dyDescent="0.25">
      <c r="A11061" s="1"/>
    </row>
    <row r="11062" spans="1:1" ht="46.5" customHeight="1" x14ac:dyDescent="0.25">
      <c r="A11062" s="1"/>
    </row>
    <row r="11063" spans="1:1" ht="46.5" customHeight="1" x14ac:dyDescent="0.25">
      <c r="A11063" s="1"/>
    </row>
    <row r="11064" spans="1:1" ht="46.5" customHeight="1" x14ac:dyDescent="0.25">
      <c r="A11064" s="1"/>
    </row>
    <row r="11065" spans="1:1" ht="46.5" customHeight="1" x14ac:dyDescent="0.25">
      <c r="A11065" s="1"/>
    </row>
    <row r="11066" spans="1:1" ht="46.5" customHeight="1" x14ac:dyDescent="0.25">
      <c r="A11066" s="1"/>
    </row>
    <row r="11067" spans="1:1" ht="46.5" customHeight="1" x14ac:dyDescent="0.25">
      <c r="A11067" s="1"/>
    </row>
    <row r="11068" spans="1:1" ht="46.5" customHeight="1" x14ac:dyDescent="0.25">
      <c r="A11068" s="1"/>
    </row>
    <row r="11069" spans="1:1" ht="46.5" customHeight="1" x14ac:dyDescent="0.25">
      <c r="A11069" s="1"/>
    </row>
    <row r="11070" spans="1:1" ht="46.5" customHeight="1" x14ac:dyDescent="0.25">
      <c r="A11070" s="1"/>
    </row>
    <row r="11071" spans="1:1" ht="46.5" customHeight="1" x14ac:dyDescent="0.25">
      <c r="A11071" s="1"/>
    </row>
    <row r="11072" spans="1:1" ht="46.5" customHeight="1" x14ac:dyDescent="0.25">
      <c r="A11072" s="1"/>
    </row>
    <row r="11073" spans="1:1" ht="46.5" customHeight="1" x14ac:dyDescent="0.25">
      <c r="A11073" s="1"/>
    </row>
    <row r="11074" spans="1:1" ht="46.5" customHeight="1" x14ac:dyDescent="0.25">
      <c r="A11074" s="1"/>
    </row>
    <row r="11075" spans="1:1" ht="46.5" customHeight="1" x14ac:dyDescent="0.25">
      <c r="A11075" s="1"/>
    </row>
    <row r="11076" spans="1:1" ht="46.5" customHeight="1" x14ac:dyDescent="0.25">
      <c r="A11076" s="1"/>
    </row>
    <row r="11077" spans="1:1" ht="46.5" customHeight="1" x14ac:dyDescent="0.25">
      <c r="A11077" s="1"/>
    </row>
    <row r="11078" spans="1:1" ht="46.5" customHeight="1" x14ac:dyDescent="0.25">
      <c r="A11078" s="1"/>
    </row>
    <row r="11079" spans="1:1" ht="46.5" customHeight="1" x14ac:dyDescent="0.25">
      <c r="A11079" s="1"/>
    </row>
    <row r="11080" spans="1:1" ht="46.5" customHeight="1" x14ac:dyDescent="0.25">
      <c r="A11080" s="1"/>
    </row>
    <row r="11081" spans="1:1" ht="46.5" customHeight="1" x14ac:dyDescent="0.25">
      <c r="A11081" s="1"/>
    </row>
    <row r="11082" spans="1:1" ht="46.5" customHeight="1" x14ac:dyDescent="0.25">
      <c r="A11082" s="1"/>
    </row>
    <row r="11083" spans="1:1" ht="46.5" customHeight="1" x14ac:dyDescent="0.25">
      <c r="A11083" s="1"/>
    </row>
    <row r="11084" spans="1:1" ht="46.5" customHeight="1" x14ac:dyDescent="0.25">
      <c r="A11084" s="1"/>
    </row>
    <row r="11085" spans="1:1" ht="46.5" customHeight="1" x14ac:dyDescent="0.25">
      <c r="A11085" s="1"/>
    </row>
    <row r="11086" spans="1:1" ht="46.5" customHeight="1" x14ac:dyDescent="0.25">
      <c r="A11086" s="1"/>
    </row>
    <row r="11087" spans="1:1" ht="46.5" customHeight="1" x14ac:dyDescent="0.25">
      <c r="A11087" s="1"/>
    </row>
    <row r="11088" spans="1:1" ht="46.5" customHeight="1" x14ac:dyDescent="0.25">
      <c r="A11088" s="1"/>
    </row>
    <row r="11089" spans="1:1" ht="46.5" customHeight="1" x14ac:dyDescent="0.25">
      <c r="A11089" s="1"/>
    </row>
    <row r="11090" spans="1:1" ht="46.5" customHeight="1" x14ac:dyDescent="0.25">
      <c r="A11090" s="1"/>
    </row>
    <row r="11091" spans="1:1" ht="46.5" customHeight="1" x14ac:dyDescent="0.25">
      <c r="A11091" s="1"/>
    </row>
    <row r="11092" spans="1:1" ht="46.5" customHeight="1" x14ac:dyDescent="0.25">
      <c r="A11092" s="1"/>
    </row>
    <row r="11093" spans="1:1" ht="46.5" customHeight="1" x14ac:dyDescent="0.25">
      <c r="A11093" s="1"/>
    </row>
    <row r="11094" spans="1:1" ht="46.5" customHeight="1" x14ac:dyDescent="0.25">
      <c r="A11094" s="1"/>
    </row>
    <row r="11095" spans="1:1" ht="46.5" customHeight="1" x14ac:dyDescent="0.25">
      <c r="A11095" s="1"/>
    </row>
    <row r="11096" spans="1:1" ht="46.5" customHeight="1" x14ac:dyDescent="0.25">
      <c r="A11096" s="1"/>
    </row>
    <row r="11097" spans="1:1" ht="46.5" customHeight="1" x14ac:dyDescent="0.25">
      <c r="A11097" s="1"/>
    </row>
    <row r="11098" spans="1:1" ht="46.5" customHeight="1" x14ac:dyDescent="0.25">
      <c r="A11098" s="1"/>
    </row>
    <row r="11099" spans="1:1" ht="46.5" customHeight="1" x14ac:dyDescent="0.25">
      <c r="A11099" s="1"/>
    </row>
    <row r="11100" spans="1:1" ht="46.5" customHeight="1" x14ac:dyDescent="0.25">
      <c r="A11100" s="1"/>
    </row>
    <row r="11101" spans="1:1" ht="46.5" customHeight="1" x14ac:dyDescent="0.25">
      <c r="A11101" s="1"/>
    </row>
    <row r="11102" spans="1:1" ht="46.5" customHeight="1" x14ac:dyDescent="0.25">
      <c r="A11102" s="1"/>
    </row>
    <row r="11103" spans="1:1" ht="46.5" customHeight="1" x14ac:dyDescent="0.25">
      <c r="A11103" s="1"/>
    </row>
    <row r="11104" spans="1:1" ht="46.5" customHeight="1" x14ac:dyDescent="0.25">
      <c r="A11104" s="1"/>
    </row>
    <row r="11105" spans="1:1" ht="46.5" customHeight="1" x14ac:dyDescent="0.25">
      <c r="A11105" s="1"/>
    </row>
    <row r="11106" spans="1:1" ht="46.5" customHeight="1" x14ac:dyDescent="0.25">
      <c r="A11106" s="1"/>
    </row>
    <row r="11107" spans="1:1" ht="46.5" customHeight="1" x14ac:dyDescent="0.25">
      <c r="A11107" s="1"/>
    </row>
    <row r="11108" spans="1:1" ht="46.5" customHeight="1" x14ac:dyDescent="0.25">
      <c r="A11108" s="1"/>
    </row>
    <row r="11109" spans="1:1" ht="46.5" customHeight="1" x14ac:dyDescent="0.25">
      <c r="A11109" s="1"/>
    </row>
    <row r="11110" spans="1:1" ht="46.5" customHeight="1" x14ac:dyDescent="0.25">
      <c r="A11110" s="1"/>
    </row>
    <row r="11111" spans="1:1" ht="46.5" customHeight="1" x14ac:dyDescent="0.25">
      <c r="A11111" s="1"/>
    </row>
    <row r="11112" spans="1:1" ht="46.5" customHeight="1" x14ac:dyDescent="0.25">
      <c r="A11112" s="1"/>
    </row>
    <row r="11113" spans="1:1" ht="46.5" customHeight="1" x14ac:dyDescent="0.25">
      <c r="A11113" s="1"/>
    </row>
    <row r="11114" spans="1:1" ht="46.5" customHeight="1" x14ac:dyDescent="0.25">
      <c r="A11114" s="1"/>
    </row>
    <row r="11115" spans="1:1" ht="46.5" customHeight="1" x14ac:dyDescent="0.25">
      <c r="A11115" s="1"/>
    </row>
    <row r="11116" spans="1:1" ht="46.5" customHeight="1" x14ac:dyDescent="0.25">
      <c r="A11116" s="1"/>
    </row>
    <row r="11117" spans="1:1" ht="46.5" customHeight="1" x14ac:dyDescent="0.25">
      <c r="A11117" s="1"/>
    </row>
    <row r="11118" spans="1:1" ht="46.5" customHeight="1" x14ac:dyDescent="0.25">
      <c r="A11118" s="1"/>
    </row>
    <row r="11119" spans="1:1" ht="46.5" customHeight="1" x14ac:dyDescent="0.25">
      <c r="A11119" s="1"/>
    </row>
    <row r="11120" spans="1:1" ht="46.5" customHeight="1" x14ac:dyDescent="0.25">
      <c r="A11120" s="1"/>
    </row>
    <row r="11121" spans="1:1" ht="46.5" customHeight="1" x14ac:dyDescent="0.25">
      <c r="A11121" s="1"/>
    </row>
    <row r="11122" spans="1:1" ht="46.5" customHeight="1" x14ac:dyDescent="0.25">
      <c r="A11122" s="1"/>
    </row>
    <row r="11123" spans="1:1" ht="46.5" customHeight="1" x14ac:dyDescent="0.25">
      <c r="A11123" s="1"/>
    </row>
    <row r="11124" spans="1:1" ht="46.5" customHeight="1" x14ac:dyDescent="0.25">
      <c r="A11124" s="1"/>
    </row>
    <row r="11125" spans="1:1" ht="46.5" customHeight="1" x14ac:dyDescent="0.25">
      <c r="A11125" s="1"/>
    </row>
    <row r="11126" spans="1:1" ht="46.5" customHeight="1" x14ac:dyDescent="0.25">
      <c r="A11126" s="1"/>
    </row>
    <row r="11127" spans="1:1" ht="46.5" customHeight="1" x14ac:dyDescent="0.25">
      <c r="A11127" s="1"/>
    </row>
    <row r="11128" spans="1:1" ht="46.5" customHeight="1" x14ac:dyDescent="0.25">
      <c r="A11128" s="1"/>
    </row>
    <row r="11129" spans="1:1" ht="46.5" customHeight="1" x14ac:dyDescent="0.25">
      <c r="A11129" s="1"/>
    </row>
    <row r="11130" spans="1:1" ht="46.5" customHeight="1" x14ac:dyDescent="0.25">
      <c r="A11130" s="1"/>
    </row>
    <row r="11131" spans="1:1" ht="46.5" customHeight="1" x14ac:dyDescent="0.25">
      <c r="A11131" s="1"/>
    </row>
    <row r="11132" spans="1:1" ht="46.5" customHeight="1" x14ac:dyDescent="0.25">
      <c r="A11132" s="1"/>
    </row>
    <row r="11133" spans="1:1" ht="46.5" customHeight="1" x14ac:dyDescent="0.25">
      <c r="A11133" s="1"/>
    </row>
    <row r="11134" spans="1:1" ht="46.5" customHeight="1" x14ac:dyDescent="0.25">
      <c r="A11134" s="1"/>
    </row>
    <row r="11135" spans="1:1" ht="46.5" customHeight="1" x14ac:dyDescent="0.25">
      <c r="A11135" s="1"/>
    </row>
    <row r="11136" spans="1:1" ht="46.5" customHeight="1" x14ac:dyDescent="0.25">
      <c r="A11136" s="1"/>
    </row>
    <row r="11137" spans="1:1" ht="46.5" customHeight="1" x14ac:dyDescent="0.25">
      <c r="A11137" s="1"/>
    </row>
    <row r="11138" spans="1:1" ht="46.5" customHeight="1" x14ac:dyDescent="0.25">
      <c r="A11138" s="1"/>
    </row>
    <row r="11139" spans="1:1" ht="46.5" customHeight="1" x14ac:dyDescent="0.25">
      <c r="A11139" s="1"/>
    </row>
    <row r="11140" spans="1:1" ht="46.5" customHeight="1" x14ac:dyDescent="0.25">
      <c r="A11140" s="1"/>
    </row>
    <row r="11141" spans="1:1" ht="46.5" customHeight="1" x14ac:dyDescent="0.25">
      <c r="A11141" s="1"/>
    </row>
    <row r="11142" spans="1:1" ht="46.5" customHeight="1" x14ac:dyDescent="0.25">
      <c r="A11142" s="1"/>
    </row>
    <row r="11143" spans="1:1" ht="46.5" customHeight="1" x14ac:dyDescent="0.25">
      <c r="A11143" s="1"/>
    </row>
    <row r="11144" spans="1:1" ht="46.5" customHeight="1" x14ac:dyDescent="0.25">
      <c r="A11144" s="1"/>
    </row>
    <row r="11145" spans="1:1" ht="46.5" customHeight="1" x14ac:dyDescent="0.25">
      <c r="A11145" s="1"/>
    </row>
    <row r="11146" spans="1:1" ht="46.5" customHeight="1" x14ac:dyDescent="0.25">
      <c r="A11146" s="1"/>
    </row>
    <row r="11147" spans="1:1" ht="46.5" customHeight="1" x14ac:dyDescent="0.25">
      <c r="A11147" s="1"/>
    </row>
    <row r="11148" spans="1:1" ht="46.5" customHeight="1" x14ac:dyDescent="0.25">
      <c r="A11148" s="1"/>
    </row>
    <row r="11149" spans="1:1" ht="46.5" customHeight="1" x14ac:dyDescent="0.25">
      <c r="A11149" s="1"/>
    </row>
    <row r="11150" spans="1:1" ht="46.5" customHeight="1" x14ac:dyDescent="0.25">
      <c r="A11150" s="1"/>
    </row>
    <row r="11151" spans="1:1" ht="46.5" customHeight="1" x14ac:dyDescent="0.25">
      <c r="A11151" s="1"/>
    </row>
    <row r="11152" spans="1:1" ht="46.5" customHeight="1" x14ac:dyDescent="0.25">
      <c r="A11152" s="1"/>
    </row>
    <row r="11153" spans="1:1" ht="46.5" customHeight="1" x14ac:dyDescent="0.25">
      <c r="A11153" s="1"/>
    </row>
    <row r="11154" spans="1:1" ht="46.5" customHeight="1" x14ac:dyDescent="0.25">
      <c r="A11154" s="1"/>
    </row>
    <row r="11155" spans="1:1" ht="46.5" customHeight="1" x14ac:dyDescent="0.25">
      <c r="A11155" s="1"/>
    </row>
    <row r="11156" spans="1:1" ht="46.5" customHeight="1" x14ac:dyDescent="0.25">
      <c r="A11156" s="1"/>
    </row>
    <row r="11157" spans="1:1" ht="46.5" customHeight="1" x14ac:dyDescent="0.25">
      <c r="A11157" s="1"/>
    </row>
    <row r="11158" spans="1:1" ht="46.5" customHeight="1" x14ac:dyDescent="0.25">
      <c r="A11158" s="1"/>
    </row>
    <row r="11159" spans="1:1" ht="46.5" customHeight="1" x14ac:dyDescent="0.25">
      <c r="A11159" s="1"/>
    </row>
    <row r="11160" spans="1:1" ht="46.5" customHeight="1" x14ac:dyDescent="0.25">
      <c r="A11160" s="1"/>
    </row>
    <row r="11161" spans="1:1" ht="46.5" customHeight="1" x14ac:dyDescent="0.25">
      <c r="A11161" s="1"/>
    </row>
    <row r="11162" spans="1:1" ht="46.5" customHeight="1" x14ac:dyDescent="0.25">
      <c r="A11162" s="1"/>
    </row>
    <row r="11163" spans="1:1" ht="46.5" customHeight="1" x14ac:dyDescent="0.25">
      <c r="A11163" s="1"/>
    </row>
    <row r="11164" spans="1:1" ht="46.5" customHeight="1" x14ac:dyDescent="0.25">
      <c r="A11164" s="1"/>
    </row>
    <row r="11165" spans="1:1" ht="46.5" customHeight="1" x14ac:dyDescent="0.25">
      <c r="A11165" s="1"/>
    </row>
    <row r="11166" spans="1:1" ht="46.5" customHeight="1" x14ac:dyDescent="0.25">
      <c r="A11166" s="1"/>
    </row>
    <row r="11167" spans="1:1" ht="46.5" customHeight="1" x14ac:dyDescent="0.25">
      <c r="A11167" s="1"/>
    </row>
    <row r="11168" spans="1:1" ht="46.5" customHeight="1" x14ac:dyDescent="0.25">
      <c r="A11168" s="1"/>
    </row>
    <row r="11169" spans="1:1" ht="46.5" customHeight="1" x14ac:dyDescent="0.25">
      <c r="A11169" s="1"/>
    </row>
    <row r="11170" spans="1:1" ht="46.5" customHeight="1" x14ac:dyDescent="0.25">
      <c r="A11170" s="1"/>
    </row>
    <row r="11171" spans="1:1" ht="46.5" customHeight="1" x14ac:dyDescent="0.25">
      <c r="A11171" s="1"/>
    </row>
    <row r="11172" spans="1:1" ht="46.5" customHeight="1" x14ac:dyDescent="0.25">
      <c r="A11172" s="1"/>
    </row>
    <row r="11173" spans="1:1" ht="46.5" customHeight="1" x14ac:dyDescent="0.25">
      <c r="A11173" s="1"/>
    </row>
    <row r="11174" spans="1:1" ht="46.5" customHeight="1" x14ac:dyDescent="0.25">
      <c r="A11174" s="1"/>
    </row>
    <row r="11175" spans="1:1" ht="46.5" customHeight="1" x14ac:dyDescent="0.25">
      <c r="A11175" s="1"/>
    </row>
    <row r="11176" spans="1:1" ht="46.5" customHeight="1" x14ac:dyDescent="0.25">
      <c r="A11176" s="1"/>
    </row>
    <row r="11177" spans="1:1" ht="46.5" customHeight="1" x14ac:dyDescent="0.25">
      <c r="A11177" s="1"/>
    </row>
    <row r="11178" spans="1:1" ht="46.5" customHeight="1" x14ac:dyDescent="0.25">
      <c r="A11178" s="1"/>
    </row>
    <row r="11179" spans="1:1" ht="46.5" customHeight="1" x14ac:dyDescent="0.25">
      <c r="A11179" s="1"/>
    </row>
    <row r="11180" spans="1:1" ht="46.5" customHeight="1" x14ac:dyDescent="0.25">
      <c r="A11180" s="1"/>
    </row>
    <row r="11181" spans="1:1" ht="46.5" customHeight="1" x14ac:dyDescent="0.25">
      <c r="A11181" s="1"/>
    </row>
    <row r="11182" spans="1:1" ht="46.5" customHeight="1" x14ac:dyDescent="0.25">
      <c r="A11182" s="1"/>
    </row>
    <row r="11183" spans="1:1" ht="46.5" customHeight="1" x14ac:dyDescent="0.25">
      <c r="A11183" s="1"/>
    </row>
    <row r="11184" spans="1:1" ht="46.5" customHeight="1" x14ac:dyDescent="0.25">
      <c r="A11184" s="1"/>
    </row>
    <row r="11185" spans="1:1" ht="46.5" customHeight="1" x14ac:dyDescent="0.25">
      <c r="A11185" s="1"/>
    </row>
    <row r="11186" spans="1:1" ht="46.5" customHeight="1" x14ac:dyDescent="0.25">
      <c r="A11186" s="1"/>
    </row>
    <row r="11187" spans="1:1" ht="46.5" customHeight="1" x14ac:dyDescent="0.25">
      <c r="A11187" s="1"/>
    </row>
    <row r="11188" spans="1:1" ht="46.5" customHeight="1" x14ac:dyDescent="0.25">
      <c r="A11188" s="1"/>
    </row>
    <row r="11189" spans="1:1" ht="46.5" customHeight="1" x14ac:dyDescent="0.25">
      <c r="A11189" s="1"/>
    </row>
    <row r="11190" spans="1:1" ht="46.5" customHeight="1" x14ac:dyDescent="0.25">
      <c r="A11190" s="1"/>
    </row>
    <row r="11191" spans="1:1" ht="46.5" customHeight="1" x14ac:dyDescent="0.25">
      <c r="A11191" s="1"/>
    </row>
    <row r="11192" spans="1:1" ht="46.5" customHeight="1" x14ac:dyDescent="0.25">
      <c r="A11192" s="1"/>
    </row>
    <row r="11193" spans="1:1" ht="46.5" customHeight="1" x14ac:dyDescent="0.25">
      <c r="A11193" s="1"/>
    </row>
    <row r="11194" spans="1:1" ht="46.5" customHeight="1" x14ac:dyDescent="0.25">
      <c r="A11194" s="1"/>
    </row>
    <row r="11195" spans="1:1" ht="46.5" customHeight="1" x14ac:dyDescent="0.25">
      <c r="A11195" s="1"/>
    </row>
    <row r="11196" spans="1:1" ht="46.5" customHeight="1" x14ac:dyDescent="0.25">
      <c r="A11196" s="1"/>
    </row>
    <row r="11197" spans="1:1" ht="46.5" customHeight="1" x14ac:dyDescent="0.25">
      <c r="A11197" s="1"/>
    </row>
    <row r="11198" spans="1:1" ht="46.5" customHeight="1" x14ac:dyDescent="0.25">
      <c r="A11198" s="1"/>
    </row>
    <row r="11199" spans="1:1" ht="46.5" customHeight="1" x14ac:dyDescent="0.25">
      <c r="A11199" s="1"/>
    </row>
    <row r="11200" spans="1:1" ht="46.5" customHeight="1" x14ac:dyDescent="0.25">
      <c r="A11200" s="1"/>
    </row>
    <row r="11201" spans="1:1" ht="46.5" customHeight="1" x14ac:dyDescent="0.25">
      <c r="A11201" s="1"/>
    </row>
    <row r="11202" spans="1:1" ht="46.5" customHeight="1" x14ac:dyDescent="0.25">
      <c r="A11202" s="1"/>
    </row>
    <row r="11203" spans="1:1" ht="46.5" customHeight="1" x14ac:dyDescent="0.25">
      <c r="A11203" s="1"/>
    </row>
    <row r="11204" spans="1:1" ht="46.5" customHeight="1" x14ac:dyDescent="0.25">
      <c r="A11204" s="1"/>
    </row>
    <row r="11205" spans="1:1" ht="46.5" customHeight="1" x14ac:dyDescent="0.25">
      <c r="A11205" s="1"/>
    </row>
    <row r="11206" spans="1:1" ht="46.5" customHeight="1" x14ac:dyDescent="0.25">
      <c r="A11206" s="1"/>
    </row>
    <row r="11207" spans="1:1" ht="46.5" customHeight="1" x14ac:dyDescent="0.25">
      <c r="A11207" s="1"/>
    </row>
    <row r="11208" spans="1:1" ht="46.5" customHeight="1" x14ac:dyDescent="0.25">
      <c r="A11208" s="1"/>
    </row>
    <row r="11209" spans="1:1" ht="46.5" customHeight="1" x14ac:dyDescent="0.25">
      <c r="A11209" s="1"/>
    </row>
    <row r="11210" spans="1:1" ht="46.5" customHeight="1" x14ac:dyDescent="0.25">
      <c r="A11210" s="1"/>
    </row>
    <row r="11211" spans="1:1" ht="46.5" customHeight="1" x14ac:dyDescent="0.25">
      <c r="A11211" s="1"/>
    </row>
    <row r="11212" spans="1:1" ht="46.5" customHeight="1" x14ac:dyDescent="0.25">
      <c r="A11212" s="1"/>
    </row>
    <row r="11213" spans="1:1" ht="46.5" customHeight="1" x14ac:dyDescent="0.25">
      <c r="A11213" s="1"/>
    </row>
    <row r="11214" spans="1:1" ht="46.5" customHeight="1" x14ac:dyDescent="0.25">
      <c r="A11214" s="1"/>
    </row>
    <row r="11215" spans="1:1" ht="46.5" customHeight="1" x14ac:dyDescent="0.25">
      <c r="A11215" s="1"/>
    </row>
    <row r="11216" spans="1:1" ht="46.5" customHeight="1" x14ac:dyDescent="0.25">
      <c r="A11216" s="1"/>
    </row>
    <row r="11217" spans="1:1" ht="46.5" customHeight="1" x14ac:dyDescent="0.25">
      <c r="A11217" s="1"/>
    </row>
    <row r="11218" spans="1:1" ht="46.5" customHeight="1" x14ac:dyDescent="0.25">
      <c r="A11218" s="1"/>
    </row>
    <row r="11219" spans="1:1" ht="46.5" customHeight="1" x14ac:dyDescent="0.25">
      <c r="A11219" s="1"/>
    </row>
    <row r="11220" spans="1:1" ht="46.5" customHeight="1" x14ac:dyDescent="0.25">
      <c r="A11220" s="1"/>
    </row>
    <row r="11221" spans="1:1" ht="46.5" customHeight="1" x14ac:dyDescent="0.25">
      <c r="A11221" s="1"/>
    </row>
    <row r="11222" spans="1:1" ht="46.5" customHeight="1" x14ac:dyDescent="0.25">
      <c r="A11222" s="1"/>
    </row>
    <row r="11223" spans="1:1" ht="46.5" customHeight="1" x14ac:dyDescent="0.25">
      <c r="A11223" s="1"/>
    </row>
    <row r="11224" spans="1:1" ht="46.5" customHeight="1" x14ac:dyDescent="0.25">
      <c r="A11224" s="1"/>
    </row>
    <row r="11225" spans="1:1" ht="46.5" customHeight="1" x14ac:dyDescent="0.25">
      <c r="A11225" s="1"/>
    </row>
    <row r="11226" spans="1:1" ht="46.5" customHeight="1" x14ac:dyDescent="0.25">
      <c r="A11226" s="1"/>
    </row>
    <row r="11227" spans="1:1" ht="46.5" customHeight="1" x14ac:dyDescent="0.25">
      <c r="A11227" s="1"/>
    </row>
    <row r="11228" spans="1:1" ht="46.5" customHeight="1" x14ac:dyDescent="0.25">
      <c r="A11228" s="1"/>
    </row>
    <row r="11229" spans="1:1" ht="46.5" customHeight="1" x14ac:dyDescent="0.25">
      <c r="A11229" s="1"/>
    </row>
    <row r="11230" spans="1:1" ht="46.5" customHeight="1" x14ac:dyDescent="0.25">
      <c r="A11230" s="1"/>
    </row>
    <row r="11231" spans="1:1" ht="46.5" customHeight="1" x14ac:dyDescent="0.25">
      <c r="A11231" s="1"/>
    </row>
    <row r="11232" spans="1:1" ht="46.5" customHeight="1" x14ac:dyDescent="0.25">
      <c r="A11232" s="1"/>
    </row>
    <row r="11233" spans="1:1" ht="46.5" customHeight="1" x14ac:dyDescent="0.25">
      <c r="A11233" s="1"/>
    </row>
    <row r="11234" spans="1:1" ht="46.5" customHeight="1" x14ac:dyDescent="0.25">
      <c r="A11234" s="1"/>
    </row>
    <row r="11235" spans="1:1" ht="46.5" customHeight="1" x14ac:dyDescent="0.25">
      <c r="A11235" s="1"/>
    </row>
    <row r="11236" spans="1:1" ht="46.5" customHeight="1" x14ac:dyDescent="0.25">
      <c r="A11236" s="1"/>
    </row>
    <row r="11237" spans="1:1" ht="46.5" customHeight="1" x14ac:dyDescent="0.25">
      <c r="A11237" s="1"/>
    </row>
    <row r="11238" spans="1:1" ht="46.5" customHeight="1" x14ac:dyDescent="0.25">
      <c r="A11238" s="1"/>
    </row>
    <row r="11239" spans="1:1" ht="46.5" customHeight="1" x14ac:dyDescent="0.25">
      <c r="A11239" s="1"/>
    </row>
    <row r="11240" spans="1:1" ht="46.5" customHeight="1" x14ac:dyDescent="0.25">
      <c r="A11240" s="1"/>
    </row>
    <row r="11241" spans="1:1" ht="46.5" customHeight="1" x14ac:dyDescent="0.25">
      <c r="A11241" s="1"/>
    </row>
    <row r="11242" spans="1:1" ht="46.5" customHeight="1" x14ac:dyDescent="0.25">
      <c r="A11242" s="1"/>
    </row>
    <row r="11243" spans="1:1" ht="46.5" customHeight="1" x14ac:dyDescent="0.25">
      <c r="A11243" s="1"/>
    </row>
    <row r="11244" spans="1:1" ht="46.5" customHeight="1" x14ac:dyDescent="0.25">
      <c r="A11244" s="1"/>
    </row>
    <row r="11245" spans="1:1" ht="46.5" customHeight="1" x14ac:dyDescent="0.25">
      <c r="A11245" s="1"/>
    </row>
    <row r="11246" spans="1:1" ht="46.5" customHeight="1" x14ac:dyDescent="0.25">
      <c r="A11246" s="1"/>
    </row>
    <row r="11247" spans="1:1" ht="46.5" customHeight="1" x14ac:dyDescent="0.25">
      <c r="A11247" s="1"/>
    </row>
    <row r="11248" spans="1:1" ht="46.5" customHeight="1" x14ac:dyDescent="0.25">
      <c r="A11248" s="1"/>
    </row>
    <row r="11249" spans="1:1" ht="46.5" customHeight="1" x14ac:dyDescent="0.25">
      <c r="A11249" s="1"/>
    </row>
    <row r="11250" spans="1:1" ht="46.5" customHeight="1" x14ac:dyDescent="0.25">
      <c r="A11250" s="1"/>
    </row>
    <row r="11251" spans="1:1" ht="46.5" customHeight="1" x14ac:dyDescent="0.25">
      <c r="A11251" s="1"/>
    </row>
    <row r="11252" spans="1:1" ht="46.5" customHeight="1" x14ac:dyDescent="0.25">
      <c r="A11252" s="1"/>
    </row>
    <row r="11253" spans="1:1" ht="46.5" customHeight="1" x14ac:dyDescent="0.25">
      <c r="A11253" s="1"/>
    </row>
    <row r="11254" spans="1:1" ht="46.5" customHeight="1" x14ac:dyDescent="0.25">
      <c r="A11254" s="1"/>
    </row>
    <row r="11255" spans="1:1" ht="46.5" customHeight="1" x14ac:dyDescent="0.25">
      <c r="A11255" s="1"/>
    </row>
    <row r="11256" spans="1:1" ht="46.5" customHeight="1" x14ac:dyDescent="0.25">
      <c r="A11256" s="1"/>
    </row>
    <row r="11257" spans="1:1" ht="46.5" customHeight="1" x14ac:dyDescent="0.25">
      <c r="A11257" s="1"/>
    </row>
    <row r="11258" spans="1:1" ht="46.5" customHeight="1" x14ac:dyDescent="0.25">
      <c r="A11258" s="1"/>
    </row>
    <row r="11259" spans="1:1" ht="46.5" customHeight="1" x14ac:dyDescent="0.25">
      <c r="A11259" s="1"/>
    </row>
    <row r="11260" spans="1:1" ht="46.5" customHeight="1" x14ac:dyDescent="0.25">
      <c r="A11260" s="1"/>
    </row>
    <row r="11261" spans="1:1" ht="46.5" customHeight="1" x14ac:dyDescent="0.25">
      <c r="A11261" s="1"/>
    </row>
    <row r="11262" spans="1:1" ht="46.5" customHeight="1" x14ac:dyDescent="0.25">
      <c r="A11262" s="1"/>
    </row>
    <row r="11263" spans="1:1" ht="46.5" customHeight="1" x14ac:dyDescent="0.25">
      <c r="A11263" s="1"/>
    </row>
    <row r="11264" spans="1:1" ht="46.5" customHeight="1" x14ac:dyDescent="0.25">
      <c r="A11264" s="1"/>
    </row>
    <row r="11265" spans="1:1" ht="46.5" customHeight="1" x14ac:dyDescent="0.25">
      <c r="A11265" s="1"/>
    </row>
    <row r="11266" spans="1:1" ht="46.5" customHeight="1" x14ac:dyDescent="0.25">
      <c r="A11266" s="1"/>
    </row>
    <row r="11267" spans="1:1" ht="46.5" customHeight="1" x14ac:dyDescent="0.25">
      <c r="A11267" s="1"/>
    </row>
    <row r="11268" spans="1:1" ht="46.5" customHeight="1" x14ac:dyDescent="0.25">
      <c r="A11268" s="1"/>
    </row>
    <row r="11269" spans="1:1" ht="46.5" customHeight="1" x14ac:dyDescent="0.25">
      <c r="A11269" s="1"/>
    </row>
    <row r="11270" spans="1:1" ht="46.5" customHeight="1" x14ac:dyDescent="0.25">
      <c r="A11270" s="1"/>
    </row>
    <row r="11271" spans="1:1" ht="46.5" customHeight="1" x14ac:dyDescent="0.25">
      <c r="A11271" s="1"/>
    </row>
    <row r="11272" spans="1:1" ht="46.5" customHeight="1" x14ac:dyDescent="0.25">
      <c r="A11272" s="1"/>
    </row>
    <row r="11273" spans="1:1" ht="46.5" customHeight="1" x14ac:dyDescent="0.25">
      <c r="A11273" s="1"/>
    </row>
    <row r="11274" spans="1:1" ht="46.5" customHeight="1" x14ac:dyDescent="0.25">
      <c r="A11274" s="1"/>
    </row>
    <row r="11275" spans="1:1" ht="46.5" customHeight="1" x14ac:dyDescent="0.25">
      <c r="A11275" s="1"/>
    </row>
    <row r="11276" spans="1:1" ht="46.5" customHeight="1" x14ac:dyDescent="0.25">
      <c r="A11276" s="1"/>
    </row>
    <row r="11277" spans="1:1" ht="46.5" customHeight="1" x14ac:dyDescent="0.25">
      <c r="A11277" s="1"/>
    </row>
    <row r="11278" spans="1:1" ht="46.5" customHeight="1" x14ac:dyDescent="0.25">
      <c r="A11278" s="1"/>
    </row>
    <row r="11279" spans="1:1" ht="46.5" customHeight="1" x14ac:dyDescent="0.25">
      <c r="A11279" s="1"/>
    </row>
    <row r="11280" spans="1:1" ht="46.5" customHeight="1" x14ac:dyDescent="0.25">
      <c r="A11280" s="1"/>
    </row>
    <row r="11281" spans="1:1" ht="46.5" customHeight="1" x14ac:dyDescent="0.25">
      <c r="A11281" s="1"/>
    </row>
    <row r="11282" spans="1:1" ht="46.5" customHeight="1" x14ac:dyDescent="0.25">
      <c r="A11282" s="1"/>
    </row>
    <row r="11283" spans="1:1" ht="46.5" customHeight="1" x14ac:dyDescent="0.25">
      <c r="A11283" s="1"/>
    </row>
    <row r="11284" spans="1:1" ht="46.5" customHeight="1" x14ac:dyDescent="0.25">
      <c r="A11284" s="1"/>
    </row>
    <row r="11285" spans="1:1" ht="46.5" customHeight="1" x14ac:dyDescent="0.25">
      <c r="A11285" s="1"/>
    </row>
    <row r="11286" spans="1:1" ht="46.5" customHeight="1" x14ac:dyDescent="0.25">
      <c r="A11286" s="1"/>
    </row>
    <row r="11287" spans="1:1" ht="46.5" customHeight="1" x14ac:dyDescent="0.25">
      <c r="A11287" s="1"/>
    </row>
    <row r="11288" spans="1:1" ht="46.5" customHeight="1" x14ac:dyDescent="0.25">
      <c r="A11288" s="1"/>
    </row>
    <row r="11289" spans="1:1" ht="46.5" customHeight="1" x14ac:dyDescent="0.25">
      <c r="A11289" s="1"/>
    </row>
    <row r="11290" spans="1:1" ht="46.5" customHeight="1" x14ac:dyDescent="0.25">
      <c r="A11290" s="1"/>
    </row>
    <row r="11291" spans="1:1" ht="46.5" customHeight="1" x14ac:dyDescent="0.25">
      <c r="A11291" s="1"/>
    </row>
    <row r="11292" spans="1:1" ht="46.5" customHeight="1" x14ac:dyDescent="0.25">
      <c r="A11292" s="1"/>
    </row>
    <row r="11293" spans="1:1" ht="46.5" customHeight="1" x14ac:dyDescent="0.25">
      <c r="A11293" s="1"/>
    </row>
    <row r="11294" spans="1:1" ht="46.5" customHeight="1" x14ac:dyDescent="0.25">
      <c r="A11294" s="1"/>
    </row>
    <row r="11295" spans="1:1" ht="46.5" customHeight="1" x14ac:dyDescent="0.25">
      <c r="A11295" s="1"/>
    </row>
    <row r="11296" spans="1:1" ht="46.5" customHeight="1" x14ac:dyDescent="0.25">
      <c r="A11296" s="1"/>
    </row>
    <row r="11297" spans="1:1" ht="46.5" customHeight="1" x14ac:dyDescent="0.25">
      <c r="A11297" s="1"/>
    </row>
    <row r="11298" spans="1:1" ht="46.5" customHeight="1" x14ac:dyDescent="0.25">
      <c r="A11298" s="1"/>
    </row>
    <row r="11299" spans="1:1" ht="46.5" customHeight="1" x14ac:dyDescent="0.25">
      <c r="A11299" s="1"/>
    </row>
    <row r="11300" spans="1:1" ht="46.5" customHeight="1" x14ac:dyDescent="0.25">
      <c r="A11300" s="1"/>
    </row>
    <row r="11301" spans="1:1" ht="46.5" customHeight="1" x14ac:dyDescent="0.25">
      <c r="A11301" s="1"/>
    </row>
    <row r="11302" spans="1:1" ht="46.5" customHeight="1" x14ac:dyDescent="0.25">
      <c r="A11302" s="1"/>
    </row>
    <row r="11303" spans="1:1" ht="46.5" customHeight="1" x14ac:dyDescent="0.25">
      <c r="A11303" s="1"/>
    </row>
    <row r="11304" spans="1:1" ht="46.5" customHeight="1" x14ac:dyDescent="0.25">
      <c r="A11304" s="1"/>
    </row>
    <row r="11305" spans="1:1" ht="46.5" customHeight="1" x14ac:dyDescent="0.25">
      <c r="A11305" s="1"/>
    </row>
    <row r="11306" spans="1:1" ht="46.5" customHeight="1" x14ac:dyDescent="0.25">
      <c r="A11306" s="1"/>
    </row>
    <row r="11307" spans="1:1" ht="46.5" customHeight="1" x14ac:dyDescent="0.25">
      <c r="A11307" s="1"/>
    </row>
    <row r="11308" spans="1:1" ht="46.5" customHeight="1" x14ac:dyDescent="0.25">
      <c r="A11308" s="1"/>
    </row>
    <row r="11309" spans="1:1" ht="46.5" customHeight="1" x14ac:dyDescent="0.25">
      <c r="A11309" s="1"/>
    </row>
    <row r="11310" spans="1:1" ht="46.5" customHeight="1" x14ac:dyDescent="0.25">
      <c r="A11310" s="1"/>
    </row>
    <row r="11311" spans="1:1" ht="46.5" customHeight="1" x14ac:dyDescent="0.25">
      <c r="A11311" s="1"/>
    </row>
    <row r="11312" spans="1:1" ht="46.5" customHeight="1" x14ac:dyDescent="0.25">
      <c r="A11312" s="1"/>
    </row>
    <row r="11313" spans="1:1" ht="46.5" customHeight="1" x14ac:dyDescent="0.25">
      <c r="A11313" s="1"/>
    </row>
    <row r="11314" spans="1:1" ht="46.5" customHeight="1" x14ac:dyDescent="0.25">
      <c r="A11314" s="1"/>
    </row>
    <row r="11315" spans="1:1" ht="46.5" customHeight="1" x14ac:dyDescent="0.25">
      <c r="A11315" s="1"/>
    </row>
    <row r="11316" spans="1:1" ht="46.5" customHeight="1" x14ac:dyDescent="0.25">
      <c r="A11316" s="1"/>
    </row>
    <row r="11317" spans="1:1" ht="46.5" customHeight="1" x14ac:dyDescent="0.25">
      <c r="A11317" s="1"/>
    </row>
    <row r="11318" spans="1:1" ht="46.5" customHeight="1" x14ac:dyDescent="0.25">
      <c r="A11318" s="1"/>
    </row>
    <row r="11319" spans="1:1" ht="46.5" customHeight="1" x14ac:dyDescent="0.25">
      <c r="A11319" s="1"/>
    </row>
    <row r="11320" spans="1:1" ht="46.5" customHeight="1" x14ac:dyDescent="0.25">
      <c r="A11320" s="1"/>
    </row>
    <row r="11321" spans="1:1" ht="46.5" customHeight="1" x14ac:dyDescent="0.25">
      <c r="A11321" s="1"/>
    </row>
    <row r="11322" spans="1:1" ht="46.5" customHeight="1" x14ac:dyDescent="0.25">
      <c r="A11322" s="1"/>
    </row>
    <row r="11323" spans="1:1" ht="46.5" customHeight="1" x14ac:dyDescent="0.25">
      <c r="A11323" s="1"/>
    </row>
    <row r="11324" spans="1:1" ht="46.5" customHeight="1" x14ac:dyDescent="0.25">
      <c r="A11324" s="1"/>
    </row>
    <row r="11325" spans="1:1" ht="46.5" customHeight="1" x14ac:dyDescent="0.25">
      <c r="A11325" s="1"/>
    </row>
    <row r="11326" spans="1:1" ht="46.5" customHeight="1" x14ac:dyDescent="0.25">
      <c r="A11326" s="1"/>
    </row>
    <row r="11327" spans="1:1" ht="46.5" customHeight="1" x14ac:dyDescent="0.25">
      <c r="A11327" s="1"/>
    </row>
    <row r="11328" spans="1:1" ht="46.5" customHeight="1" x14ac:dyDescent="0.25">
      <c r="A11328" s="1"/>
    </row>
    <row r="11329" spans="1:1" ht="46.5" customHeight="1" x14ac:dyDescent="0.25">
      <c r="A11329" s="1"/>
    </row>
    <row r="11330" spans="1:1" ht="46.5" customHeight="1" x14ac:dyDescent="0.25">
      <c r="A11330" s="1"/>
    </row>
    <row r="11331" spans="1:1" ht="46.5" customHeight="1" x14ac:dyDescent="0.25">
      <c r="A11331" s="1"/>
    </row>
    <row r="11332" spans="1:1" ht="46.5" customHeight="1" x14ac:dyDescent="0.25">
      <c r="A11332" s="1"/>
    </row>
    <row r="11333" spans="1:1" ht="46.5" customHeight="1" x14ac:dyDescent="0.25">
      <c r="A11333" s="1"/>
    </row>
    <row r="11334" spans="1:1" ht="46.5" customHeight="1" x14ac:dyDescent="0.25">
      <c r="A11334" s="1"/>
    </row>
    <row r="11335" spans="1:1" ht="46.5" customHeight="1" x14ac:dyDescent="0.25">
      <c r="A11335" s="1"/>
    </row>
    <row r="11336" spans="1:1" ht="46.5" customHeight="1" x14ac:dyDescent="0.25">
      <c r="A11336" s="1"/>
    </row>
    <row r="11337" spans="1:1" ht="46.5" customHeight="1" x14ac:dyDescent="0.25">
      <c r="A11337" s="1"/>
    </row>
    <row r="11338" spans="1:1" ht="46.5" customHeight="1" x14ac:dyDescent="0.25">
      <c r="A11338" s="1"/>
    </row>
    <row r="11339" spans="1:1" ht="46.5" customHeight="1" x14ac:dyDescent="0.25">
      <c r="A11339" s="1"/>
    </row>
    <row r="11340" spans="1:1" ht="46.5" customHeight="1" x14ac:dyDescent="0.25">
      <c r="A11340" s="1"/>
    </row>
    <row r="11341" spans="1:1" ht="46.5" customHeight="1" x14ac:dyDescent="0.25">
      <c r="A11341" s="1"/>
    </row>
    <row r="11342" spans="1:1" ht="46.5" customHeight="1" x14ac:dyDescent="0.25">
      <c r="A11342" s="1"/>
    </row>
    <row r="11343" spans="1:1" ht="46.5" customHeight="1" x14ac:dyDescent="0.25">
      <c r="A11343" s="1"/>
    </row>
    <row r="11344" spans="1:1" ht="46.5" customHeight="1" x14ac:dyDescent="0.25">
      <c r="A11344" s="1"/>
    </row>
    <row r="11345" spans="1:1" ht="46.5" customHeight="1" x14ac:dyDescent="0.25">
      <c r="A11345" s="1"/>
    </row>
    <row r="11346" spans="1:1" ht="46.5" customHeight="1" x14ac:dyDescent="0.25">
      <c r="A11346" s="1"/>
    </row>
    <row r="11347" spans="1:1" ht="46.5" customHeight="1" x14ac:dyDescent="0.25">
      <c r="A11347" s="1"/>
    </row>
    <row r="11348" spans="1:1" ht="46.5" customHeight="1" x14ac:dyDescent="0.25">
      <c r="A11348" s="1"/>
    </row>
    <row r="11349" spans="1:1" ht="46.5" customHeight="1" x14ac:dyDescent="0.25">
      <c r="A11349" s="1"/>
    </row>
    <row r="11350" spans="1:1" ht="46.5" customHeight="1" x14ac:dyDescent="0.25">
      <c r="A11350" s="1"/>
    </row>
    <row r="11351" spans="1:1" ht="46.5" customHeight="1" x14ac:dyDescent="0.25">
      <c r="A11351" s="1"/>
    </row>
    <row r="11352" spans="1:1" ht="46.5" customHeight="1" x14ac:dyDescent="0.25">
      <c r="A11352" s="1"/>
    </row>
    <row r="11353" spans="1:1" ht="46.5" customHeight="1" x14ac:dyDescent="0.25">
      <c r="A11353" s="1"/>
    </row>
    <row r="11354" spans="1:1" ht="46.5" customHeight="1" x14ac:dyDescent="0.25">
      <c r="A11354" s="1"/>
    </row>
    <row r="11355" spans="1:1" ht="46.5" customHeight="1" x14ac:dyDescent="0.25">
      <c r="A11355" s="1"/>
    </row>
    <row r="11356" spans="1:1" ht="46.5" customHeight="1" x14ac:dyDescent="0.25">
      <c r="A11356" s="1"/>
    </row>
    <row r="11357" spans="1:1" ht="46.5" customHeight="1" x14ac:dyDescent="0.25">
      <c r="A11357" s="1"/>
    </row>
    <row r="11358" spans="1:1" ht="46.5" customHeight="1" x14ac:dyDescent="0.25">
      <c r="A11358" s="1"/>
    </row>
    <row r="11359" spans="1:1" ht="46.5" customHeight="1" x14ac:dyDescent="0.25">
      <c r="A11359" s="1"/>
    </row>
    <row r="11360" spans="1:1" ht="46.5" customHeight="1" x14ac:dyDescent="0.25">
      <c r="A11360" s="1"/>
    </row>
    <row r="11361" spans="1:1" ht="46.5" customHeight="1" x14ac:dyDescent="0.25">
      <c r="A11361" s="1"/>
    </row>
    <row r="11362" spans="1:1" ht="46.5" customHeight="1" x14ac:dyDescent="0.25">
      <c r="A11362" s="1"/>
    </row>
    <row r="11363" spans="1:1" ht="46.5" customHeight="1" x14ac:dyDescent="0.25">
      <c r="A11363" s="1"/>
    </row>
    <row r="11364" spans="1:1" ht="46.5" customHeight="1" x14ac:dyDescent="0.25">
      <c r="A11364" s="1"/>
    </row>
    <row r="11365" spans="1:1" ht="46.5" customHeight="1" x14ac:dyDescent="0.25">
      <c r="A11365" s="1"/>
    </row>
    <row r="11366" spans="1:1" ht="46.5" customHeight="1" x14ac:dyDescent="0.25">
      <c r="A11366" s="1"/>
    </row>
    <row r="11367" spans="1:1" ht="46.5" customHeight="1" x14ac:dyDescent="0.25">
      <c r="A11367" s="1"/>
    </row>
    <row r="11368" spans="1:1" ht="46.5" customHeight="1" x14ac:dyDescent="0.25">
      <c r="A11368" s="1"/>
    </row>
    <row r="11369" spans="1:1" ht="46.5" customHeight="1" x14ac:dyDescent="0.25">
      <c r="A11369" s="1"/>
    </row>
    <row r="11370" spans="1:1" ht="46.5" customHeight="1" x14ac:dyDescent="0.25">
      <c r="A11370" s="1"/>
    </row>
    <row r="11371" spans="1:1" ht="46.5" customHeight="1" x14ac:dyDescent="0.25">
      <c r="A11371" s="1"/>
    </row>
    <row r="11372" spans="1:1" ht="46.5" customHeight="1" x14ac:dyDescent="0.25">
      <c r="A11372" s="1"/>
    </row>
    <row r="11373" spans="1:1" ht="46.5" customHeight="1" x14ac:dyDescent="0.25">
      <c r="A11373" s="1"/>
    </row>
    <row r="11374" spans="1:1" ht="46.5" customHeight="1" x14ac:dyDescent="0.25">
      <c r="A11374" s="1"/>
    </row>
    <row r="11375" spans="1:1" ht="46.5" customHeight="1" x14ac:dyDescent="0.25">
      <c r="A11375" s="1"/>
    </row>
    <row r="11376" spans="1:1" ht="46.5" customHeight="1" x14ac:dyDescent="0.25">
      <c r="A11376" s="1"/>
    </row>
    <row r="11377" spans="1:1" ht="46.5" customHeight="1" x14ac:dyDescent="0.25">
      <c r="A11377" s="1"/>
    </row>
    <row r="11378" spans="1:1" ht="46.5" customHeight="1" x14ac:dyDescent="0.25">
      <c r="A11378" s="1"/>
    </row>
    <row r="11379" spans="1:1" ht="46.5" customHeight="1" x14ac:dyDescent="0.25">
      <c r="A11379" s="1"/>
    </row>
    <row r="11380" spans="1:1" ht="46.5" customHeight="1" x14ac:dyDescent="0.25">
      <c r="A11380" s="1"/>
    </row>
    <row r="11381" spans="1:1" ht="46.5" customHeight="1" x14ac:dyDescent="0.25">
      <c r="A11381" s="1"/>
    </row>
    <row r="11382" spans="1:1" ht="46.5" customHeight="1" x14ac:dyDescent="0.25">
      <c r="A11382" s="1"/>
    </row>
    <row r="11383" spans="1:1" ht="46.5" customHeight="1" x14ac:dyDescent="0.25">
      <c r="A11383" s="1"/>
    </row>
    <row r="11384" spans="1:1" ht="46.5" customHeight="1" x14ac:dyDescent="0.25">
      <c r="A11384" s="1"/>
    </row>
    <row r="11385" spans="1:1" ht="46.5" customHeight="1" x14ac:dyDescent="0.25">
      <c r="A11385" s="1"/>
    </row>
    <row r="11386" spans="1:1" ht="46.5" customHeight="1" x14ac:dyDescent="0.25">
      <c r="A11386" s="1"/>
    </row>
    <row r="11387" spans="1:1" ht="46.5" customHeight="1" x14ac:dyDescent="0.25">
      <c r="A11387" s="1"/>
    </row>
    <row r="11388" spans="1:1" ht="46.5" customHeight="1" x14ac:dyDescent="0.25">
      <c r="A11388" s="1"/>
    </row>
    <row r="11389" spans="1:1" ht="46.5" customHeight="1" x14ac:dyDescent="0.25">
      <c r="A11389" s="1"/>
    </row>
    <row r="11390" spans="1:1" ht="46.5" customHeight="1" x14ac:dyDescent="0.25">
      <c r="A11390" s="1"/>
    </row>
    <row r="11391" spans="1:1" ht="46.5" customHeight="1" x14ac:dyDescent="0.25">
      <c r="A11391" s="1"/>
    </row>
    <row r="11392" spans="1:1" ht="46.5" customHeight="1" x14ac:dyDescent="0.25">
      <c r="A11392" s="1"/>
    </row>
    <row r="11393" spans="1:1" ht="46.5" customHeight="1" x14ac:dyDescent="0.25">
      <c r="A11393" s="1"/>
    </row>
    <row r="11394" spans="1:1" ht="46.5" customHeight="1" x14ac:dyDescent="0.25">
      <c r="A11394" s="1"/>
    </row>
    <row r="11395" spans="1:1" ht="46.5" customHeight="1" x14ac:dyDescent="0.25">
      <c r="A11395" s="1"/>
    </row>
    <row r="11396" spans="1:1" ht="46.5" customHeight="1" x14ac:dyDescent="0.25">
      <c r="A11396" s="1"/>
    </row>
    <row r="11397" spans="1:1" ht="46.5" customHeight="1" x14ac:dyDescent="0.25">
      <c r="A11397" s="1"/>
    </row>
    <row r="11398" spans="1:1" ht="46.5" customHeight="1" x14ac:dyDescent="0.25">
      <c r="A11398" s="1"/>
    </row>
    <row r="11399" spans="1:1" ht="46.5" customHeight="1" x14ac:dyDescent="0.25">
      <c r="A11399" s="1"/>
    </row>
    <row r="11400" spans="1:1" ht="46.5" customHeight="1" x14ac:dyDescent="0.25">
      <c r="A11400" s="1"/>
    </row>
    <row r="11401" spans="1:1" ht="46.5" customHeight="1" x14ac:dyDescent="0.25">
      <c r="A11401" s="1"/>
    </row>
    <row r="11402" spans="1:1" ht="46.5" customHeight="1" x14ac:dyDescent="0.25">
      <c r="A11402" s="1"/>
    </row>
    <row r="11403" spans="1:1" ht="46.5" customHeight="1" x14ac:dyDescent="0.25">
      <c r="A11403" s="1"/>
    </row>
    <row r="11404" spans="1:1" ht="46.5" customHeight="1" x14ac:dyDescent="0.25">
      <c r="A11404" s="1"/>
    </row>
    <row r="11405" spans="1:1" ht="46.5" customHeight="1" x14ac:dyDescent="0.25">
      <c r="A11405" s="1"/>
    </row>
    <row r="11406" spans="1:1" ht="46.5" customHeight="1" x14ac:dyDescent="0.25">
      <c r="A11406" s="1"/>
    </row>
    <row r="11407" spans="1:1" ht="46.5" customHeight="1" x14ac:dyDescent="0.25">
      <c r="A11407" s="1"/>
    </row>
    <row r="11408" spans="1:1" ht="46.5" customHeight="1" x14ac:dyDescent="0.25">
      <c r="A11408" s="1"/>
    </row>
    <row r="11409" spans="1:1" ht="46.5" customHeight="1" x14ac:dyDescent="0.25">
      <c r="A11409" s="1"/>
    </row>
    <row r="11410" spans="1:1" ht="46.5" customHeight="1" x14ac:dyDescent="0.25">
      <c r="A11410" s="1"/>
    </row>
    <row r="11411" spans="1:1" ht="46.5" customHeight="1" x14ac:dyDescent="0.25">
      <c r="A11411" s="1"/>
    </row>
    <row r="11412" spans="1:1" ht="46.5" customHeight="1" x14ac:dyDescent="0.25">
      <c r="A11412" s="1"/>
    </row>
    <row r="11413" spans="1:1" ht="46.5" customHeight="1" x14ac:dyDescent="0.25">
      <c r="A11413" s="1"/>
    </row>
    <row r="11414" spans="1:1" ht="46.5" customHeight="1" x14ac:dyDescent="0.25">
      <c r="A11414" s="1"/>
    </row>
    <row r="11415" spans="1:1" ht="46.5" customHeight="1" x14ac:dyDescent="0.25">
      <c r="A11415" s="1"/>
    </row>
    <row r="11416" spans="1:1" ht="46.5" customHeight="1" x14ac:dyDescent="0.25">
      <c r="A11416" s="1"/>
    </row>
    <row r="11417" spans="1:1" ht="46.5" customHeight="1" x14ac:dyDescent="0.25">
      <c r="A11417" s="1"/>
    </row>
    <row r="11418" spans="1:1" ht="46.5" customHeight="1" x14ac:dyDescent="0.25">
      <c r="A11418" s="1"/>
    </row>
    <row r="11419" spans="1:1" ht="46.5" customHeight="1" x14ac:dyDescent="0.25">
      <c r="A11419" s="1"/>
    </row>
    <row r="11420" spans="1:1" ht="46.5" customHeight="1" x14ac:dyDescent="0.25">
      <c r="A11420" s="1"/>
    </row>
    <row r="11421" spans="1:1" ht="46.5" customHeight="1" x14ac:dyDescent="0.25">
      <c r="A11421" s="1"/>
    </row>
    <row r="11422" spans="1:1" ht="46.5" customHeight="1" x14ac:dyDescent="0.25">
      <c r="A11422" s="1"/>
    </row>
    <row r="11423" spans="1:1" ht="46.5" customHeight="1" x14ac:dyDescent="0.25">
      <c r="A11423" s="1"/>
    </row>
    <row r="11424" spans="1:1" ht="46.5" customHeight="1" x14ac:dyDescent="0.25">
      <c r="A11424" s="1"/>
    </row>
    <row r="11425" spans="1:1" ht="46.5" customHeight="1" x14ac:dyDescent="0.25">
      <c r="A11425" s="1"/>
    </row>
    <row r="11426" spans="1:1" ht="46.5" customHeight="1" x14ac:dyDescent="0.25">
      <c r="A11426" s="1"/>
    </row>
    <row r="11427" spans="1:1" ht="46.5" customHeight="1" x14ac:dyDescent="0.25">
      <c r="A11427" s="1"/>
    </row>
    <row r="11428" spans="1:1" ht="46.5" customHeight="1" x14ac:dyDescent="0.25">
      <c r="A11428" s="1"/>
    </row>
    <row r="11429" spans="1:1" ht="46.5" customHeight="1" x14ac:dyDescent="0.25">
      <c r="A11429" s="1"/>
    </row>
    <row r="11430" spans="1:1" ht="46.5" customHeight="1" x14ac:dyDescent="0.25">
      <c r="A11430" s="1"/>
    </row>
    <row r="11431" spans="1:1" ht="46.5" customHeight="1" x14ac:dyDescent="0.25">
      <c r="A11431" s="1"/>
    </row>
    <row r="11432" spans="1:1" ht="46.5" customHeight="1" x14ac:dyDescent="0.25">
      <c r="A11432" s="1"/>
    </row>
    <row r="11433" spans="1:1" ht="46.5" customHeight="1" x14ac:dyDescent="0.25">
      <c r="A11433" s="1"/>
    </row>
    <row r="11434" spans="1:1" ht="46.5" customHeight="1" x14ac:dyDescent="0.25">
      <c r="A11434" s="1"/>
    </row>
    <row r="11435" spans="1:1" ht="46.5" customHeight="1" x14ac:dyDescent="0.25">
      <c r="A11435" s="1"/>
    </row>
    <row r="11436" spans="1:1" ht="46.5" customHeight="1" x14ac:dyDescent="0.25">
      <c r="A11436" s="1"/>
    </row>
    <row r="11437" spans="1:1" ht="46.5" customHeight="1" x14ac:dyDescent="0.25">
      <c r="A11437" s="1"/>
    </row>
    <row r="11438" spans="1:1" ht="46.5" customHeight="1" x14ac:dyDescent="0.25">
      <c r="A11438" s="1"/>
    </row>
    <row r="11439" spans="1:1" ht="46.5" customHeight="1" x14ac:dyDescent="0.25">
      <c r="A11439" s="1"/>
    </row>
    <row r="11440" spans="1:1" ht="46.5" customHeight="1" x14ac:dyDescent="0.25">
      <c r="A11440" s="1"/>
    </row>
    <row r="11441" spans="1:1" ht="46.5" customHeight="1" x14ac:dyDescent="0.25">
      <c r="A11441" s="1"/>
    </row>
    <row r="11442" spans="1:1" ht="46.5" customHeight="1" x14ac:dyDescent="0.25">
      <c r="A11442" s="1"/>
    </row>
    <row r="11443" spans="1:1" ht="46.5" customHeight="1" x14ac:dyDescent="0.25">
      <c r="A11443" s="1"/>
    </row>
    <row r="11444" spans="1:1" ht="46.5" customHeight="1" x14ac:dyDescent="0.25">
      <c r="A11444" s="1"/>
    </row>
    <row r="11445" spans="1:1" ht="46.5" customHeight="1" x14ac:dyDescent="0.25">
      <c r="A11445" s="1"/>
    </row>
    <row r="11446" spans="1:1" ht="46.5" customHeight="1" x14ac:dyDescent="0.25">
      <c r="A11446" s="1"/>
    </row>
    <row r="11447" spans="1:1" ht="46.5" customHeight="1" x14ac:dyDescent="0.25">
      <c r="A11447" s="1"/>
    </row>
    <row r="11448" spans="1:1" ht="46.5" customHeight="1" x14ac:dyDescent="0.25">
      <c r="A11448" s="1"/>
    </row>
    <row r="11449" spans="1:1" ht="46.5" customHeight="1" x14ac:dyDescent="0.25">
      <c r="A11449" s="1"/>
    </row>
    <row r="11450" spans="1:1" ht="46.5" customHeight="1" x14ac:dyDescent="0.25">
      <c r="A11450" s="1"/>
    </row>
    <row r="11451" spans="1:1" ht="46.5" customHeight="1" x14ac:dyDescent="0.25">
      <c r="A11451" s="1"/>
    </row>
    <row r="11452" spans="1:1" ht="46.5" customHeight="1" x14ac:dyDescent="0.25">
      <c r="A11452" s="1"/>
    </row>
    <row r="11453" spans="1:1" ht="46.5" customHeight="1" x14ac:dyDescent="0.25">
      <c r="A11453" s="1"/>
    </row>
    <row r="11454" spans="1:1" ht="46.5" customHeight="1" x14ac:dyDescent="0.25">
      <c r="A11454" s="1"/>
    </row>
    <row r="11455" spans="1:1" ht="46.5" customHeight="1" x14ac:dyDescent="0.25">
      <c r="A11455" s="1"/>
    </row>
    <row r="11456" spans="1:1" ht="46.5" customHeight="1" x14ac:dyDescent="0.25">
      <c r="A11456" s="1"/>
    </row>
    <row r="11457" spans="1:1" ht="46.5" customHeight="1" x14ac:dyDescent="0.25">
      <c r="A11457" s="1"/>
    </row>
    <row r="11458" spans="1:1" ht="46.5" customHeight="1" x14ac:dyDescent="0.25">
      <c r="A11458" s="1"/>
    </row>
    <row r="11459" spans="1:1" ht="46.5" customHeight="1" x14ac:dyDescent="0.25">
      <c r="A11459" s="1"/>
    </row>
    <row r="11460" spans="1:1" ht="46.5" customHeight="1" x14ac:dyDescent="0.25">
      <c r="A11460" s="1"/>
    </row>
    <row r="11461" spans="1:1" ht="46.5" customHeight="1" x14ac:dyDescent="0.25">
      <c r="A11461" s="1"/>
    </row>
    <row r="11462" spans="1:1" ht="46.5" customHeight="1" x14ac:dyDescent="0.25">
      <c r="A11462" s="1"/>
    </row>
    <row r="11463" spans="1:1" ht="46.5" customHeight="1" x14ac:dyDescent="0.25">
      <c r="A11463" s="1"/>
    </row>
    <row r="11464" spans="1:1" ht="46.5" customHeight="1" x14ac:dyDescent="0.25">
      <c r="A11464" s="1"/>
    </row>
    <row r="11465" spans="1:1" ht="46.5" customHeight="1" x14ac:dyDescent="0.25">
      <c r="A11465" s="1"/>
    </row>
    <row r="11466" spans="1:1" ht="46.5" customHeight="1" x14ac:dyDescent="0.25">
      <c r="A11466" s="1"/>
    </row>
    <row r="11467" spans="1:1" ht="46.5" customHeight="1" x14ac:dyDescent="0.25">
      <c r="A11467" s="1"/>
    </row>
    <row r="11468" spans="1:1" ht="46.5" customHeight="1" x14ac:dyDescent="0.25">
      <c r="A11468" s="1"/>
    </row>
    <row r="11469" spans="1:1" ht="46.5" customHeight="1" x14ac:dyDescent="0.25">
      <c r="A11469" s="1"/>
    </row>
    <row r="11470" spans="1:1" ht="46.5" customHeight="1" x14ac:dyDescent="0.25">
      <c r="A11470" s="1"/>
    </row>
    <row r="11471" spans="1:1" ht="46.5" customHeight="1" x14ac:dyDescent="0.25">
      <c r="A11471" s="1"/>
    </row>
    <row r="11472" spans="1:1" ht="46.5" customHeight="1" x14ac:dyDescent="0.25">
      <c r="A11472" s="1"/>
    </row>
    <row r="11473" spans="1:1" ht="46.5" customHeight="1" x14ac:dyDescent="0.25">
      <c r="A11473" s="1"/>
    </row>
    <row r="11474" spans="1:1" ht="46.5" customHeight="1" x14ac:dyDescent="0.25">
      <c r="A11474" s="1"/>
    </row>
    <row r="11475" spans="1:1" ht="46.5" customHeight="1" x14ac:dyDescent="0.25">
      <c r="A11475" s="1"/>
    </row>
    <row r="11476" spans="1:1" ht="46.5" customHeight="1" x14ac:dyDescent="0.25">
      <c r="A11476" s="1"/>
    </row>
    <row r="11477" spans="1:1" ht="46.5" customHeight="1" x14ac:dyDescent="0.25">
      <c r="A11477" s="1"/>
    </row>
    <row r="11478" spans="1:1" ht="46.5" customHeight="1" x14ac:dyDescent="0.25">
      <c r="A11478" s="1"/>
    </row>
    <row r="11479" spans="1:1" ht="46.5" customHeight="1" x14ac:dyDescent="0.25">
      <c r="A11479" s="1"/>
    </row>
    <row r="11480" spans="1:1" ht="46.5" customHeight="1" x14ac:dyDescent="0.25">
      <c r="A11480" s="1"/>
    </row>
    <row r="11481" spans="1:1" ht="46.5" customHeight="1" x14ac:dyDescent="0.25">
      <c r="A11481" s="1"/>
    </row>
    <row r="11482" spans="1:1" ht="46.5" customHeight="1" x14ac:dyDescent="0.25">
      <c r="A11482" s="1"/>
    </row>
    <row r="11483" spans="1:1" ht="46.5" customHeight="1" x14ac:dyDescent="0.25">
      <c r="A11483" s="1"/>
    </row>
    <row r="11484" spans="1:1" ht="46.5" customHeight="1" x14ac:dyDescent="0.25">
      <c r="A11484" s="1"/>
    </row>
    <row r="11485" spans="1:1" ht="46.5" customHeight="1" x14ac:dyDescent="0.25">
      <c r="A11485" s="1"/>
    </row>
    <row r="11486" spans="1:1" ht="46.5" customHeight="1" x14ac:dyDescent="0.25">
      <c r="A11486" s="1"/>
    </row>
    <row r="11487" spans="1:1" ht="46.5" customHeight="1" x14ac:dyDescent="0.25">
      <c r="A11487" s="1"/>
    </row>
    <row r="11488" spans="1:1" ht="46.5" customHeight="1" x14ac:dyDescent="0.25">
      <c r="A11488" s="1"/>
    </row>
    <row r="11489" spans="1:1" ht="46.5" customHeight="1" x14ac:dyDescent="0.25">
      <c r="A11489" s="1"/>
    </row>
    <row r="11490" spans="1:1" ht="46.5" customHeight="1" x14ac:dyDescent="0.25">
      <c r="A11490" s="1"/>
    </row>
    <row r="11491" spans="1:1" ht="46.5" customHeight="1" x14ac:dyDescent="0.25">
      <c r="A11491" s="1"/>
    </row>
    <row r="11492" spans="1:1" ht="46.5" customHeight="1" x14ac:dyDescent="0.25">
      <c r="A11492" s="1"/>
    </row>
    <row r="11493" spans="1:1" ht="46.5" customHeight="1" x14ac:dyDescent="0.25">
      <c r="A11493" s="1"/>
    </row>
    <row r="11494" spans="1:1" ht="46.5" customHeight="1" x14ac:dyDescent="0.25">
      <c r="A11494" s="1"/>
    </row>
    <row r="11495" spans="1:1" ht="46.5" customHeight="1" x14ac:dyDescent="0.25">
      <c r="A11495" s="1"/>
    </row>
    <row r="11496" spans="1:1" ht="46.5" customHeight="1" x14ac:dyDescent="0.25">
      <c r="A11496" s="1"/>
    </row>
    <row r="11497" spans="1:1" ht="46.5" customHeight="1" x14ac:dyDescent="0.25">
      <c r="A11497" s="1"/>
    </row>
    <row r="11498" spans="1:1" ht="46.5" customHeight="1" x14ac:dyDescent="0.25">
      <c r="A11498" s="1"/>
    </row>
    <row r="11499" spans="1:1" ht="46.5" customHeight="1" x14ac:dyDescent="0.25">
      <c r="A11499" s="1"/>
    </row>
    <row r="11500" spans="1:1" ht="46.5" customHeight="1" x14ac:dyDescent="0.25">
      <c r="A11500" s="1"/>
    </row>
    <row r="11501" spans="1:1" ht="46.5" customHeight="1" x14ac:dyDescent="0.25">
      <c r="A11501" s="1"/>
    </row>
    <row r="11502" spans="1:1" ht="46.5" customHeight="1" x14ac:dyDescent="0.25">
      <c r="A11502" s="1"/>
    </row>
    <row r="11503" spans="1:1" ht="46.5" customHeight="1" x14ac:dyDescent="0.25">
      <c r="A11503" s="1"/>
    </row>
    <row r="11504" spans="1:1" ht="46.5" customHeight="1" x14ac:dyDescent="0.25">
      <c r="A11504" s="1"/>
    </row>
    <row r="11505" spans="1:1" ht="46.5" customHeight="1" x14ac:dyDescent="0.25">
      <c r="A11505" s="1"/>
    </row>
    <row r="11506" spans="1:1" ht="46.5" customHeight="1" x14ac:dyDescent="0.25">
      <c r="A11506" s="1"/>
    </row>
    <row r="11507" spans="1:1" ht="46.5" customHeight="1" x14ac:dyDescent="0.25">
      <c r="A11507" s="1"/>
    </row>
    <row r="11508" spans="1:1" ht="46.5" customHeight="1" x14ac:dyDescent="0.25">
      <c r="A11508" s="1"/>
    </row>
    <row r="11509" spans="1:1" ht="46.5" customHeight="1" x14ac:dyDescent="0.25">
      <c r="A11509" s="1"/>
    </row>
    <row r="11510" spans="1:1" ht="46.5" customHeight="1" x14ac:dyDescent="0.25">
      <c r="A11510" s="1"/>
    </row>
    <row r="11511" spans="1:1" ht="46.5" customHeight="1" x14ac:dyDescent="0.25">
      <c r="A11511" s="1"/>
    </row>
    <row r="11512" spans="1:1" ht="46.5" customHeight="1" x14ac:dyDescent="0.25">
      <c r="A11512" s="1"/>
    </row>
    <row r="11513" spans="1:1" ht="46.5" customHeight="1" x14ac:dyDescent="0.25">
      <c r="A11513" s="1"/>
    </row>
    <row r="11514" spans="1:1" ht="46.5" customHeight="1" x14ac:dyDescent="0.25">
      <c r="A11514" s="1"/>
    </row>
    <row r="11515" spans="1:1" ht="46.5" customHeight="1" x14ac:dyDescent="0.25">
      <c r="A11515" s="1"/>
    </row>
    <row r="11516" spans="1:1" ht="46.5" customHeight="1" x14ac:dyDescent="0.25">
      <c r="A11516" s="1"/>
    </row>
    <row r="11517" spans="1:1" ht="46.5" customHeight="1" x14ac:dyDescent="0.25">
      <c r="A11517" s="1"/>
    </row>
    <row r="11518" spans="1:1" ht="46.5" customHeight="1" x14ac:dyDescent="0.25">
      <c r="A11518" s="1"/>
    </row>
    <row r="11519" spans="1:1" ht="46.5" customHeight="1" x14ac:dyDescent="0.25">
      <c r="A11519" s="1"/>
    </row>
    <row r="11520" spans="1:1" ht="46.5" customHeight="1" x14ac:dyDescent="0.25">
      <c r="A11520" s="1"/>
    </row>
    <row r="11521" spans="1:1" ht="46.5" customHeight="1" x14ac:dyDescent="0.25">
      <c r="A11521" s="1"/>
    </row>
    <row r="11522" spans="1:1" ht="46.5" customHeight="1" x14ac:dyDescent="0.25">
      <c r="A11522" s="1"/>
    </row>
    <row r="11523" spans="1:1" ht="46.5" customHeight="1" x14ac:dyDescent="0.25">
      <c r="A11523" s="1"/>
    </row>
    <row r="11524" spans="1:1" ht="46.5" customHeight="1" x14ac:dyDescent="0.25">
      <c r="A11524" s="1"/>
    </row>
    <row r="11525" spans="1:1" ht="46.5" customHeight="1" x14ac:dyDescent="0.25">
      <c r="A11525" s="1"/>
    </row>
    <row r="11526" spans="1:1" ht="46.5" customHeight="1" x14ac:dyDescent="0.25">
      <c r="A11526" s="1"/>
    </row>
    <row r="11527" spans="1:1" ht="46.5" customHeight="1" x14ac:dyDescent="0.25">
      <c r="A11527" s="1"/>
    </row>
    <row r="11528" spans="1:1" ht="46.5" customHeight="1" x14ac:dyDescent="0.25">
      <c r="A11528" s="1"/>
    </row>
    <row r="11529" spans="1:1" ht="46.5" customHeight="1" x14ac:dyDescent="0.25">
      <c r="A11529" s="1"/>
    </row>
    <row r="11530" spans="1:1" ht="46.5" customHeight="1" x14ac:dyDescent="0.25">
      <c r="A11530" s="1"/>
    </row>
    <row r="11531" spans="1:1" ht="46.5" customHeight="1" x14ac:dyDescent="0.25">
      <c r="A11531" s="1"/>
    </row>
    <row r="11532" spans="1:1" ht="46.5" customHeight="1" x14ac:dyDescent="0.25">
      <c r="A11532" s="1"/>
    </row>
    <row r="11533" spans="1:1" ht="46.5" customHeight="1" x14ac:dyDescent="0.25">
      <c r="A11533" s="1"/>
    </row>
    <row r="11534" spans="1:1" ht="46.5" customHeight="1" x14ac:dyDescent="0.25">
      <c r="A11534" s="1"/>
    </row>
    <row r="11535" spans="1:1" ht="46.5" customHeight="1" x14ac:dyDescent="0.25">
      <c r="A11535" s="1"/>
    </row>
    <row r="11536" spans="1:1" ht="46.5" customHeight="1" x14ac:dyDescent="0.25">
      <c r="A11536" s="1"/>
    </row>
    <row r="11537" spans="1:1" ht="46.5" customHeight="1" x14ac:dyDescent="0.25">
      <c r="A11537" s="1"/>
    </row>
    <row r="11538" spans="1:1" ht="46.5" customHeight="1" x14ac:dyDescent="0.25">
      <c r="A11538" s="1"/>
    </row>
    <row r="11539" spans="1:1" ht="46.5" customHeight="1" x14ac:dyDescent="0.25">
      <c r="A11539" s="1"/>
    </row>
    <row r="11540" spans="1:1" ht="46.5" customHeight="1" x14ac:dyDescent="0.25">
      <c r="A11540" s="1"/>
    </row>
    <row r="11541" spans="1:1" ht="46.5" customHeight="1" x14ac:dyDescent="0.25">
      <c r="A11541" s="1"/>
    </row>
    <row r="11542" spans="1:1" ht="46.5" customHeight="1" x14ac:dyDescent="0.25">
      <c r="A11542" s="1"/>
    </row>
    <row r="11543" spans="1:1" ht="46.5" customHeight="1" x14ac:dyDescent="0.25">
      <c r="A11543" s="1"/>
    </row>
    <row r="11544" spans="1:1" ht="46.5" customHeight="1" x14ac:dyDescent="0.25">
      <c r="A11544" s="1"/>
    </row>
    <row r="11545" spans="1:1" ht="46.5" customHeight="1" x14ac:dyDescent="0.25">
      <c r="A11545" s="1"/>
    </row>
    <row r="11546" spans="1:1" ht="46.5" customHeight="1" x14ac:dyDescent="0.25">
      <c r="A11546" s="1"/>
    </row>
    <row r="11547" spans="1:1" ht="46.5" customHeight="1" x14ac:dyDescent="0.25">
      <c r="A11547" s="1"/>
    </row>
    <row r="11548" spans="1:1" ht="46.5" customHeight="1" x14ac:dyDescent="0.25">
      <c r="A11548" s="1"/>
    </row>
    <row r="11549" spans="1:1" ht="46.5" customHeight="1" x14ac:dyDescent="0.25">
      <c r="A11549" s="1"/>
    </row>
    <row r="11550" spans="1:1" ht="46.5" customHeight="1" x14ac:dyDescent="0.25">
      <c r="A11550" s="1"/>
    </row>
    <row r="11551" spans="1:1" ht="46.5" customHeight="1" x14ac:dyDescent="0.25">
      <c r="A11551" s="1"/>
    </row>
    <row r="11552" spans="1:1" ht="46.5" customHeight="1" x14ac:dyDescent="0.25">
      <c r="A11552" s="1"/>
    </row>
    <row r="11553" spans="1:1" ht="46.5" customHeight="1" x14ac:dyDescent="0.25">
      <c r="A11553" s="1"/>
    </row>
    <row r="11554" spans="1:1" ht="46.5" customHeight="1" x14ac:dyDescent="0.25">
      <c r="A11554" s="1"/>
    </row>
    <row r="11555" spans="1:1" ht="46.5" customHeight="1" x14ac:dyDescent="0.25">
      <c r="A11555" s="1"/>
    </row>
    <row r="11556" spans="1:1" ht="46.5" customHeight="1" x14ac:dyDescent="0.25">
      <c r="A11556" s="1"/>
    </row>
    <row r="11557" spans="1:1" ht="46.5" customHeight="1" x14ac:dyDescent="0.25">
      <c r="A11557" s="1"/>
    </row>
    <row r="11558" spans="1:1" ht="46.5" customHeight="1" x14ac:dyDescent="0.25">
      <c r="A11558" s="1"/>
    </row>
    <row r="11559" spans="1:1" ht="46.5" customHeight="1" x14ac:dyDescent="0.25">
      <c r="A11559" s="1"/>
    </row>
    <row r="11560" spans="1:1" ht="46.5" customHeight="1" x14ac:dyDescent="0.25">
      <c r="A11560" s="1"/>
    </row>
    <row r="11561" spans="1:1" ht="46.5" customHeight="1" x14ac:dyDescent="0.25">
      <c r="A11561" s="1"/>
    </row>
    <row r="11562" spans="1:1" ht="46.5" customHeight="1" x14ac:dyDescent="0.25">
      <c r="A11562" s="1"/>
    </row>
    <row r="11563" spans="1:1" ht="46.5" customHeight="1" x14ac:dyDescent="0.25">
      <c r="A11563" s="1"/>
    </row>
    <row r="11564" spans="1:1" ht="46.5" customHeight="1" x14ac:dyDescent="0.25">
      <c r="A11564" s="1"/>
    </row>
    <row r="11565" spans="1:1" ht="46.5" customHeight="1" x14ac:dyDescent="0.25">
      <c r="A11565" s="1"/>
    </row>
    <row r="11566" spans="1:1" ht="46.5" customHeight="1" x14ac:dyDescent="0.25">
      <c r="A11566" s="1"/>
    </row>
    <row r="11567" spans="1:1" ht="46.5" customHeight="1" x14ac:dyDescent="0.25">
      <c r="A11567" s="1"/>
    </row>
    <row r="11568" spans="1:1" ht="46.5" customHeight="1" x14ac:dyDescent="0.25">
      <c r="A11568" s="1"/>
    </row>
    <row r="11569" spans="1:1" ht="46.5" customHeight="1" x14ac:dyDescent="0.25">
      <c r="A11569" s="1"/>
    </row>
    <row r="11570" spans="1:1" ht="46.5" customHeight="1" x14ac:dyDescent="0.25">
      <c r="A11570" s="1"/>
    </row>
    <row r="11571" spans="1:1" ht="46.5" customHeight="1" x14ac:dyDescent="0.25">
      <c r="A11571" s="1"/>
    </row>
    <row r="11572" spans="1:1" ht="46.5" customHeight="1" x14ac:dyDescent="0.25">
      <c r="A11572" s="1"/>
    </row>
    <row r="11573" spans="1:1" ht="46.5" customHeight="1" x14ac:dyDescent="0.25">
      <c r="A11573" s="1"/>
    </row>
    <row r="11574" spans="1:1" ht="46.5" customHeight="1" x14ac:dyDescent="0.25">
      <c r="A11574" s="1"/>
    </row>
    <row r="11575" spans="1:1" ht="46.5" customHeight="1" x14ac:dyDescent="0.25">
      <c r="A11575" s="1"/>
    </row>
    <row r="11576" spans="1:1" ht="46.5" customHeight="1" x14ac:dyDescent="0.25">
      <c r="A11576" s="1"/>
    </row>
    <row r="11577" spans="1:1" ht="46.5" customHeight="1" x14ac:dyDescent="0.25">
      <c r="A11577" s="1"/>
    </row>
    <row r="11578" spans="1:1" ht="46.5" customHeight="1" x14ac:dyDescent="0.25">
      <c r="A11578" s="1"/>
    </row>
    <row r="11579" spans="1:1" ht="46.5" customHeight="1" x14ac:dyDescent="0.25">
      <c r="A11579" s="1"/>
    </row>
    <row r="11580" spans="1:1" ht="46.5" customHeight="1" x14ac:dyDescent="0.25">
      <c r="A11580" s="1"/>
    </row>
    <row r="11581" spans="1:1" ht="46.5" customHeight="1" x14ac:dyDescent="0.25">
      <c r="A11581" s="1"/>
    </row>
    <row r="11582" spans="1:1" ht="46.5" customHeight="1" x14ac:dyDescent="0.25">
      <c r="A11582" s="1"/>
    </row>
    <row r="11583" spans="1:1" ht="46.5" customHeight="1" x14ac:dyDescent="0.25">
      <c r="A11583" s="1"/>
    </row>
    <row r="11584" spans="1:1" ht="46.5" customHeight="1" x14ac:dyDescent="0.25">
      <c r="A11584" s="1"/>
    </row>
    <row r="11585" spans="1:1" ht="46.5" customHeight="1" x14ac:dyDescent="0.25">
      <c r="A11585" s="1"/>
    </row>
    <row r="11586" spans="1:1" ht="46.5" customHeight="1" x14ac:dyDescent="0.25">
      <c r="A11586" s="1"/>
    </row>
    <row r="11587" spans="1:1" ht="46.5" customHeight="1" x14ac:dyDescent="0.25">
      <c r="A11587" s="1"/>
    </row>
    <row r="11588" spans="1:1" ht="46.5" customHeight="1" x14ac:dyDescent="0.25">
      <c r="A11588" s="1"/>
    </row>
    <row r="11589" spans="1:1" ht="46.5" customHeight="1" x14ac:dyDescent="0.25">
      <c r="A11589" s="1"/>
    </row>
    <row r="11590" spans="1:1" ht="46.5" customHeight="1" x14ac:dyDescent="0.25">
      <c r="A11590" s="1"/>
    </row>
    <row r="11591" spans="1:1" ht="46.5" customHeight="1" x14ac:dyDescent="0.25">
      <c r="A11591" s="1"/>
    </row>
    <row r="11592" spans="1:1" ht="46.5" customHeight="1" x14ac:dyDescent="0.25">
      <c r="A11592" s="1"/>
    </row>
    <row r="11593" spans="1:1" ht="46.5" customHeight="1" x14ac:dyDescent="0.25">
      <c r="A11593" s="1"/>
    </row>
    <row r="11594" spans="1:1" ht="46.5" customHeight="1" x14ac:dyDescent="0.25">
      <c r="A11594" s="1"/>
    </row>
    <row r="11595" spans="1:1" ht="46.5" customHeight="1" x14ac:dyDescent="0.25">
      <c r="A11595" s="1"/>
    </row>
    <row r="11596" spans="1:1" ht="46.5" customHeight="1" x14ac:dyDescent="0.25">
      <c r="A11596" s="1"/>
    </row>
    <row r="11597" spans="1:1" ht="46.5" customHeight="1" x14ac:dyDescent="0.25">
      <c r="A11597" s="1"/>
    </row>
    <row r="11598" spans="1:1" ht="46.5" customHeight="1" x14ac:dyDescent="0.25">
      <c r="A11598" s="1"/>
    </row>
    <row r="11599" spans="1:1" ht="46.5" customHeight="1" x14ac:dyDescent="0.25">
      <c r="A11599" s="1"/>
    </row>
    <row r="11600" spans="1:1" ht="46.5" customHeight="1" x14ac:dyDescent="0.25">
      <c r="A11600" s="1"/>
    </row>
    <row r="11601" spans="1:1" ht="46.5" customHeight="1" x14ac:dyDescent="0.25">
      <c r="A11601" s="1"/>
    </row>
    <row r="11602" spans="1:1" ht="46.5" customHeight="1" x14ac:dyDescent="0.25">
      <c r="A11602" s="1"/>
    </row>
    <row r="11603" spans="1:1" ht="46.5" customHeight="1" x14ac:dyDescent="0.25">
      <c r="A11603" s="1"/>
    </row>
    <row r="11604" spans="1:1" ht="46.5" customHeight="1" x14ac:dyDescent="0.25">
      <c r="A11604" s="1"/>
    </row>
    <row r="11605" spans="1:1" ht="46.5" customHeight="1" x14ac:dyDescent="0.25">
      <c r="A11605" s="1"/>
    </row>
    <row r="11606" spans="1:1" ht="46.5" customHeight="1" x14ac:dyDescent="0.25">
      <c r="A11606" s="1"/>
    </row>
    <row r="11607" spans="1:1" ht="46.5" customHeight="1" x14ac:dyDescent="0.25">
      <c r="A11607" s="1"/>
    </row>
    <row r="11608" spans="1:1" ht="46.5" customHeight="1" x14ac:dyDescent="0.25">
      <c r="A11608" s="1"/>
    </row>
    <row r="11609" spans="1:1" ht="46.5" customHeight="1" x14ac:dyDescent="0.25">
      <c r="A11609" s="1"/>
    </row>
    <row r="11610" spans="1:1" ht="46.5" customHeight="1" x14ac:dyDescent="0.25">
      <c r="A11610" s="1"/>
    </row>
    <row r="11611" spans="1:1" ht="46.5" customHeight="1" x14ac:dyDescent="0.25">
      <c r="A11611" s="1"/>
    </row>
    <row r="11612" spans="1:1" ht="46.5" customHeight="1" x14ac:dyDescent="0.25">
      <c r="A11612" s="1"/>
    </row>
    <row r="11613" spans="1:1" ht="46.5" customHeight="1" x14ac:dyDescent="0.25">
      <c r="A11613" s="1"/>
    </row>
    <row r="11614" spans="1:1" ht="46.5" customHeight="1" x14ac:dyDescent="0.25">
      <c r="A11614" s="1"/>
    </row>
    <row r="11615" spans="1:1" ht="46.5" customHeight="1" x14ac:dyDescent="0.25">
      <c r="A11615" s="1"/>
    </row>
    <row r="11616" spans="1:1" ht="46.5" customHeight="1" x14ac:dyDescent="0.25">
      <c r="A11616" s="1"/>
    </row>
    <row r="11617" spans="1:1" ht="46.5" customHeight="1" x14ac:dyDescent="0.25">
      <c r="A11617" s="1"/>
    </row>
    <row r="11618" spans="1:1" ht="46.5" customHeight="1" x14ac:dyDescent="0.25">
      <c r="A11618" s="1"/>
    </row>
    <row r="11619" spans="1:1" ht="46.5" customHeight="1" x14ac:dyDescent="0.25">
      <c r="A11619" s="1"/>
    </row>
    <row r="11620" spans="1:1" ht="46.5" customHeight="1" x14ac:dyDescent="0.25">
      <c r="A11620" s="1"/>
    </row>
    <row r="11621" spans="1:1" ht="46.5" customHeight="1" x14ac:dyDescent="0.25">
      <c r="A11621" s="1"/>
    </row>
    <row r="11622" spans="1:1" ht="46.5" customHeight="1" x14ac:dyDescent="0.25">
      <c r="A11622" s="1"/>
    </row>
    <row r="11623" spans="1:1" ht="46.5" customHeight="1" x14ac:dyDescent="0.25">
      <c r="A11623" s="1"/>
    </row>
    <row r="11624" spans="1:1" ht="46.5" customHeight="1" x14ac:dyDescent="0.25">
      <c r="A11624" s="1"/>
    </row>
    <row r="11625" spans="1:1" ht="46.5" customHeight="1" x14ac:dyDescent="0.25">
      <c r="A11625" s="1"/>
    </row>
    <row r="11626" spans="1:1" ht="46.5" customHeight="1" x14ac:dyDescent="0.25">
      <c r="A11626" s="1"/>
    </row>
    <row r="11627" spans="1:1" ht="46.5" customHeight="1" x14ac:dyDescent="0.25">
      <c r="A11627" s="1"/>
    </row>
    <row r="11628" spans="1:1" ht="46.5" customHeight="1" x14ac:dyDescent="0.25">
      <c r="A11628" s="1"/>
    </row>
    <row r="11629" spans="1:1" ht="46.5" customHeight="1" x14ac:dyDescent="0.25">
      <c r="A11629" s="1"/>
    </row>
    <row r="11630" spans="1:1" ht="46.5" customHeight="1" x14ac:dyDescent="0.25">
      <c r="A11630" s="1"/>
    </row>
    <row r="11631" spans="1:1" ht="46.5" customHeight="1" x14ac:dyDescent="0.25">
      <c r="A11631" s="1"/>
    </row>
    <row r="11632" spans="1:1" ht="46.5" customHeight="1" x14ac:dyDescent="0.25">
      <c r="A11632" s="1"/>
    </row>
    <row r="11633" spans="1:1" ht="46.5" customHeight="1" x14ac:dyDescent="0.25">
      <c r="A11633" s="1"/>
    </row>
    <row r="11634" spans="1:1" ht="46.5" customHeight="1" x14ac:dyDescent="0.25">
      <c r="A11634" s="1"/>
    </row>
    <row r="11635" spans="1:1" ht="46.5" customHeight="1" x14ac:dyDescent="0.25">
      <c r="A11635" s="1"/>
    </row>
    <row r="11636" spans="1:1" ht="46.5" customHeight="1" x14ac:dyDescent="0.25">
      <c r="A11636" s="1"/>
    </row>
    <row r="11637" spans="1:1" ht="46.5" customHeight="1" x14ac:dyDescent="0.25">
      <c r="A11637" s="1"/>
    </row>
    <row r="11638" spans="1:1" ht="46.5" customHeight="1" x14ac:dyDescent="0.25">
      <c r="A11638" s="1"/>
    </row>
    <row r="11639" spans="1:1" ht="46.5" customHeight="1" x14ac:dyDescent="0.25">
      <c r="A11639" s="1"/>
    </row>
    <row r="11640" spans="1:1" ht="46.5" customHeight="1" x14ac:dyDescent="0.25">
      <c r="A11640" s="1"/>
    </row>
    <row r="11641" spans="1:1" ht="46.5" customHeight="1" x14ac:dyDescent="0.25">
      <c r="A11641" s="1"/>
    </row>
    <row r="11642" spans="1:1" ht="46.5" customHeight="1" x14ac:dyDescent="0.25">
      <c r="A11642" s="1"/>
    </row>
    <row r="11643" spans="1:1" ht="46.5" customHeight="1" x14ac:dyDescent="0.25">
      <c r="A11643" s="1"/>
    </row>
    <row r="11644" spans="1:1" ht="46.5" customHeight="1" x14ac:dyDescent="0.25">
      <c r="A11644" s="1"/>
    </row>
    <row r="11645" spans="1:1" ht="46.5" customHeight="1" x14ac:dyDescent="0.25">
      <c r="A11645" s="1"/>
    </row>
    <row r="11646" spans="1:1" ht="46.5" customHeight="1" x14ac:dyDescent="0.25">
      <c r="A11646" s="1"/>
    </row>
    <row r="11647" spans="1:1" ht="46.5" customHeight="1" x14ac:dyDescent="0.25">
      <c r="A11647" s="1"/>
    </row>
    <row r="11648" spans="1:1" ht="46.5" customHeight="1" x14ac:dyDescent="0.25">
      <c r="A11648" s="1"/>
    </row>
    <row r="11649" spans="1:1" ht="46.5" customHeight="1" x14ac:dyDescent="0.25">
      <c r="A11649" s="1"/>
    </row>
    <row r="11650" spans="1:1" ht="46.5" customHeight="1" x14ac:dyDescent="0.25">
      <c r="A11650" s="1"/>
    </row>
    <row r="11651" spans="1:1" ht="46.5" customHeight="1" x14ac:dyDescent="0.25">
      <c r="A11651" s="1"/>
    </row>
    <row r="11652" spans="1:1" ht="46.5" customHeight="1" x14ac:dyDescent="0.25">
      <c r="A11652" s="1"/>
    </row>
    <row r="11653" spans="1:1" ht="46.5" customHeight="1" x14ac:dyDescent="0.25">
      <c r="A11653" s="1"/>
    </row>
    <row r="11654" spans="1:1" ht="46.5" customHeight="1" x14ac:dyDescent="0.25">
      <c r="A11654" s="1"/>
    </row>
    <row r="11655" spans="1:1" ht="46.5" customHeight="1" x14ac:dyDescent="0.25">
      <c r="A11655" s="1"/>
    </row>
    <row r="11656" spans="1:1" ht="46.5" customHeight="1" x14ac:dyDescent="0.25">
      <c r="A11656" s="1"/>
    </row>
    <row r="11657" spans="1:1" ht="46.5" customHeight="1" x14ac:dyDescent="0.25">
      <c r="A11657" s="1"/>
    </row>
    <row r="11658" spans="1:1" ht="46.5" customHeight="1" x14ac:dyDescent="0.25">
      <c r="A11658" s="1"/>
    </row>
    <row r="11659" spans="1:1" ht="46.5" customHeight="1" x14ac:dyDescent="0.25">
      <c r="A11659" s="1"/>
    </row>
    <row r="11660" spans="1:1" ht="46.5" customHeight="1" x14ac:dyDescent="0.25">
      <c r="A11660" s="1"/>
    </row>
    <row r="11661" spans="1:1" ht="46.5" customHeight="1" x14ac:dyDescent="0.25">
      <c r="A11661" s="1"/>
    </row>
    <row r="11662" spans="1:1" ht="46.5" customHeight="1" x14ac:dyDescent="0.25">
      <c r="A11662" s="1"/>
    </row>
    <row r="11663" spans="1:1" ht="46.5" customHeight="1" x14ac:dyDescent="0.25">
      <c r="A11663" s="1"/>
    </row>
    <row r="11664" spans="1:1" ht="46.5" customHeight="1" x14ac:dyDescent="0.25">
      <c r="A11664" s="1"/>
    </row>
    <row r="11665" spans="1:1" ht="46.5" customHeight="1" x14ac:dyDescent="0.25">
      <c r="A11665" s="1"/>
    </row>
    <row r="11666" spans="1:1" ht="46.5" customHeight="1" x14ac:dyDescent="0.25">
      <c r="A11666" s="1"/>
    </row>
    <row r="11667" spans="1:1" ht="46.5" customHeight="1" x14ac:dyDescent="0.25">
      <c r="A11667" s="1"/>
    </row>
    <row r="11668" spans="1:1" ht="46.5" customHeight="1" x14ac:dyDescent="0.25">
      <c r="A11668" s="1"/>
    </row>
    <row r="11669" spans="1:1" ht="46.5" customHeight="1" x14ac:dyDescent="0.25">
      <c r="A11669" s="1"/>
    </row>
    <row r="11670" spans="1:1" ht="46.5" customHeight="1" x14ac:dyDescent="0.25">
      <c r="A11670" s="1"/>
    </row>
    <row r="11671" spans="1:1" ht="46.5" customHeight="1" x14ac:dyDescent="0.25">
      <c r="A11671" s="1"/>
    </row>
    <row r="11672" spans="1:1" ht="46.5" customHeight="1" x14ac:dyDescent="0.25">
      <c r="A11672" s="1"/>
    </row>
    <row r="11673" spans="1:1" ht="46.5" customHeight="1" x14ac:dyDescent="0.25">
      <c r="A11673" s="1"/>
    </row>
    <row r="11674" spans="1:1" ht="46.5" customHeight="1" x14ac:dyDescent="0.25">
      <c r="A11674" s="1"/>
    </row>
    <row r="11675" spans="1:1" ht="46.5" customHeight="1" x14ac:dyDescent="0.25">
      <c r="A11675" s="1"/>
    </row>
    <row r="11676" spans="1:1" ht="46.5" customHeight="1" x14ac:dyDescent="0.25">
      <c r="A11676" s="1"/>
    </row>
    <row r="11677" spans="1:1" ht="46.5" customHeight="1" x14ac:dyDescent="0.25">
      <c r="A11677" s="1"/>
    </row>
    <row r="11678" spans="1:1" ht="46.5" customHeight="1" x14ac:dyDescent="0.25">
      <c r="A11678" s="1"/>
    </row>
    <row r="11679" spans="1:1" ht="46.5" customHeight="1" x14ac:dyDescent="0.25">
      <c r="A11679" s="1"/>
    </row>
    <row r="11680" spans="1:1" ht="46.5" customHeight="1" x14ac:dyDescent="0.25">
      <c r="A11680" s="1"/>
    </row>
    <row r="11681" spans="1:1" ht="46.5" customHeight="1" x14ac:dyDescent="0.25">
      <c r="A11681" s="1"/>
    </row>
    <row r="11682" spans="1:1" ht="46.5" customHeight="1" x14ac:dyDescent="0.25">
      <c r="A11682" s="1"/>
    </row>
    <row r="11683" spans="1:1" ht="46.5" customHeight="1" x14ac:dyDescent="0.25">
      <c r="A11683" s="1"/>
    </row>
    <row r="11684" spans="1:1" ht="46.5" customHeight="1" x14ac:dyDescent="0.25">
      <c r="A11684" s="1"/>
    </row>
    <row r="11685" spans="1:1" ht="46.5" customHeight="1" x14ac:dyDescent="0.25">
      <c r="A11685" s="1"/>
    </row>
    <row r="11686" spans="1:1" ht="46.5" customHeight="1" x14ac:dyDescent="0.25">
      <c r="A11686" s="1"/>
    </row>
    <row r="11687" spans="1:1" ht="46.5" customHeight="1" x14ac:dyDescent="0.25">
      <c r="A11687" s="1"/>
    </row>
    <row r="11688" spans="1:1" ht="46.5" customHeight="1" x14ac:dyDescent="0.25">
      <c r="A11688" s="1"/>
    </row>
    <row r="11689" spans="1:1" ht="46.5" customHeight="1" x14ac:dyDescent="0.25">
      <c r="A11689" s="1"/>
    </row>
    <row r="11690" spans="1:1" ht="46.5" customHeight="1" x14ac:dyDescent="0.25">
      <c r="A11690" s="1"/>
    </row>
    <row r="11691" spans="1:1" ht="46.5" customHeight="1" x14ac:dyDescent="0.25">
      <c r="A11691" s="1"/>
    </row>
    <row r="11692" spans="1:1" ht="46.5" customHeight="1" x14ac:dyDescent="0.25">
      <c r="A11692" s="1"/>
    </row>
    <row r="11693" spans="1:1" ht="46.5" customHeight="1" x14ac:dyDescent="0.25">
      <c r="A11693" s="1"/>
    </row>
    <row r="11694" spans="1:1" ht="46.5" customHeight="1" x14ac:dyDescent="0.25">
      <c r="A11694" s="1"/>
    </row>
    <row r="11695" spans="1:1" ht="46.5" customHeight="1" x14ac:dyDescent="0.25">
      <c r="A11695" s="1"/>
    </row>
    <row r="11696" spans="1:1" ht="46.5" customHeight="1" x14ac:dyDescent="0.25">
      <c r="A11696" s="1"/>
    </row>
    <row r="11697" spans="1:1" ht="46.5" customHeight="1" x14ac:dyDescent="0.25">
      <c r="A11697" s="1"/>
    </row>
    <row r="11698" spans="1:1" ht="46.5" customHeight="1" x14ac:dyDescent="0.25">
      <c r="A11698" s="1"/>
    </row>
    <row r="11699" spans="1:1" ht="46.5" customHeight="1" x14ac:dyDescent="0.25">
      <c r="A11699" s="1"/>
    </row>
    <row r="11700" spans="1:1" ht="46.5" customHeight="1" x14ac:dyDescent="0.25">
      <c r="A11700" s="1"/>
    </row>
    <row r="11701" spans="1:1" ht="46.5" customHeight="1" x14ac:dyDescent="0.25">
      <c r="A11701" s="1"/>
    </row>
    <row r="11702" spans="1:1" ht="46.5" customHeight="1" x14ac:dyDescent="0.25">
      <c r="A11702" s="1"/>
    </row>
    <row r="11703" spans="1:1" ht="46.5" customHeight="1" x14ac:dyDescent="0.25">
      <c r="A11703" s="1"/>
    </row>
    <row r="11704" spans="1:1" ht="46.5" customHeight="1" x14ac:dyDescent="0.25">
      <c r="A11704" s="1"/>
    </row>
    <row r="11705" spans="1:1" ht="46.5" customHeight="1" x14ac:dyDescent="0.25">
      <c r="A11705" s="1"/>
    </row>
    <row r="11706" spans="1:1" ht="46.5" customHeight="1" x14ac:dyDescent="0.25">
      <c r="A11706" s="1"/>
    </row>
    <row r="11707" spans="1:1" ht="46.5" customHeight="1" x14ac:dyDescent="0.25">
      <c r="A11707" s="1"/>
    </row>
    <row r="11708" spans="1:1" ht="46.5" customHeight="1" x14ac:dyDescent="0.25">
      <c r="A11708" s="1"/>
    </row>
    <row r="11709" spans="1:1" ht="46.5" customHeight="1" x14ac:dyDescent="0.25">
      <c r="A11709" s="1"/>
    </row>
    <row r="11710" spans="1:1" ht="46.5" customHeight="1" x14ac:dyDescent="0.25">
      <c r="A11710" s="1"/>
    </row>
    <row r="11711" spans="1:1" ht="46.5" customHeight="1" x14ac:dyDescent="0.25">
      <c r="A11711" s="1"/>
    </row>
    <row r="11712" spans="1:1" ht="46.5" customHeight="1" x14ac:dyDescent="0.25">
      <c r="A11712" s="1"/>
    </row>
    <row r="11713" spans="1:1" ht="46.5" customHeight="1" x14ac:dyDescent="0.25">
      <c r="A11713" s="1"/>
    </row>
    <row r="11714" spans="1:1" ht="46.5" customHeight="1" x14ac:dyDescent="0.25">
      <c r="A11714" s="1"/>
    </row>
    <row r="11715" spans="1:1" ht="46.5" customHeight="1" x14ac:dyDescent="0.25">
      <c r="A11715" s="1"/>
    </row>
    <row r="11716" spans="1:1" ht="46.5" customHeight="1" x14ac:dyDescent="0.25">
      <c r="A11716" s="1"/>
    </row>
    <row r="11717" spans="1:1" ht="46.5" customHeight="1" x14ac:dyDescent="0.25">
      <c r="A11717" s="1"/>
    </row>
    <row r="11718" spans="1:1" ht="46.5" customHeight="1" x14ac:dyDescent="0.25">
      <c r="A11718" s="1"/>
    </row>
    <row r="11719" spans="1:1" ht="46.5" customHeight="1" x14ac:dyDescent="0.25">
      <c r="A11719" s="1"/>
    </row>
    <row r="11720" spans="1:1" ht="46.5" customHeight="1" x14ac:dyDescent="0.25">
      <c r="A11720" s="1"/>
    </row>
    <row r="11721" spans="1:1" ht="46.5" customHeight="1" x14ac:dyDescent="0.25">
      <c r="A11721" s="1"/>
    </row>
    <row r="11722" spans="1:1" ht="46.5" customHeight="1" x14ac:dyDescent="0.25">
      <c r="A11722" s="1"/>
    </row>
    <row r="11723" spans="1:1" ht="46.5" customHeight="1" x14ac:dyDescent="0.25">
      <c r="A11723" s="1"/>
    </row>
    <row r="11724" spans="1:1" ht="46.5" customHeight="1" x14ac:dyDescent="0.25">
      <c r="A11724" s="1"/>
    </row>
    <row r="11725" spans="1:1" ht="46.5" customHeight="1" x14ac:dyDescent="0.25">
      <c r="A11725" s="1"/>
    </row>
    <row r="11726" spans="1:1" ht="46.5" customHeight="1" x14ac:dyDescent="0.25">
      <c r="A11726" s="1"/>
    </row>
    <row r="11727" spans="1:1" ht="46.5" customHeight="1" x14ac:dyDescent="0.25">
      <c r="A11727" s="1"/>
    </row>
    <row r="11728" spans="1:1" ht="46.5" customHeight="1" x14ac:dyDescent="0.25">
      <c r="A11728" s="1"/>
    </row>
    <row r="11729" spans="1:1" ht="46.5" customHeight="1" x14ac:dyDescent="0.25">
      <c r="A11729" s="1"/>
    </row>
    <row r="11730" spans="1:1" ht="46.5" customHeight="1" x14ac:dyDescent="0.25">
      <c r="A11730" s="1"/>
    </row>
    <row r="11731" spans="1:1" ht="46.5" customHeight="1" x14ac:dyDescent="0.25">
      <c r="A11731" s="1"/>
    </row>
    <row r="11732" spans="1:1" ht="46.5" customHeight="1" x14ac:dyDescent="0.25">
      <c r="A11732" s="1"/>
    </row>
    <row r="11733" spans="1:1" ht="46.5" customHeight="1" x14ac:dyDescent="0.25">
      <c r="A11733" s="1"/>
    </row>
    <row r="11734" spans="1:1" ht="46.5" customHeight="1" x14ac:dyDescent="0.25">
      <c r="A11734" s="1"/>
    </row>
    <row r="11735" spans="1:1" ht="46.5" customHeight="1" x14ac:dyDescent="0.25">
      <c r="A11735" s="1"/>
    </row>
    <row r="11736" spans="1:1" ht="46.5" customHeight="1" x14ac:dyDescent="0.25">
      <c r="A11736" s="1"/>
    </row>
    <row r="11737" spans="1:1" ht="46.5" customHeight="1" x14ac:dyDescent="0.25">
      <c r="A11737" s="1"/>
    </row>
    <row r="11738" spans="1:1" ht="46.5" customHeight="1" x14ac:dyDescent="0.25">
      <c r="A11738" s="1"/>
    </row>
    <row r="11739" spans="1:1" ht="46.5" customHeight="1" x14ac:dyDescent="0.25">
      <c r="A11739" s="1"/>
    </row>
    <row r="11740" spans="1:1" ht="46.5" customHeight="1" x14ac:dyDescent="0.25">
      <c r="A11740" s="1"/>
    </row>
    <row r="11741" spans="1:1" ht="46.5" customHeight="1" x14ac:dyDescent="0.25">
      <c r="A11741" s="1"/>
    </row>
    <row r="11742" spans="1:1" ht="46.5" customHeight="1" x14ac:dyDescent="0.25">
      <c r="A11742" s="1"/>
    </row>
    <row r="11743" spans="1:1" ht="46.5" customHeight="1" x14ac:dyDescent="0.25">
      <c r="A11743" s="1"/>
    </row>
    <row r="11744" spans="1:1" ht="46.5" customHeight="1" x14ac:dyDescent="0.25">
      <c r="A11744" s="1"/>
    </row>
    <row r="11745" spans="1:1" ht="46.5" customHeight="1" x14ac:dyDescent="0.25">
      <c r="A11745" s="1"/>
    </row>
    <row r="11746" spans="1:1" ht="46.5" customHeight="1" x14ac:dyDescent="0.25">
      <c r="A11746" s="1"/>
    </row>
    <row r="11747" spans="1:1" ht="46.5" customHeight="1" x14ac:dyDescent="0.25">
      <c r="A11747" s="1"/>
    </row>
    <row r="11748" spans="1:1" ht="46.5" customHeight="1" x14ac:dyDescent="0.25">
      <c r="A11748" s="1"/>
    </row>
    <row r="11749" spans="1:1" ht="46.5" customHeight="1" x14ac:dyDescent="0.25">
      <c r="A11749" s="1"/>
    </row>
    <row r="11750" spans="1:1" ht="46.5" customHeight="1" x14ac:dyDescent="0.25">
      <c r="A11750" s="1"/>
    </row>
    <row r="11751" spans="1:1" ht="46.5" customHeight="1" x14ac:dyDescent="0.25">
      <c r="A11751" s="1"/>
    </row>
    <row r="11752" spans="1:1" ht="46.5" customHeight="1" x14ac:dyDescent="0.25">
      <c r="A11752" s="1"/>
    </row>
    <row r="11753" spans="1:1" ht="46.5" customHeight="1" x14ac:dyDescent="0.25">
      <c r="A11753" s="1"/>
    </row>
    <row r="11754" spans="1:1" ht="46.5" customHeight="1" x14ac:dyDescent="0.25">
      <c r="A11754" s="1"/>
    </row>
    <row r="11755" spans="1:1" ht="46.5" customHeight="1" x14ac:dyDescent="0.25">
      <c r="A11755" s="1"/>
    </row>
    <row r="11756" spans="1:1" ht="46.5" customHeight="1" x14ac:dyDescent="0.25">
      <c r="A11756" s="1"/>
    </row>
    <row r="11757" spans="1:1" ht="46.5" customHeight="1" x14ac:dyDescent="0.25">
      <c r="A11757" s="1"/>
    </row>
    <row r="11758" spans="1:1" ht="46.5" customHeight="1" x14ac:dyDescent="0.25">
      <c r="A11758" s="1"/>
    </row>
    <row r="11759" spans="1:1" ht="46.5" customHeight="1" x14ac:dyDescent="0.25">
      <c r="A11759" s="1"/>
    </row>
    <row r="11760" spans="1:1" ht="46.5" customHeight="1" x14ac:dyDescent="0.25">
      <c r="A11760" s="1"/>
    </row>
    <row r="11761" spans="1:1" ht="46.5" customHeight="1" x14ac:dyDescent="0.25">
      <c r="A11761" s="1"/>
    </row>
    <row r="11762" spans="1:1" ht="46.5" customHeight="1" x14ac:dyDescent="0.25">
      <c r="A11762" s="1"/>
    </row>
    <row r="11763" spans="1:1" ht="46.5" customHeight="1" x14ac:dyDescent="0.25">
      <c r="A11763" s="1"/>
    </row>
    <row r="11764" spans="1:1" ht="46.5" customHeight="1" x14ac:dyDescent="0.25">
      <c r="A11764" s="1"/>
    </row>
    <row r="11765" spans="1:1" ht="46.5" customHeight="1" x14ac:dyDescent="0.25">
      <c r="A11765" s="1"/>
    </row>
    <row r="11766" spans="1:1" ht="46.5" customHeight="1" x14ac:dyDescent="0.25">
      <c r="A11766" s="1"/>
    </row>
    <row r="11767" spans="1:1" ht="46.5" customHeight="1" x14ac:dyDescent="0.25">
      <c r="A11767" s="1"/>
    </row>
    <row r="11768" spans="1:1" ht="46.5" customHeight="1" x14ac:dyDescent="0.25">
      <c r="A11768" s="1"/>
    </row>
    <row r="11769" spans="1:1" ht="46.5" customHeight="1" x14ac:dyDescent="0.25">
      <c r="A11769" s="1"/>
    </row>
    <row r="11770" spans="1:1" ht="46.5" customHeight="1" x14ac:dyDescent="0.25">
      <c r="A11770" s="1"/>
    </row>
    <row r="11771" spans="1:1" ht="46.5" customHeight="1" x14ac:dyDescent="0.25">
      <c r="A11771" s="1"/>
    </row>
    <row r="11772" spans="1:1" ht="46.5" customHeight="1" x14ac:dyDescent="0.25">
      <c r="A11772" s="1"/>
    </row>
    <row r="11773" spans="1:1" ht="46.5" customHeight="1" x14ac:dyDescent="0.25">
      <c r="A11773" s="1"/>
    </row>
    <row r="11774" spans="1:1" ht="46.5" customHeight="1" x14ac:dyDescent="0.25">
      <c r="A11774" s="1"/>
    </row>
    <row r="11775" spans="1:1" ht="46.5" customHeight="1" x14ac:dyDescent="0.25">
      <c r="A11775" s="1"/>
    </row>
    <row r="11776" spans="1:1" ht="46.5" customHeight="1" x14ac:dyDescent="0.25">
      <c r="A11776" s="1"/>
    </row>
    <row r="11777" spans="1:1" ht="46.5" customHeight="1" x14ac:dyDescent="0.25">
      <c r="A11777" s="1"/>
    </row>
    <row r="11778" spans="1:1" ht="46.5" customHeight="1" x14ac:dyDescent="0.25">
      <c r="A11778" s="1"/>
    </row>
    <row r="11779" spans="1:1" ht="46.5" customHeight="1" x14ac:dyDescent="0.25">
      <c r="A11779" s="1"/>
    </row>
    <row r="11780" spans="1:1" ht="46.5" customHeight="1" x14ac:dyDescent="0.25">
      <c r="A11780" s="1"/>
    </row>
    <row r="11781" spans="1:1" ht="46.5" customHeight="1" x14ac:dyDescent="0.25">
      <c r="A11781" s="1"/>
    </row>
    <row r="11782" spans="1:1" ht="46.5" customHeight="1" x14ac:dyDescent="0.25">
      <c r="A11782" s="1"/>
    </row>
    <row r="11783" spans="1:1" ht="46.5" customHeight="1" x14ac:dyDescent="0.25">
      <c r="A11783" s="1"/>
    </row>
    <row r="11784" spans="1:1" ht="46.5" customHeight="1" x14ac:dyDescent="0.25">
      <c r="A11784" s="1"/>
    </row>
    <row r="11785" spans="1:1" ht="46.5" customHeight="1" x14ac:dyDescent="0.25">
      <c r="A11785" s="1"/>
    </row>
    <row r="11786" spans="1:1" ht="46.5" customHeight="1" x14ac:dyDescent="0.25">
      <c r="A11786" s="1"/>
    </row>
    <row r="11787" spans="1:1" ht="46.5" customHeight="1" x14ac:dyDescent="0.25">
      <c r="A11787" s="1"/>
    </row>
    <row r="11788" spans="1:1" ht="46.5" customHeight="1" x14ac:dyDescent="0.25">
      <c r="A11788" s="1"/>
    </row>
    <row r="11789" spans="1:1" ht="46.5" customHeight="1" x14ac:dyDescent="0.25">
      <c r="A11789" s="1"/>
    </row>
    <row r="11790" spans="1:1" ht="46.5" customHeight="1" x14ac:dyDescent="0.25">
      <c r="A11790" s="1"/>
    </row>
    <row r="11791" spans="1:1" ht="46.5" customHeight="1" x14ac:dyDescent="0.25">
      <c r="A11791" s="1"/>
    </row>
    <row r="11792" spans="1:1" ht="46.5" customHeight="1" x14ac:dyDescent="0.25">
      <c r="A11792" s="1"/>
    </row>
    <row r="11793" spans="1:1" ht="46.5" customHeight="1" x14ac:dyDescent="0.25">
      <c r="A11793" s="1"/>
    </row>
    <row r="11794" spans="1:1" ht="46.5" customHeight="1" x14ac:dyDescent="0.25">
      <c r="A11794" s="1"/>
    </row>
    <row r="11795" spans="1:1" ht="46.5" customHeight="1" x14ac:dyDescent="0.25">
      <c r="A11795" s="1"/>
    </row>
    <row r="11796" spans="1:1" ht="46.5" customHeight="1" x14ac:dyDescent="0.25">
      <c r="A11796" s="1"/>
    </row>
    <row r="11797" spans="1:1" ht="46.5" customHeight="1" x14ac:dyDescent="0.25">
      <c r="A11797" s="1"/>
    </row>
    <row r="11798" spans="1:1" ht="46.5" customHeight="1" x14ac:dyDescent="0.25">
      <c r="A11798" s="1"/>
    </row>
    <row r="11799" spans="1:1" ht="46.5" customHeight="1" x14ac:dyDescent="0.25">
      <c r="A11799" s="1"/>
    </row>
    <row r="11800" spans="1:1" ht="46.5" customHeight="1" x14ac:dyDescent="0.25">
      <c r="A11800" s="1"/>
    </row>
    <row r="11801" spans="1:1" ht="46.5" customHeight="1" x14ac:dyDescent="0.25">
      <c r="A11801" s="1"/>
    </row>
    <row r="11802" spans="1:1" ht="46.5" customHeight="1" x14ac:dyDescent="0.25">
      <c r="A11802" s="1"/>
    </row>
    <row r="11803" spans="1:1" ht="46.5" customHeight="1" x14ac:dyDescent="0.25">
      <c r="A11803" s="1"/>
    </row>
    <row r="11804" spans="1:1" ht="46.5" customHeight="1" x14ac:dyDescent="0.25">
      <c r="A11804" s="1"/>
    </row>
    <row r="11805" spans="1:1" ht="46.5" customHeight="1" x14ac:dyDescent="0.25">
      <c r="A11805" s="1"/>
    </row>
    <row r="11806" spans="1:1" ht="46.5" customHeight="1" x14ac:dyDescent="0.25">
      <c r="A11806" s="1"/>
    </row>
    <row r="11807" spans="1:1" ht="46.5" customHeight="1" x14ac:dyDescent="0.25">
      <c r="A11807" s="1"/>
    </row>
    <row r="11808" spans="1:1" ht="46.5" customHeight="1" x14ac:dyDescent="0.25">
      <c r="A11808" s="1"/>
    </row>
    <row r="11809" spans="1:1" ht="46.5" customHeight="1" x14ac:dyDescent="0.25">
      <c r="A11809" s="1"/>
    </row>
    <row r="11810" spans="1:1" ht="46.5" customHeight="1" x14ac:dyDescent="0.25">
      <c r="A11810" s="1"/>
    </row>
    <row r="11811" spans="1:1" ht="46.5" customHeight="1" x14ac:dyDescent="0.25">
      <c r="A11811" s="1"/>
    </row>
    <row r="11812" spans="1:1" ht="46.5" customHeight="1" x14ac:dyDescent="0.25">
      <c r="A11812" s="1"/>
    </row>
    <row r="11813" spans="1:1" ht="46.5" customHeight="1" x14ac:dyDescent="0.25">
      <c r="A11813" s="1"/>
    </row>
    <row r="11814" spans="1:1" ht="46.5" customHeight="1" x14ac:dyDescent="0.25">
      <c r="A11814" s="1"/>
    </row>
    <row r="11815" spans="1:1" ht="46.5" customHeight="1" x14ac:dyDescent="0.25">
      <c r="A11815" s="1"/>
    </row>
    <row r="11816" spans="1:1" ht="46.5" customHeight="1" x14ac:dyDescent="0.25">
      <c r="A11816" s="1"/>
    </row>
    <row r="11817" spans="1:1" ht="46.5" customHeight="1" x14ac:dyDescent="0.25">
      <c r="A11817" s="1"/>
    </row>
    <row r="11818" spans="1:1" ht="46.5" customHeight="1" x14ac:dyDescent="0.25">
      <c r="A11818" s="1"/>
    </row>
    <row r="11819" spans="1:1" ht="46.5" customHeight="1" x14ac:dyDescent="0.25">
      <c r="A11819" s="1"/>
    </row>
    <row r="11820" spans="1:1" ht="46.5" customHeight="1" x14ac:dyDescent="0.25">
      <c r="A11820" s="1"/>
    </row>
    <row r="11821" spans="1:1" ht="46.5" customHeight="1" x14ac:dyDescent="0.25">
      <c r="A11821" s="1"/>
    </row>
    <row r="11822" spans="1:1" ht="46.5" customHeight="1" x14ac:dyDescent="0.25">
      <c r="A11822" s="1"/>
    </row>
    <row r="11823" spans="1:1" ht="46.5" customHeight="1" x14ac:dyDescent="0.25">
      <c r="A11823" s="1"/>
    </row>
    <row r="11824" spans="1:1" ht="46.5" customHeight="1" x14ac:dyDescent="0.25">
      <c r="A11824" s="1"/>
    </row>
    <row r="11825" spans="1:1" ht="46.5" customHeight="1" x14ac:dyDescent="0.25">
      <c r="A11825" s="1"/>
    </row>
    <row r="11826" spans="1:1" ht="46.5" customHeight="1" x14ac:dyDescent="0.25">
      <c r="A11826" s="1"/>
    </row>
    <row r="11827" spans="1:1" ht="46.5" customHeight="1" x14ac:dyDescent="0.25">
      <c r="A11827" s="1"/>
    </row>
    <row r="11828" spans="1:1" ht="46.5" customHeight="1" x14ac:dyDescent="0.25">
      <c r="A11828" s="1"/>
    </row>
    <row r="11829" spans="1:1" ht="46.5" customHeight="1" x14ac:dyDescent="0.25">
      <c r="A11829" s="1"/>
    </row>
    <row r="11830" spans="1:1" ht="46.5" customHeight="1" x14ac:dyDescent="0.25">
      <c r="A11830" s="1"/>
    </row>
    <row r="11831" spans="1:1" ht="46.5" customHeight="1" x14ac:dyDescent="0.25">
      <c r="A11831" s="1"/>
    </row>
    <row r="11832" spans="1:1" ht="46.5" customHeight="1" x14ac:dyDescent="0.25">
      <c r="A11832" s="1"/>
    </row>
    <row r="11833" spans="1:1" ht="46.5" customHeight="1" x14ac:dyDescent="0.25">
      <c r="A11833" s="1"/>
    </row>
    <row r="11834" spans="1:1" ht="46.5" customHeight="1" x14ac:dyDescent="0.25">
      <c r="A11834" s="1"/>
    </row>
    <row r="11835" spans="1:1" ht="46.5" customHeight="1" x14ac:dyDescent="0.25">
      <c r="A11835" s="1"/>
    </row>
    <row r="11836" spans="1:1" ht="46.5" customHeight="1" x14ac:dyDescent="0.25">
      <c r="A11836" s="1"/>
    </row>
    <row r="11837" spans="1:1" ht="46.5" customHeight="1" x14ac:dyDescent="0.25">
      <c r="A11837" s="1"/>
    </row>
    <row r="11838" spans="1:1" ht="46.5" customHeight="1" x14ac:dyDescent="0.25">
      <c r="A11838" s="1"/>
    </row>
    <row r="11839" spans="1:1" ht="46.5" customHeight="1" x14ac:dyDescent="0.25">
      <c r="A11839" s="1"/>
    </row>
    <row r="11840" spans="1:1" ht="46.5" customHeight="1" x14ac:dyDescent="0.25">
      <c r="A11840" s="1"/>
    </row>
    <row r="11841" spans="1:1" ht="46.5" customHeight="1" x14ac:dyDescent="0.25">
      <c r="A11841" s="1"/>
    </row>
    <row r="11842" spans="1:1" ht="46.5" customHeight="1" x14ac:dyDescent="0.25">
      <c r="A11842" s="1"/>
    </row>
    <row r="11843" spans="1:1" ht="46.5" customHeight="1" x14ac:dyDescent="0.25">
      <c r="A11843" s="1"/>
    </row>
    <row r="11844" spans="1:1" ht="46.5" customHeight="1" x14ac:dyDescent="0.25">
      <c r="A11844" s="1"/>
    </row>
    <row r="11845" spans="1:1" ht="46.5" customHeight="1" x14ac:dyDescent="0.25">
      <c r="A11845" s="1"/>
    </row>
    <row r="11846" spans="1:1" ht="46.5" customHeight="1" x14ac:dyDescent="0.25">
      <c r="A11846" s="1"/>
    </row>
    <row r="11847" spans="1:1" ht="46.5" customHeight="1" x14ac:dyDescent="0.25">
      <c r="A11847" s="1"/>
    </row>
    <row r="11848" spans="1:1" ht="46.5" customHeight="1" x14ac:dyDescent="0.25">
      <c r="A11848" s="1"/>
    </row>
    <row r="11849" spans="1:1" ht="46.5" customHeight="1" x14ac:dyDescent="0.25">
      <c r="A11849" s="1"/>
    </row>
    <row r="11850" spans="1:1" ht="46.5" customHeight="1" x14ac:dyDescent="0.25">
      <c r="A11850" s="1"/>
    </row>
    <row r="11851" spans="1:1" ht="46.5" customHeight="1" x14ac:dyDescent="0.25">
      <c r="A11851" s="1"/>
    </row>
    <row r="11852" spans="1:1" ht="46.5" customHeight="1" x14ac:dyDescent="0.25">
      <c r="A11852" s="1"/>
    </row>
    <row r="11853" spans="1:1" ht="46.5" customHeight="1" x14ac:dyDescent="0.25">
      <c r="A11853" s="1"/>
    </row>
    <row r="11854" spans="1:1" ht="46.5" customHeight="1" x14ac:dyDescent="0.25">
      <c r="A11854" s="1"/>
    </row>
    <row r="11855" spans="1:1" ht="46.5" customHeight="1" x14ac:dyDescent="0.25">
      <c r="A11855" s="1"/>
    </row>
    <row r="11856" spans="1:1" ht="46.5" customHeight="1" x14ac:dyDescent="0.25">
      <c r="A11856" s="1"/>
    </row>
    <row r="11857" spans="1:1" ht="46.5" customHeight="1" x14ac:dyDescent="0.25">
      <c r="A11857" s="1"/>
    </row>
    <row r="11858" spans="1:1" ht="46.5" customHeight="1" x14ac:dyDescent="0.25">
      <c r="A11858" s="1"/>
    </row>
    <row r="11859" spans="1:1" ht="46.5" customHeight="1" x14ac:dyDescent="0.25">
      <c r="A11859" s="1"/>
    </row>
    <row r="11860" spans="1:1" ht="46.5" customHeight="1" x14ac:dyDescent="0.25">
      <c r="A11860" s="1"/>
    </row>
    <row r="11861" spans="1:1" ht="46.5" customHeight="1" x14ac:dyDescent="0.25">
      <c r="A11861" s="1"/>
    </row>
    <row r="11862" spans="1:1" ht="46.5" customHeight="1" x14ac:dyDescent="0.25">
      <c r="A11862" s="1"/>
    </row>
    <row r="11863" spans="1:1" ht="46.5" customHeight="1" x14ac:dyDescent="0.25">
      <c r="A11863" s="1"/>
    </row>
    <row r="11864" spans="1:1" ht="46.5" customHeight="1" x14ac:dyDescent="0.25">
      <c r="A11864" s="1"/>
    </row>
    <row r="11865" spans="1:1" ht="46.5" customHeight="1" x14ac:dyDescent="0.25">
      <c r="A11865" s="1"/>
    </row>
    <row r="11866" spans="1:1" ht="46.5" customHeight="1" x14ac:dyDescent="0.25">
      <c r="A11866" s="1"/>
    </row>
    <row r="11867" spans="1:1" ht="46.5" customHeight="1" x14ac:dyDescent="0.25">
      <c r="A11867" s="1"/>
    </row>
    <row r="11868" spans="1:1" ht="46.5" customHeight="1" x14ac:dyDescent="0.25">
      <c r="A11868" s="1"/>
    </row>
    <row r="11869" spans="1:1" ht="46.5" customHeight="1" x14ac:dyDescent="0.25">
      <c r="A11869" s="1"/>
    </row>
    <row r="11870" spans="1:1" ht="46.5" customHeight="1" x14ac:dyDescent="0.25">
      <c r="A11870" s="1"/>
    </row>
    <row r="11871" spans="1:1" ht="46.5" customHeight="1" x14ac:dyDescent="0.25">
      <c r="A11871" s="1"/>
    </row>
    <row r="11872" spans="1:1" ht="46.5" customHeight="1" x14ac:dyDescent="0.25">
      <c r="A11872" s="1"/>
    </row>
    <row r="11873" spans="1:1" ht="46.5" customHeight="1" x14ac:dyDescent="0.25">
      <c r="A11873" s="1"/>
    </row>
    <row r="11874" spans="1:1" ht="46.5" customHeight="1" x14ac:dyDescent="0.25">
      <c r="A11874" s="1"/>
    </row>
    <row r="11875" spans="1:1" ht="46.5" customHeight="1" x14ac:dyDescent="0.25">
      <c r="A11875" s="1"/>
    </row>
    <row r="11876" spans="1:1" ht="46.5" customHeight="1" x14ac:dyDescent="0.25">
      <c r="A11876" s="1"/>
    </row>
    <row r="11877" spans="1:1" ht="46.5" customHeight="1" x14ac:dyDescent="0.25">
      <c r="A11877" s="1"/>
    </row>
    <row r="11878" spans="1:1" ht="46.5" customHeight="1" x14ac:dyDescent="0.25">
      <c r="A11878" s="1"/>
    </row>
    <row r="11879" spans="1:1" ht="46.5" customHeight="1" x14ac:dyDescent="0.25">
      <c r="A11879" s="1"/>
    </row>
    <row r="11880" spans="1:1" ht="46.5" customHeight="1" x14ac:dyDescent="0.25">
      <c r="A11880" s="1"/>
    </row>
    <row r="11881" spans="1:1" ht="46.5" customHeight="1" x14ac:dyDescent="0.25">
      <c r="A11881" s="1"/>
    </row>
    <row r="11882" spans="1:1" ht="46.5" customHeight="1" x14ac:dyDescent="0.25">
      <c r="A11882" s="1"/>
    </row>
    <row r="11883" spans="1:1" ht="46.5" customHeight="1" x14ac:dyDescent="0.25">
      <c r="A11883" s="1"/>
    </row>
    <row r="11884" spans="1:1" ht="46.5" customHeight="1" x14ac:dyDescent="0.25">
      <c r="A11884" s="1"/>
    </row>
    <row r="11885" spans="1:1" ht="46.5" customHeight="1" x14ac:dyDescent="0.25">
      <c r="A11885" s="1"/>
    </row>
    <row r="11886" spans="1:1" ht="46.5" customHeight="1" x14ac:dyDescent="0.25">
      <c r="A11886" s="1"/>
    </row>
    <row r="11887" spans="1:1" ht="46.5" customHeight="1" x14ac:dyDescent="0.25">
      <c r="A11887" s="1"/>
    </row>
    <row r="11888" spans="1:1" ht="46.5" customHeight="1" x14ac:dyDescent="0.25">
      <c r="A11888" s="1"/>
    </row>
    <row r="11889" spans="1:1" ht="46.5" customHeight="1" x14ac:dyDescent="0.25">
      <c r="A11889" s="1"/>
    </row>
    <row r="11890" spans="1:1" ht="46.5" customHeight="1" x14ac:dyDescent="0.25">
      <c r="A11890" s="1"/>
    </row>
    <row r="11891" spans="1:1" ht="46.5" customHeight="1" x14ac:dyDescent="0.25">
      <c r="A11891" s="1"/>
    </row>
    <row r="11892" spans="1:1" ht="46.5" customHeight="1" x14ac:dyDescent="0.25">
      <c r="A11892" s="1"/>
    </row>
    <row r="11893" spans="1:1" ht="46.5" customHeight="1" x14ac:dyDescent="0.25">
      <c r="A11893" s="1"/>
    </row>
    <row r="11894" spans="1:1" ht="46.5" customHeight="1" x14ac:dyDescent="0.25">
      <c r="A11894" s="1"/>
    </row>
    <row r="11895" spans="1:1" ht="46.5" customHeight="1" x14ac:dyDescent="0.25">
      <c r="A11895" s="1"/>
    </row>
    <row r="11896" spans="1:1" ht="46.5" customHeight="1" x14ac:dyDescent="0.25">
      <c r="A11896" s="1"/>
    </row>
    <row r="11897" spans="1:1" ht="46.5" customHeight="1" x14ac:dyDescent="0.25">
      <c r="A11897" s="1"/>
    </row>
    <row r="11898" spans="1:1" ht="46.5" customHeight="1" x14ac:dyDescent="0.25">
      <c r="A11898" s="1"/>
    </row>
    <row r="11899" spans="1:1" ht="46.5" customHeight="1" x14ac:dyDescent="0.25">
      <c r="A11899" s="1"/>
    </row>
    <row r="11900" spans="1:1" ht="46.5" customHeight="1" x14ac:dyDescent="0.25">
      <c r="A11900" s="1"/>
    </row>
    <row r="11901" spans="1:1" ht="46.5" customHeight="1" x14ac:dyDescent="0.25">
      <c r="A11901" s="1"/>
    </row>
    <row r="11902" spans="1:1" ht="46.5" customHeight="1" x14ac:dyDescent="0.25">
      <c r="A11902" s="1"/>
    </row>
    <row r="11903" spans="1:1" ht="46.5" customHeight="1" x14ac:dyDescent="0.25">
      <c r="A11903" s="1"/>
    </row>
    <row r="11904" spans="1:1" ht="46.5" customHeight="1" x14ac:dyDescent="0.25">
      <c r="A11904" s="1"/>
    </row>
    <row r="11905" spans="1:1" ht="46.5" customHeight="1" x14ac:dyDescent="0.25">
      <c r="A11905" s="1"/>
    </row>
    <row r="11906" spans="1:1" ht="46.5" customHeight="1" x14ac:dyDescent="0.25">
      <c r="A11906" s="1"/>
    </row>
    <row r="11907" spans="1:1" ht="46.5" customHeight="1" x14ac:dyDescent="0.25">
      <c r="A11907" s="1"/>
    </row>
    <row r="11908" spans="1:1" ht="46.5" customHeight="1" x14ac:dyDescent="0.25">
      <c r="A11908" s="1"/>
    </row>
    <row r="11909" spans="1:1" ht="46.5" customHeight="1" x14ac:dyDescent="0.25">
      <c r="A11909" s="1"/>
    </row>
    <row r="11910" spans="1:1" ht="46.5" customHeight="1" x14ac:dyDescent="0.25">
      <c r="A11910" s="1"/>
    </row>
    <row r="11911" spans="1:1" ht="46.5" customHeight="1" x14ac:dyDescent="0.25">
      <c r="A11911" s="1"/>
    </row>
    <row r="11912" spans="1:1" ht="46.5" customHeight="1" x14ac:dyDescent="0.25">
      <c r="A11912" s="1"/>
    </row>
    <row r="11913" spans="1:1" ht="46.5" customHeight="1" x14ac:dyDescent="0.25">
      <c r="A11913" s="1"/>
    </row>
    <row r="11914" spans="1:1" ht="46.5" customHeight="1" x14ac:dyDescent="0.25">
      <c r="A11914" s="1"/>
    </row>
    <row r="11915" spans="1:1" ht="46.5" customHeight="1" x14ac:dyDescent="0.25">
      <c r="A11915" s="1"/>
    </row>
    <row r="11916" spans="1:1" ht="46.5" customHeight="1" x14ac:dyDescent="0.25">
      <c r="A11916" s="1"/>
    </row>
    <row r="11917" spans="1:1" ht="46.5" customHeight="1" x14ac:dyDescent="0.25">
      <c r="A11917" s="1"/>
    </row>
    <row r="11918" spans="1:1" ht="46.5" customHeight="1" x14ac:dyDescent="0.25">
      <c r="A11918" s="1"/>
    </row>
    <row r="11919" spans="1:1" ht="46.5" customHeight="1" x14ac:dyDescent="0.25">
      <c r="A11919" s="1"/>
    </row>
    <row r="11920" spans="1:1" ht="46.5" customHeight="1" x14ac:dyDescent="0.25">
      <c r="A11920" s="1"/>
    </row>
    <row r="11921" spans="1:1" ht="46.5" customHeight="1" x14ac:dyDescent="0.25">
      <c r="A11921" s="1"/>
    </row>
    <row r="11922" spans="1:1" ht="46.5" customHeight="1" x14ac:dyDescent="0.25">
      <c r="A11922" s="1"/>
    </row>
    <row r="11923" spans="1:1" ht="46.5" customHeight="1" x14ac:dyDescent="0.25">
      <c r="A11923" s="1"/>
    </row>
    <row r="11924" spans="1:1" ht="46.5" customHeight="1" x14ac:dyDescent="0.25">
      <c r="A11924" s="1"/>
    </row>
    <row r="11925" spans="1:1" ht="46.5" customHeight="1" x14ac:dyDescent="0.25">
      <c r="A11925" s="1"/>
    </row>
    <row r="11926" spans="1:1" ht="46.5" customHeight="1" x14ac:dyDescent="0.25">
      <c r="A11926" s="1"/>
    </row>
    <row r="11927" spans="1:1" ht="46.5" customHeight="1" x14ac:dyDescent="0.25">
      <c r="A11927" s="1"/>
    </row>
    <row r="11928" spans="1:1" ht="46.5" customHeight="1" x14ac:dyDescent="0.25">
      <c r="A11928" s="1"/>
    </row>
    <row r="11929" spans="1:1" ht="46.5" customHeight="1" x14ac:dyDescent="0.25">
      <c r="A11929" s="1"/>
    </row>
    <row r="11930" spans="1:1" ht="46.5" customHeight="1" x14ac:dyDescent="0.25">
      <c r="A11930" s="1"/>
    </row>
    <row r="11931" spans="1:1" ht="46.5" customHeight="1" x14ac:dyDescent="0.25">
      <c r="A11931" s="1"/>
    </row>
    <row r="11932" spans="1:1" ht="46.5" customHeight="1" x14ac:dyDescent="0.25">
      <c r="A11932" s="1"/>
    </row>
    <row r="11933" spans="1:1" ht="46.5" customHeight="1" x14ac:dyDescent="0.25">
      <c r="A11933" s="1"/>
    </row>
    <row r="11934" spans="1:1" ht="46.5" customHeight="1" x14ac:dyDescent="0.25">
      <c r="A11934" s="1"/>
    </row>
    <row r="11935" spans="1:1" ht="46.5" customHeight="1" x14ac:dyDescent="0.25">
      <c r="A11935" s="1"/>
    </row>
    <row r="11936" spans="1:1" ht="46.5" customHeight="1" x14ac:dyDescent="0.25">
      <c r="A11936" s="1"/>
    </row>
    <row r="11937" spans="1:1" ht="46.5" customHeight="1" x14ac:dyDescent="0.25">
      <c r="A11937" s="1"/>
    </row>
    <row r="11938" spans="1:1" ht="46.5" customHeight="1" x14ac:dyDescent="0.25">
      <c r="A11938" s="1"/>
    </row>
    <row r="11939" spans="1:1" ht="46.5" customHeight="1" x14ac:dyDescent="0.25">
      <c r="A11939" s="1"/>
    </row>
    <row r="11940" spans="1:1" ht="46.5" customHeight="1" x14ac:dyDescent="0.25">
      <c r="A11940" s="1"/>
    </row>
    <row r="11941" spans="1:1" ht="46.5" customHeight="1" x14ac:dyDescent="0.25">
      <c r="A11941" s="1"/>
    </row>
    <row r="11942" spans="1:1" ht="46.5" customHeight="1" x14ac:dyDescent="0.25">
      <c r="A11942" s="1"/>
    </row>
    <row r="11943" spans="1:1" ht="46.5" customHeight="1" x14ac:dyDescent="0.25">
      <c r="A11943" s="1"/>
    </row>
    <row r="11944" spans="1:1" ht="46.5" customHeight="1" x14ac:dyDescent="0.25">
      <c r="A11944" s="1"/>
    </row>
    <row r="11945" spans="1:1" ht="46.5" customHeight="1" x14ac:dyDescent="0.25">
      <c r="A11945" s="1"/>
    </row>
    <row r="11946" spans="1:1" ht="46.5" customHeight="1" x14ac:dyDescent="0.25">
      <c r="A11946" s="1"/>
    </row>
    <row r="11947" spans="1:1" ht="46.5" customHeight="1" x14ac:dyDescent="0.25">
      <c r="A11947" s="1"/>
    </row>
    <row r="11948" spans="1:1" ht="46.5" customHeight="1" x14ac:dyDescent="0.25">
      <c r="A11948" s="1"/>
    </row>
    <row r="11949" spans="1:1" ht="46.5" customHeight="1" x14ac:dyDescent="0.25">
      <c r="A11949" s="1"/>
    </row>
    <row r="11950" spans="1:1" ht="46.5" customHeight="1" x14ac:dyDescent="0.25">
      <c r="A11950" s="1"/>
    </row>
    <row r="11951" spans="1:1" ht="46.5" customHeight="1" x14ac:dyDescent="0.25">
      <c r="A11951" s="1"/>
    </row>
    <row r="11952" spans="1:1" ht="46.5" customHeight="1" x14ac:dyDescent="0.25">
      <c r="A11952" s="1"/>
    </row>
    <row r="11953" spans="1:1" ht="46.5" customHeight="1" x14ac:dyDescent="0.25">
      <c r="A11953" s="1"/>
    </row>
    <row r="11954" spans="1:1" ht="46.5" customHeight="1" x14ac:dyDescent="0.25">
      <c r="A11954" s="1"/>
    </row>
    <row r="11955" spans="1:1" ht="46.5" customHeight="1" x14ac:dyDescent="0.25">
      <c r="A11955" s="1"/>
    </row>
    <row r="11956" spans="1:1" ht="46.5" customHeight="1" x14ac:dyDescent="0.25">
      <c r="A11956" s="1"/>
    </row>
    <row r="11957" spans="1:1" ht="46.5" customHeight="1" x14ac:dyDescent="0.25">
      <c r="A11957" s="1"/>
    </row>
    <row r="11958" spans="1:1" ht="46.5" customHeight="1" x14ac:dyDescent="0.25">
      <c r="A11958" s="1"/>
    </row>
    <row r="11959" spans="1:1" ht="46.5" customHeight="1" x14ac:dyDescent="0.25">
      <c r="A11959" s="1"/>
    </row>
    <row r="11960" spans="1:1" ht="46.5" customHeight="1" x14ac:dyDescent="0.25">
      <c r="A11960" s="1"/>
    </row>
    <row r="11961" spans="1:1" ht="46.5" customHeight="1" x14ac:dyDescent="0.25">
      <c r="A11961" s="1"/>
    </row>
    <row r="11962" spans="1:1" ht="46.5" customHeight="1" x14ac:dyDescent="0.25">
      <c r="A11962" s="1"/>
    </row>
    <row r="11963" spans="1:1" ht="46.5" customHeight="1" x14ac:dyDescent="0.25">
      <c r="A11963" s="1"/>
    </row>
    <row r="11964" spans="1:1" ht="46.5" customHeight="1" x14ac:dyDescent="0.25">
      <c r="A11964" s="1"/>
    </row>
    <row r="11965" spans="1:1" ht="46.5" customHeight="1" x14ac:dyDescent="0.25">
      <c r="A11965" s="1"/>
    </row>
    <row r="11966" spans="1:1" ht="46.5" customHeight="1" x14ac:dyDescent="0.25">
      <c r="A11966" s="1"/>
    </row>
    <row r="11967" spans="1:1" ht="46.5" customHeight="1" x14ac:dyDescent="0.25">
      <c r="A11967" s="1"/>
    </row>
    <row r="11968" spans="1:1" ht="46.5" customHeight="1" x14ac:dyDescent="0.25">
      <c r="A11968" s="1"/>
    </row>
    <row r="11969" spans="1:1" ht="46.5" customHeight="1" x14ac:dyDescent="0.25">
      <c r="A11969" s="1"/>
    </row>
    <row r="11970" spans="1:1" ht="46.5" customHeight="1" x14ac:dyDescent="0.25">
      <c r="A11970" s="1"/>
    </row>
    <row r="11971" spans="1:1" ht="46.5" customHeight="1" x14ac:dyDescent="0.25">
      <c r="A11971" s="1"/>
    </row>
    <row r="11972" spans="1:1" ht="46.5" customHeight="1" x14ac:dyDescent="0.25">
      <c r="A11972" s="1"/>
    </row>
    <row r="11973" spans="1:1" ht="46.5" customHeight="1" x14ac:dyDescent="0.25">
      <c r="A11973" s="1"/>
    </row>
    <row r="11974" spans="1:1" ht="46.5" customHeight="1" x14ac:dyDescent="0.25">
      <c r="A11974" s="1"/>
    </row>
    <row r="11975" spans="1:1" ht="46.5" customHeight="1" x14ac:dyDescent="0.25">
      <c r="A11975" s="1"/>
    </row>
    <row r="11976" spans="1:1" ht="46.5" customHeight="1" x14ac:dyDescent="0.25">
      <c r="A11976" s="1"/>
    </row>
    <row r="11977" spans="1:1" ht="46.5" customHeight="1" x14ac:dyDescent="0.25">
      <c r="A11977" s="1"/>
    </row>
    <row r="11978" spans="1:1" ht="46.5" customHeight="1" x14ac:dyDescent="0.25">
      <c r="A11978" s="1"/>
    </row>
    <row r="11979" spans="1:1" ht="46.5" customHeight="1" x14ac:dyDescent="0.25">
      <c r="A11979" s="1"/>
    </row>
    <row r="11980" spans="1:1" ht="46.5" customHeight="1" x14ac:dyDescent="0.25">
      <c r="A11980" s="1"/>
    </row>
    <row r="11981" spans="1:1" ht="46.5" customHeight="1" x14ac:dyDescent="0.25">
      <c r="A11981" s="1"/>
    </row>
    <row r="11982" spans="1:1" ht="46.5" customHeight="1" x14ac:dyDescent="0.25">
      <c r="A11982" s="1"/>
    </row>
    <row r="11983" spans="1:1" ht="46.5" customHeight="1" x14ac:dyDescent="0.25">
      <c r="A11983" s="1"/>
    </row>
    <row r="11984" spans="1:1" ht="46.5" customHeight="1" x14ac:dyDescent="0.25">
      <c r="A11984" s="1"/>
    </row>
    <row r="11985" spans="1:1" ht="46.5" customHeight="1" x14ac:dyDescent="0.25">
      <c r="A11985" s="1"/>
    </row>
    <row r="11986" spans="1:1" ht="46.5" customHeight="1" x14ac:dyDescent="0.25">
      <c r="A11986" s="1"/>
    </row>
    <row r="11987" spans="1:1" ht="46.5" customHeight="1" x14ac:dyDescent="0.25">
      <c r="A11987" s="1"/>
    </row>
    <row r="11988" spans="1:1" ht="46.5" customHeight="1" x14ac:dyDescent="0.25">
      <c r="A11988" s="1"/>
    </row>
    <row r="11989" spans="1:1" ht="46.5" customHeight="1" x14ac:dyDescent="0.25">
      <c r="A11989" s="1"/>
    </row>
    <row r="11990" spans="1:1" ht="46.5" customHeight="1" x14ac:dyDescent="0.25">
      <c r="A11990" s="1"/>
    </row>
    <row r="11991" spans="1:1" ht="46.5" customHeight="1" x14ac:dyDescent="0.25">
      <c r="A11991" s="1"/>
    </row>
    <row r="11992" spans="1:1" ht="46.5" customHeight="1" x14ac:dyDescent="0.25">
      <c r="A11992" s="1"/>
    </row>
    <row r="11993" spans="1:1" ht="46.5" customHeight="1" x14ac:dyDescent="0.25">
      <c r="A11993" s="1"/>
    </row>
    <row r="11994" spans="1:1" ht="46.5" customHeight="1" x14ac:dyDescent="0.25">
      <c r="A11994" s="1"/>
    </row>
    <row r="11995" spans="1:1" ht="46.5" customHeight="1" x14ac:dyDescent="0.25">
      <c r="A11995" s="1"/>
    </row>
    <row r="11996" spans="1:1" ht="46.5" customHeight="1" x14ac:dyDescent="0.25">
      <c r="A11996" s="1"/>
    </row>
    <row r="11997" spans="1:1" ht="46.5" customHeight="1" x14ac:dyDescent="0.25">
      <c r="A11997" s="1"/>
    </row>
    <row r="11998" spans="1:1" ht="46.5" customHeight="1" x14ac:dyDescent="0.25">
      <c r="A11998" s="1"/>
    </row>
    <row r="11999" spans="1:1" ht="46.5" customHeight="1" x14ac:dyDescent="0.25">
      <c r="A11999" s="1"/>
    </row>
    <row r="12000" spans="1:1" ht="46.5" customHeight="1" x14ac:dyDescent="0.25">
      <c r="A12000" s="1"/>
    </row>
    <row r="12001" spans="1:1" ht="46.5" customHeight="1" x14ac:dyDescent="0.25">
      <c r="A12001" s="1"/>
    </row>
    <row r="12002" spans="1:1" ht="46.5" customHeight="1" x14ac:dyDescent="0.25">
      <c r="A12002" s="1"/>
    </row>
    <row r="12003" spans="1:1" ht="46.5" customHeight="1" x14ac:dyDescent="0.25">
      <c r="A12003" s="1"/>
    </row>
    <row r="12004" spans="1:1" ht="46.5" customHeight="1" x14ac:dyDescent="0.25">
      <c r="A12004" s="1"/>
    </row>
    <row r="12005" spans="1:1" ht="46.5" customHeight="1" x14ac:dyDescent="0.25">
      <c r="A12005" s="1"/>
    </row>
    <row r="12006" spans="1:1" ht="46.5" customHeight="1" x14ac:dyDescent="0.25">
      <c r="A12006" s="1"/>
    </row>
    <row r="12007" spans="1:1" ht="46.5" customHeight="1" x14ac:dyDescent="0.25">
      <c r="A12007" s="1"/>
    </row>
    <row r="12008" spans="1:1" ht="46.5" customHeight="1" x14ac:dyDescent="0.25">
      <c r="A12008" s="1"/>
    </row>
    <row r="12009" spans="1:1" ht="46.5" customHeight="1" x14ac:dyDescent="0.25">
      <c r="A12009" s="1"/>
    </row>
    <row r="12010" spans="1:1" ht="46.5" customHeight="1" x14ac:dyDescent="0.25">
      <c r="A12010" s="1"/>
    </row>
    <row r="12011" spans="1:1" ht="46.5" customHeight="1" x14ac:dyDescent="0.25">
      <c r="A12011" s="1"/>
    </row>
    <row r="12012" spans="1:1" ht="46.5" customHeight="1" x14ac:dyDescent="0.25">
      <c r="A12012" s="1"/>
    </row>
    <row r="12013" spans="1:1" ht="46.5" customHeight="1" x14ac:dyDescent="0.25">
      <c r="A12013" s="1"/>
    </row>
    <row r="12014" spans="1:1" ht="46.5" customHeight="1" x14ac:dyDescent="0.25">
      <c r="A12014" s="1"/>
    </row>
    <row r="12015" spans="1:1" ht="46.5" customHeight="1" x14ac:dyDescent="0.25">
      <c r="A12015" s="1"/>
    </row>
    <row r="12016" spans="1:1" ht="46.5" customHeight="1" x14ac:dyDescent="0.25">
      <c r="A12016" s="1"/>
    </row>
    <row r="12017" spans="1:1" ht="46.5" customHeight="1" x14ac:dyDescent="0.25">
      <c r="A12017" s="1"/>
    </row>
    <row r="12018" spans="1:1" ht="46.5" customHeight="1" x14ac:dyDescent="0.25">
      <c r="A12018" s="1"/>
    </row>
    <row r="12019" spans="1:1" ht="46.5" customHeight="1" x14ac:dyDescent="0.25">
      <c r="A12019" s="1"/>
    </row>
    <row r="12020" spans="1:1" ht="46.5" customHeight="1" x14ac:dyDescent="0.25">
      <c r="A12020" s="1"/>
    </row>
    <row r="12021" spans="1:1" ht="46.5" customHeight="1" x14ac:dyDescent="0.25">
      <c r="A12021" s="1"/>
    </row>
    <row r="12022" spans="1:1" ht="46.5" customHeight="1" x14ac:dyDescent="0.25">
      <c r="A12022" s="1"/>
    </row>
    <row r="12023" spans="1:1" ht="46.5" customHeight="1" x14ac:dyDescent="0.25">
      <c r="A12023" s="1"/>
    </row>
    <row r="12024" spans="1:1" ht="46.5" customHeight="1" x14ac:dyDescent="0.25">
      <c r="A12024" s="1"/>
    </row>
    <row r="12025" spans="1:1" ht="46.5" customHeight="1" x14ac:dyDescent="0.25">
      <c r="A12025" s="1"/>
    </row>
    <row r="12026" spans="1:1" ht="46.5" customHeight="1" x14ac:dyDescent="0.25">
      <c r="A12026" s="1"/>
    </row>
    <row r="12027" spans="1:1" ht="46.5" customHeight="1" x14ac:dyDescent="0.25">
      <c r="A12027" s="1"/>
    </row>
    <row r="12028" spans="1:1" ht="46.5" customHeight="1" x14ac:dyDescent="0.25">
      <c r="A12028" s="1"/>
    </row>
    <row r="12029" spans="1:1" ht="46.5" customHeight="1" x14ac:dyDescent="0.25">
      <c r="A12029" s="1"/>
    </row>
    <row r="12030" spans="1:1" ht="46.5" customHeight="1" x14ac:dyDescent="0.25">
      <c r="A12030" s="1"/>
    </row>
    <row r="12031" spans="1:1" ht="46.5" customHeight="1" x14ac:dyDescent="0.25">
      <c r="A12031" s="1"/>
    </row>
    <row r="12032" spans="1:1" ht="46.5" customHeight="1" x14ac:dyDescent="0.25">
      <c r="A12032" s="1"/>
    </row>
    <row r="12033" spans="1:1" ht="46.5" customHeight="1" x14ac:dyDescent="0.25">
      <c r="A12033" s="1"/>
    </row>
    <row r="12034" spans="1:1" ht="46.5" customHeight="1" x14ac:dyDescent="0.25">
      <c r="A12034" s="1"/>
    </row>
    <row r="12035" spans="1:1" ht="46.5" customHeight="1" x14ac:dyDescent="0.25">
      <c r="A12035" s="1"/>
    </row>
    <row r="12036" spans="1:1" ht="46.5" customHeight="1" x14ac:dyDescent="0.25">
      <c r="A12036" s="1"/>
    </row>
    <row r="12037" spans="1:1" ht="46.5" customHeight="1" x14ac:dyDescent="0.25">
      <c r="A12037" s="1"/>
    </row>
    <row r="12038" spans="1:1" ht="46.5" customHeight="1" x14ac:dyDescent="0.25">
      <c r="A12038" s="1"/>
    </row>
    <row r="12039" spans="1:1" ht="46.5" customHeight="1" x14ac:dyDescent="0.25">
      <c r="A12039" s="1"/>
    </row>
    <row r="12040" spans="1:1" ht="46.5" customHeight="1" x14ac:dyDescent="0.25">
      <c r="A12040" s="1"/>
    </row>
    <row r="12041" spans="1:1" ht="46.5" customHeight="1" x14ac:dyDescent="0.25">
      <c r="A12041" s="1"/>
    </row>
    <row r="12042" spans="1:1" ht="46.5" customHeight="1" x14ac:dyDescent="0.25">
      <c r="A12042" s="1"/>
    </row>
    <row r="12043" spans="1:1" ht="46.5" customHeight="1" x14ac:dyDescent="0.25">
      <c r="A12043" s="1"/>
    </row>
    <row r="12044" spans="1:1" ht="46.5" customHeight="1" x14ac:dyDescent="0.25">
      <c r="A12044" s="1"/>
    </row>
    <row r="12045" spans="1:1" ht="46.5" customHeight="1" x14ac:dyDescent="0.25">
      <c r="A12045" s="1"/>
    </row>
    <row r="12046" spans="1:1" ht="46.5" customHeight="1" x14ac:dyDescent="0.25">
      <c r="A12046" s="1"/>
    </row>
    <row r="12047" spans="1:1" ht="46.5" customHeight="1" x14ac:dyDescent="0.25">
      <c r="A12047" s="1"/>
    </row>
    <row r="12048" spans="1:1" ht="46.5" customHeight="1" x14ac:dyDescent="0.25">
      <c r="A12048" s="1"/>
    </row>
    <row r="12049" spans="1:1" ht="46.5" customHeight="1" x14ac:dyDescent="0.25">
      <c r="A12049" s="1"/>
    </row>
    <row r="12050" spans="1:1" ht="46.5" customHeight="1" x14ac:dyDescent="0.25">
      <c r="A12050" s="1"/>
    </row>
    <row r="12051" spans="1:1" ht="46.5" customHeight="1" x14ac:dyDescent="0.25">
      <c r="A12051" s="1"/>
    </row>
    <row r="12052" spans="1:1" ht="46.5" customHeight="1" x14ac:dyDescent="0.25">
      <c r="A12052" s="1"/>
    </row>
    <row r="12053" spans="1:1" ht="46.5" customHeight="1" x14ac:dyDescent="0.25">
      <c r="A12053" s="1"/>
    </row>
    <row r="12054" spans="1:1" ht="46.5" customHeight="1" x14ac:dyDescent="0.25">
      <c r="A12054" s="1"/>
    </row>
    <row r="12055" spans="1:1" ht="46.5" customHeight="1" x14ac:dyDescent="0.25">
      <c r="A12055" s="1"/>
    </row>
    <row r="12056" spans="1:1" ht="46.5" customHeight="1" x14ac:dyDescent="0.25">
      <c r="A12056" s="1"/>
    </row>
    <row r="12057" spans="1:1" ht="46.5" customHeight="1" x14ac:dyDescent="0.25">
      <c r="A12057" s="1"/>
    </row>
    <row r="12058" spans="1:1" ht="46.5" customHeight="1" x14ac:dyDescent="0.25">
      <c r="A12058" s="1"/>
    </row>
    <row r="12059" spans="1:1" ht="46.5" customHeight="1" x14ac:dyDescent="0.25">
      <c r="A12059" s="1"/>
    </row>
    <row r="12060" spans="1:1" ht="46.5" customHeight="1" x14ac:dyDescent="0.25">
      <c r="A12060" s="1"/>
    </row>
    <row r="12061" spans="1:1" ht="46.5" customHeight="1" x14ac:dyDescent="0.25">
      <c r="A12061" s="1"/>
    </row>
    <row r="12062" spans="1:1" ht="46.5" customHeight="1" x14ac:dyDescent="0.25">
      <c r="A12062" s="1"/>
    </row>
    <row r="12063" spans="1:1" ht="46.5" customHeight="1" x14ac:dyDescent="0.25">
      <c r="A12063" s="1"/>
    </row>
    <row r="12064" spans="1:1" ht="46.5" customHeight="1" x14ac:dyDescent="0.25">
      <c r="A12064" s="1"/>
    </row>
    <row r="12065" spans="1:1" ht="46.5" customHeight="1" x14ac:dyDescent="0.25">
      <c r="A12065" s="1"/>
    </row>
    <row r="12066" spans="1:1" ht="46.5" customHeight="1" x14ac:dyDescent="0.25">
      <c r="A12066" s="1"/>
    </row>
    <row r="12067" spans="1:1" ht="46.5" customHeight="1" x14ac:dyDescent="0.25">
      <c r="A12067" s="1"/>
    </row>
    <row r="12068" spans="1:1" ht="46.5" customHeight="1" x14ac:dyDescent="0.25">
      <c r="A12068" s="1"/>
    </row>
    <row r="12069" spans="1:1" ht="46.5" customHeight="1" x14ac:dyDescent="0.25">
      <c r="A12069" s="1"/>
    </row>
    <row r="12070" spans="1:1" ht="46.5" customHeight="1" x14ac:dyDescent="0.25">
      <c r="A12070" s="1"/>
    </row>
    <row r="12071" spans="1:1" ht="46.5" customHeight="1" x14ac:dyDescent="0.25">
      <c r="A12071" s="1"/>
    </row>
    <row r="12072" spans="1:1" ht="46.5" customHeight="1" x14ac:dyDescent="0.25">
      <c r="A12072" s="1"/>
    </row>
    <row r="12073" spans="1:1" ht="46.5" customHeight="1" x14ac:dyDescent="0.25">
      <c r="A12073" s="1"/>
    </row>
    <row r="12074" spans="1:1" ht="46.5" customHeight="1" x14ac:dyDescent="0.25">
      <c r="A12074" s="1"/>
    </row>
    <row r="12075" spans="1:1" ht="46.5" customHeight="1" x14ac:dyDescent="0.25">
      <c r="A12075" s="1"/>
    </row>
    <row r="12076" spans="1:1" ht="46.5" customHeight="1" x14ac:dyDescent="0.25">
      <c r="A12076" s="1"/>
    </row>
    <row r="12077" spans="1:1" ht="46.5" customHeight="1" x14ac:dyDescent="0.25">
      <c r="A12077" s="1"/>
    </row>
    <row r="12078" spans="1:1" ht="46.5" customHeight="1" x14ac:dyDescent="0.25">
      <c r="A12078" s="1"/>
    </row>
    <row r="12079" spans="1:1" ht="46.5" customHeight="1" x14ac:dyDescent="0.25">
      <c r="A12079" s="1"/>
    </row>
    <row r="12080" spans="1:1" ht="46.5" customHeight="1" x14ac:dyDescent="0.25">
      <c r="A12080" s="1"/>
    </row>
    <row r="12081" spans="1:1" ht="46.5" customHeight="1" x14ac:dyDescent="0.25">
      <c r="A12081" s="1"/>
    </row>
    <row r="12082" spans="1:1" ht="46.5" customHeight="1" x14ac:dyDescent="0.25">
      <c r="A12082" s="1"/>
    </row>
    <row r="12083" spans="1:1" ht="46.5" customHeight="1" x14ac:dyDescent="0.25">
      <c r="A12083" s="1"/>
    </row>
    <row r="12084" spans="1:1" ht="46.5" customHeight="1" x14ac:dyDescent="0.25">
      <c r="A12084" s="1"/>
    </row>
    <row r="12085" spans="1:1" ht="46.5" customHeight="1" x14ac:dyDescent="0.25">
      <c r="A12085" s="1"/>
    </row>
    <row r="12086" spans="1:1" ht="46.5" customHeight="1" x14ac:dyDescent="0.25">
      <c r="A12086" s="1"/>
    </row>
    <row r="12087" spans="1:1" ht="46.5" customHeight="1" x14ac:dyDescent="0.25">
      <c r="A12087" s="1"/>
    </row>
    <row r="12088" spans="1:1" ht="46.5" customHeight="1" x14ac:dyDescent="0.25">
      <c r="A12088" s="1"/>
    </row>
    <row r="12089" spans="1:1" ht="46.5" customHeight="1" x14ac:dyDescent="0.25">
      <c r="A12089" s="1"/>
    </row>
    <row r="12090" spans="1:1" ht="46.5" customHeight="1" x14ac:dyDescent="0.25">
      <c r="A12090" s="1"/>
    </row>
    <row r="12091" spans="1:1" ht="46.5" customHeight="1" x14ac:dyDescent="0.25">
      <c r="A12091" s="1"/>
    </row>
    <row r="12092" spans="1:1" ht="46.5" customHeight="1" x14ac:dyDescent="0.25">
      <c r="A12092" s="1"/>
    </row>
    <row r="12093" spans="1:1" ht="46.5" customHeight="1" x14ac:dyDescent="0.25">
      <c r="A12093" s="1"/>
    </row>
    <row r="12094" spans="1:1" ht="46.5" customHeight="1" x14ac:dyDescent="0.25">
      <c r="A12094" s="1"/>
    </row>
    <row r="12095" spans="1:1" ht="46.5" customHeight="1" x14ac:dyDescent="0.25">
      <c r="A12095" s="1"/>
    </row>
    <row r="12096" spans="1:1" ht="46.5" customHeight="1" x14ac:dyDescent="0.25">
      <c r="A12096" s="1"/>
    </row>
    <row r="12097" spans="1:1" ht="46.5" customHeight="1" x14ac:dyDescent="0.25">
      <c r="A12097" s="1"/>
    </row>
    <row r="12098" spans="1:1" ht="46.5" customHeight="1" x14ac:dyDescent="0.25">
      <c r="A12098" s="1"/>
    </row>
    <row r="12099" spans="1:1" ht="46.5" customHeight="1" x14ac:dyDescent="0.25">
      <c r="A12099" s="1"/>
    </row>
    <row r="12100" spans="1:1" ht="46.5" customHeight="1" x14ac:dyDescent="0.25">
      <c r="A12100" s="1"/>
    </row>
    <row r="12101" spans="1:1" ht="46.5" customHeight="1" x14ac:dyDescent="0.25">
      <c r="A12101" s="1"/>
    </row>
    <row r="12102" spans="1:1" ht="46.5" customHeight="1" x14ac:dyDescent="0.25">
      <c r="A12102" s="1"/>
    </row>
    <row r="12103" spans="1:1" ht="46.5" customHeight="1" x14ac:dyDescent="0.25">
      <c r="A12103" s="1"/>
    </row>
    <row r="12104" spans="1:1" ht="46.5" customHeight="1" x14ac:dyDescent="0.25">
      <c r="A12104" s="1"/>
    </row>
    <row r="12105" spans="1:1" ht="46.5" customHeight="1" x14ac:dyDescent="0.25">
      <c r="A12105" s="1"/>
    </row>
    <row r="12106" spans="1:1" ht="46.5" customHeight="1" x14ac:dyDescent="0.25">
      <c r="A12106" s="1"/>
    </row>
    <row r="12107" spans="1:1" ht="46.5" customHeight="1" x14ac:dyDescent="0.25">
      <c r="A12107" s="1"/>
    </row>
    <row r="12108" spans="1:1" ht="46.5" customHeight="1" x14ac:dyDescent="0.25">
      <c r="A12108" s="1"/>
    </row>
    <row r="12109" spans="1:1" ht="46.5" customHeight="1" x14ac:dyDescent="0.25">
      <c r="A12109" s="1"/>
    </row>
    <row r="12110" spans="1:1" ht="46.5" customHeight="1" x14ac:dyDescent="0.25">
      <c r="A12110" s="1"/>
    </row>
    <row r="12111" spans="1:1" ht="46.5" customHeight="1" x14ac:dyDescent="0.25">
      <c r="A12111" s="1"/>
    </row>
    <row r="12112" spans="1:1" ht="46.5" customHeight="1" x14ac:dyDescent="0.25">
      <c r="A12112" s="1"/>
    </row>
    <row r="12113" spans="1:1" ht="46.5" customHeight="1" x14ac:dyDescent="0.25">
      <c r="A12113" s="1"/>
    </row>
    <row r="12114" spans="1:1" ht="46.5" customHeight="1" x14ac:dyDescent="0.25">
      <c r="A12114" s="1"/>
    </row>
    <row r="12115" spans="1:1" ht="46.5" customHeight="1" x14ac:dyDescent="0.25">
      <c r="A12115" s="1"/>
    </row>
    <row r="12116" spans="1:1" ht="46.5" customHeight="1" x14ac:dyDescent="0.25">
      <c r="A12116" s="1"/>
    </row>
    <row r="12117" spans="1:1" ht="46.5" customHeight="1" x14ac:dyDescent="0.25">
      <c r="A12117" s="1"/>
    </row>
    <row r="12118" spans="1:1" ht="46.5" customHeight="1" x14ac:dyDescent="0.25">
      <c r="A12118" s="1"/>
    </row>
    <row r="12119" spans="1:1" ht="46.5" customHeight="1" x14ac:dyDescent="0.25">
      <c r="A12119" s="1"/>
    </row>
    <row r="12120" spans="1:1" ht="46.5" customHeight="1" x14ac:dyDescent="0.25">
      <c r="A12120" s="1"/>
    </row>
    <row r="12121" spans="1:1" ht="46.5" customHeight="1" x14ac:dyDescent="0.25">
      <c r="A12121" s="1"/>
    </row>
    <row r="12122" spans="1:1" ht="46.5" customHeight="1" x14ac:dyDescent="0.25">
      <c r="A12122" s="1"/>
    </row>
    <row r="12123" spans="1:1" ht="46.5" customHeight="1" x14ac:dyDescent="0.25">
      <c r="A12123" s="1"/>
    </row>
    <row r="12124" spans="1:1" ht="46.5" customHeight="1" x14ac:dyDescent="0.25">
      <c r="A12124" s="1"/>
    </row>
    <row r="12125" spans="1:1" ht="46.5" customHeight="1" x14ac:dyDescent="0.25">
      <c r="A12125" s="1"/>
    </row>
    <row r="12126" spans="1:1" ht="46.5" customHeight="1" x14ac:dyDescent="0.25">
      <c r="A12126" s="1"/>
    </row>
    <row r="12127" spans="1:1" ht="46.5" customHeight="1" x14ac:dyDescent="0.25">
      <c r="A12127" s="1"/>
    </row>
    <row r="12128" spans="1:1" ht="46.5" customHeight="1" x14ac:dyDescent="0.25">
      <c r="A12128" s="1"/>
    </row>
    <row r="12129" spans="1:1" ht="46.5" customHeight="1" x14ac:dyDescent="0.25">
      <c r="A12129" s="1"/>
    </row>
    <row r="12130" spans="1:1" ht="46.5" customHeight="1" x14ac:dyDescent="0.25">
      <c r="A12130" s="1"/>
    </row>
    <row r="12131" spans="1:1" ht="46.5" customHeight="1" x14ac:dyDescent="0.25">
      <c r="A12131" s="1"/>
    </row>
    <row r="12132" spans="1:1" ht="46.5" customHeight="1" x14ac:dyDescent="0.25">
      <c r="A12132" s="1"/>
    </row>
    <row r="12133" spans="1:1" ht="46.5" customHeight="1" x14ac:dyDescent="0.25">
      <c r="A12133" s="1"/>
    </row>
    <row r="12134" spans="1:1" ht="46.5" customHeight="1" x14ac:dyDescent="0.25">
      <c r="A12134" s="1"/>
    </row>
    <row r="12135" spans="1:1" ht="46.5" customHeight="1" x14ac:dyDescent="0.25">
      <c r="A12135" s="1"/>
    </row>
    <row r="12136" spans="1:1" ht="46.5" customHeight="1" x14ac:dyDescent="0.25">
      <c r="A12136" s="1"/>
    </row>
    <row r="12137" spans="1:1" ht="46.5" customHeight="1" x14ac:dyDescent="0.25">
      <c r="A12137" s="1"/>
    </row>
    <row r="12138" spans="1:1" ht="46.5" customHeight="1" x14ac:dyDescent="0.25">
      <c r="A12138" s="1"/>
    </row>
    <row r="12139" spans="1:1" ht="46.5" customHeight="1" x14ac:dyDescent="0.25">
      <c r="A12139" s="1"/>
    </row>
    <row r="12140" spans="1:1" ht="46.5" customHeight="1" x14ac:dyDescent="0.25">
      <c r="A12140" s="1"/>
    </row>
    <row r="12141" spans="1:1" ht="46.5" customHeight="1" x14ac:dyDescent="0.25">
      <c r="A12141" s="1"/>
    </row>
    <row r="12142" spans="1:1" ht="46.5" customHeight="1" x14ac:dyDescent="0.25">
      <c r="A12142" s="1"/>
    </row>
    <row r="12143" spans="1:1" ht="46.5" customHeight="1" x14ac:dyDescent="0.25">
      <c r="A12143" s="1"/>
    </row>
    <row r="12144" spans="1:1" ht="46.5" customHeight="1" x14ac:dyDescent="0.25">
      <c r="A12144" s="1"/>
    </row>
    <row r="12145" spans="1:1" ht="46.5" customHeight="1" x14ac:dyDescent="0.25">
      <c r="A12145" s="1"/>
    </row>
    <row r="12146" spans="1:1" ht="46.5" customHeight="1" x14ac:dyDescent="0.25">
      <c r="A12146" s="1"/>
    </row>
    <row r="12147" spans="1:1" ht="46.5" customHeight="1" x14ac:dyDescent="0.25">
      <c r="A12147" s="1"/>
    </row>
    <row r="12148" spans="1:1" ht="46.5" customHeight="1" x14ac:dyDescent="0.25">
      <c r="A12148" s="1"/>
    </row>
    <row r="12149" spans="1:1" ht="46.5" customHeight="1" x14ac:dyDescent="0.25">
      <c r="A12149" s="1"/>
    </row>
    <row r="12150" spans="1:1" ht="46.5" customHeight="1" x14ac:dyDescent="0.25">
      <c r="A12150" s="1"/>
    </row>
    <row r="12151" spans="1:1" ht="46.5" customHeight="1" x14ac:dyDescent="0.25">
      <c r="A12151" s="1"/>
    </row>
    <row r="12152" spans="1:1" ht="46.5" customHeight="1" x14ac:dyDescent="0.25">
      <c r="A12152" s="1"/>
    </row>
    <row r="12153" spans="1:1" ht="46.5" customHeight="1" x14ac:dyDescent="0.25">
      <c r="A12153" s="1"/>
    </row>
    <row r="12154" spans="1:1" ht="46.5" customHeight="1" x14ac:dyDescent="0.25">
      <c r="A12154" s="1"/>
    </row>
    <row r="12155" spans="1:1" ht="46.5" customHeight="1" x14ac:dyDescent="0.25">
      <c r="A12155" s="1"/>
    </row>
    <row r="12156" spans="1:1" ht="46.5" customHeight="1" x14ac:dyDescent="0.25">
      <c r="A12156" s="1"/>
    </row>
    <row r="12157" spans="1:1" ht="46.5" customHeight="1" x14ac:dyDescent="0.25">
      <c r="A12157" s="1"/>
    </row>
    <row r="12158" spans="1:1" ht="46.5" customHeight="1" x14ac:dyDescent="0.25">
      <c r="A12158" s="1"/>
    </row>
    <row r="12159" spans="1:1" ht="46.5" customHeight="1" x14ac:dyDescent="0.25">
      <c r="A12159" s="1"/>
    </row>
    <row r="12160" spans="1:1" ht="46.5" customHeight="1" x14ac:dyDescent="0.25">
      <c r="A12160" s="1"/>
    </row>
    <row r="12161" spans="1:1" ht="46.5" customHeight="1" x14ac:dyDescent="0.25">
      <c r="A12161" s="1"/>
    </row>
    <row r="12162" spans="1:1" ht="46.5" customHeight="1" x14ac:dyDescent="0.25">
      <c r="A12162" s="1"/>
    </row>
    <row r="12163" spans="1:1" ht="46.5" customHeight="1" x14ac:dyDescent="0.25">
      <c r="A12163" s="1"/>
    </row>
    <row r="12164" spans="1:1" ht="46.5" customHeight="1" x14ac:dyDescent="0.25">
      <c r="A12164" s="1"/>
    </row>
    <row r="12165" spans="1:1" ht="46.5" customHeight="1" x14ac:dyDescent="0.25">
      <c r="A12165" s="1"/>
    </row>
    <row r="12166" spans="1:1" ht="46.5" customHeight="1" x14ac:dyDescent="0.25">
      <c r="A12166" s="1"/>
    </row>
    <row r="12167" spans="1:1" ht="46.5" customHeight="1" x14ac:dyDescent="0.25">
      <c r="A12167" s="1"/>
    </row>
    <row r="12168" spans="1:1" ht="46.5" customHeight="1" x14ac:dyDescent="0.25">
      <c r="A12168" s="1"/>
    </row>
    <row r="12169" spans="1:1" ht="46.5" customHeight="1" x14ac:dyDescent="0.25">
      <c r="A12169" s="1"/>
    </row>
    <row r="12170" spans="1:1" ht="46.5" customHeight="1" x14ac:dyDescent="0.25">
      <c r="A12170" s="1"/>
    </row>
    <row r="12171" spans="1:1" ht="46.5" customHeight="1" x14ac:dyDescent="0.25">
      <c r="A12171" s="1"/>
    </row>
    <row r="12172" spans="1:1" ht="46.5" customHeight="1" x14ac:dyDescent="0.25">
      <c r="A12172" s="1"/>
    </row>
    <row r="12173" spans="1:1" ht="46.5" customHeight="1" x14ac:dyDescent="0.25">
      <c r="A12173" s="1"/>
    </row>
    <row r="12174" spans="1:1" ht="46.5" customHeight="1" x14ac:dyDescent="0.25">
      <c r="A12174" s="1"/>
    </row>
    <row r="12175" spans="1:1" ht="46.5" customHeight="1" x14ac:dyDescent="0.25">
      <c r="A12175" s="1"/>
    </row>
    <row r="12176" spans="1:1" ht="46.5" customHeight="1" x14ac:dyDescent="0.25">
      <c r="A12176" s="1"/>
    </row>
    <row r="12177" spans="1:1" ht="46.5" customHeight="1" x14ac:dyDescent="0.25">
      <c r="A12177" s="1"/>
    </row>
    <row r="12178" spans="1:1" ht="46.5" customHeight="1" x14ac:dyDescent="0.25">
      <c r="A12178" s="1"/>
    </row>
    <row r="12179" spans="1:1" ht="46.5" customHeight="1" x14ac:dyDescent="0.25">
      <c r="A12179" s="1"/>
    </row>
    <row r="12180" spans="1:1" ht="46.5" customHeight="1" x14ac:dyDescent="0.25">
      <c r="A12180" s="1"/>
    </row>
    <row r="12181" spans="1:1" ht="46.5" customHeight="1" x14ac:dyDescent="0.25">
      <c r="A12181" s="1"/>
    </row>
    <row r="12182" spans="1:1" ht="46.5" customHeight="1" x14ac:dyDescent="0.25">
      <c r="A12182" s="1"/>
    </row>
    <row r="12183" spans="1:1" ht="46.5" customHeight="1" x14ac:dyDescent="0.25">
      <c r="A12183" s="1"/>
    </row>
    <row r="12184" spans="1:1" ht="46.5" customHeight="1" x14ac:dyDescent="0.25">
      <c r="A12184" s="1"/>
    </row>
    <row r="12185" spans="1:1" ht="46.5" customHeight="1" x14ac:dyDescent="0.25">
      <c r="A12185" s="1"/>
    </row>
    <row r="12186" spans="1:1" ht="46.5" customHeight="1" x14ac:dyDescent="0.25">
      <c r="A12186" s="1"/>
    </row>
    <row r="12187" spans="1:1" ht="46.5" customHeight="1" x14ac:dyDescent="0.25">
      <c r="A12187" s="1"/>
    </row>
    <row r="12188" spans="1:1" ht="46.5" customHeight="1" x14ac:dyDescent="0.25">
      <c r="A12188" s="1"/>
    </row>
    <row r="12189" spans="1:1" ht="46.5" customHeight="1" x14ac:dyDescent="0.25">
      <c r="A12189" s="1"/>
    </row>
    <row r="12190" spans="1:1" ht="46.5" customHeight="1" x14ac:dyDescent="0.25">
      <c r="A12190" s="1"/>
    </row>
    <row r="12191" spans="1:1" ht="46.5" customHeight="1" x14ac:dyDescent="0.25">
      <c r="A12191" s="1"/>
    </row>
    <row r="12192" spans="1:1" ht="46.5" customHeight="1" x14ac:dyDescent="0.25">
      <c r="A12192" s="1"/>
    </row>
    <row r="12193" spans="1:1" ht="46.5" customHeight="1" x14ac:dyDescent="0.25">
      <c r="A12193" s="1"/>
    </row>
    <row r="12194" spans="1:1" ht="46.5" customHeight="1" x14ac:dyDescent="0.25">
      <c r="A12194" s="1"/>
    </row>
    <row r="12195" spans="1:1" ht="46.5" customHeight="1" x14ac:dyDescent="0.25">
      <c r="A12195" s="1"/>
    </row>
    <row r="12196" spans="1:1" ht="46.5" customHeight="1" x14ac:dyDescent="0.25">
      <c r="A12196" s="1"/>
    </row>
    <row r="12197" spans="1:1" ht="46.5" customHeight="1" x14ac:dyDescent="0.25">
      <c r="A12197" s="1"/>
    </row>
    <row r="12198" spans="1:1" ht="46.5" customHeight="1" x14ac:dyDescent="0.25">
      <c r="A12198" s="1"/>
    </row>
    <row r="12199" spans="1:1" ht="46.5" customHeight="1" x14ac:dyDescent="0.25">
      <c r="A12199" s="1"/>
    </row>
    <row r="12200" spans="1:1" ht="46.5" customHeight="1" x14ac:dyDescent="0.25">
      <c r="A12200" s="1"/>
    </row>
    <row r="12201" spans="1:1" ht="46.5" customHeight="1" x14ac:dyDescent="0.25">
      <c r="A12201" s="1"/>
    </row>
    <row r="12202" spans="1:1" ht="46.5" customHeight="1" x14ac:dyDescent="0.25">
      <c r="A12202" s="1"/>
    </row>
    <row r="12203" spans="1:1" ht="46.5" customHeight="1" x14ac:dyDescent="0.25">
      <c r="A12203" s="1"/>
    </row>
    <row r="12204" spans="1:1" ht="46.5" customHeight="1" x14ac:dyDescent="0.25">
      <c r="A12204" s="1"/>
    </row>
    <row r="12205" spans="1:1" ht="46.5" customHeight="1" x14ac:dyDescent="0.25">
      <c r="A12205" s="1"/>
    </row>
    <row r="12206" spans="1:1" ht="46.5" customHeight="1" x14ac:dyDescent="0.25">
      <c r="A12206" s="1"/>
    </row>
    <row r="12207" spans="1:1" ht="46.5" customHeight="1" x14ac:dyDescent="0.25">
      <c r="A12207" s="1"/>
    </row>
    <row r="12208" spans="1:1" ht="46.5" customHeight="1" x14ac:dyDescent="0.25">
      <c r="A12208" s="1"/>
    </row>
    <row r="12209" spans="1:1" ht="46.5" customHeight="1" x14ac:dyDescent="0.25">
      <c r="A12209" s="1"/>
    </row>
    <row r="12210" spans="1:1" ht="46.5" customHeight="1" x14ac:dyDescent="0.25">
      <c r="A12210" s="1"/>
    </row>
    <row r="12211" spans="1:1" ht="46.5" customHeight="1" x14ac:dyDescent="0.25">
      <c r="A12211" s="1"/>
    </row>
    <row r="12212" spans="1:1" ht="46.5" customHeight="1" x14ac:dyDescent="0.25">
      <c r="A12212" s="1"/>
    </row>
    <row r="12213" spans="1:1" ht="46.5" customHeight="1" x14ac:dyDescent="0.25">
      <c r="A12213" s="1"/>
    </row>
    <row r="12214" spans="1:1" ht="46.5" customHeight="1" x14ac:dyDescent="0.25">
      <c r="A12214" s="1"/>
    </row>
    <row r="12215" spans="1:1" ht="46.5" customHeight="1" x14ac:dyDescent="0.25">
      <c r="A12215" s="1"/>
    </row>
    <row r="12216" spans="1:1" ht="46.5" customHeight="1" x14ac:dyDescent="0.25">
      <c r="A12216" s="1"/>
    </row>
    <row r="12217" spans="1:1" ht="46.5" customHeight="1" x14ac:dyDescent="0.25">
      <c r="A12217" s="1"/>
    </row>
    <row r="12218" spans="1:1" ht="46.5" customHeight="1" x14ac:dyDescent="0.25">
      <c r="A12218" s="1"/>
    </row>
    <row r="12219" spans="1:1" ht="46.5" customHeight="1" x14ac:dyDescent="0.25">
      <c r="A12219" s="1"/>
    </row>
    <row r="12220" spans="1:1" ht="46.5" customHeight="1" x14ac:dyDescent="0.25">
      <c r="A12220" s="1"/>
    </row>
    <row r="12221" spans="1:1" ht="46.5" customHeight="1" x14ac:dyDescent="0.25">
      <c r="A12221" s="1"/>
    </row>
    <row r="12222" spans="1:1" ht="46.5" customHeight="1" x14ac:dyDescent="0.25">
      <c r="A12222" s="1"/>
    </row>
    <row r="12223" spans="1:1" ht="46.5" customHeight="1" x14ac:dyDescent="0.25">
      <c r="A12223" s="1"/>
    </row>
    <row r="12224" spans="1:1" ht="46.5" customHeight="1" x14ac:dyDescent="0.25">
      <c r="A12224" s="1"/>
    </row>
    <row r="12225" spans="1:1" ht="46.5" customHeight="1" x14ac:dyDescent="0.25">
      <c r="A12225" s="1"/>
    </row>
    <row r="12226" spans="1:1" ht="46.5" customHeight="1" x14ac:dyDescent="0.25">
      <c r="A12226" s="1"/>
    </row>
    <row r="12227" spans="1:1" ht="46.5" customHeight="1" x14ac:dyDescent="0.25">
      <c r="A12227" s="1"/>
    </row>
    <row r="12228" spans="1:1" ht="46.5" customHeight="1" x14ac:dyDescent="0.25">
      <c r="A12228" s="1"/>
    </row>
    <row r="12229" spans="1:1" ht="46.5" customHeight="1" x14ac:dyDescent="0.25">
      <c r="A12229" s="1"/>
    </row>
    <row r="12230" spans="1:1" ht="46.5" customHeight="1" x14ac:dyDescent="0.25">
      <c r="A12230" s="1"/>
    </row>
    <row r="12231" spans="1:1" ht="46.5" customHeight="1" x14ac:dyDescent="0.25">
      <c r="A12231" s="1"/>
    </row>
    <row r="12232" spans="1:1" ht="46.5" customHeight="1" x14ac:dyDescent="0.25">
      <c r="A12232" s="1"/>
    </row>
    <row r="12233" spans="1:1" ht="46.5" customHeight="1" x14ac:dyDescent="0.25">
      <c r="A12233" s="1"/>
    </row>
    <row r="12234" spans="1:1" ht="46.5" customHeight="1" x14ac:dyDescent="0.25">
      <c r="A12234" s="1"/>
    </row>
    <row r="12235" spans="1:1" ht="46.5" customHeight="1" x14ac:dyDescent="0.25">
      <c r="A12235" s="1"/>
    </row>
    <row r="12236" spans="1:1" ht="46.5" customHeight="1" x14ac:dyDescent="0.25">
      <c r="A12236" s="1"/>
    </row>
    <row r="12237" spans="1:1" ht="46.5" customHeight="1" x14ac:dyDescent="0.25">
      <c r="A12237" s="1"/>
    </row>
    <row r="12238" spans="1:1" ht="46.5" customHeight="1" x14ac:dyDescent="0.25">
      <c r="A12238" s="1"/>
    </row>
    <row r="12239" spans="1:1" ht="46.5" customHeight="1" x14ac:dyDescent="0.25">
      <c r="A12239" s="1"/>
    </row>
    <row r="12240" spans="1:1" ht="46.5" customHeight="1" x14ac:dyDescent="0.25">
      <c r="A12240" s="1"/>
    </row>
    <row r="12241" spans="1:1" ht="46.5" customHeight="1" x14ac:dyDescent="0.25">
      <c r="A12241" s="1"/>
    </row>
    <row r="12242" spans="1:1" ht="46.5" customHeight="1" x14ac:dyDescent="0.25">
      <c r="A12242" s="1"/>
    </row>
    <row r="12243" spans="1:1" ht="46.5" customHeight="1" x14ac:dyDescent="0.25">
      <c r="A12243" s="1"/>
    </row>
    <row r="12244" spans="1:1" ht="46.5" customHeight="1" x14ac:dyDescent="0.25">
      <c r="A12244" s="1"/>
    </row>
    <row r="12245" spans="1:1" ht="46.5" customHeight="1" x14ac:dyDescent="0.25">
      <c r="A12245" s="1"/>
    </row>
    <row r="12246" spans="1:1" ht="46.5" customHeight="1" x14ac:dyDescent="0.25">
      <c r="A12246" s="1"/>
    </row>
    <row r="12247" spans="1:1" ht="46.5" customHeight="1" x14ac:dyDescent="0.25">
      <c r="A12247" s="1"/>
    </row>
    <row r="12248" spans="1:1" ht="46.5" customHeight="1" x14ac:dyDescent="0.25">
      <c r="A12248" s="1"/>
    </row>
    <row r="12249" spans="1:1" ht="46.5" customHeight="1" x14ac:dyDescent="0.25">
      <c r="A12249" s="1"/>
    </row>
    <row r="12250" spans="1:1" ht="46.5" customHeight="1" x14ac:dyDescent="0.25">
      <c r="A12250" s="1"/>
    </row>
    <row r="12251" spans="1:1" ht="46.5" customHeight="1" x14ac:dyDescent="0.25">
      <c r="A12251" s="1"/>
    </row>
    <row r="12252" spans="1:1" ht="46.5" customHeight="1" x14ac:dyDescent="0.25">
      <c r="A12252" s="1"/>
    </row>
    <row r="12253" spans="1:1" ht="46.5" customHeight="1" x14ac:dyDescent="0.25">
      <c r="A12253" s="1"/>
    </row>
    <row r="12254" spans="1:1" ht="46.5" customHeight="1" x14ac:dyDescent="0.25">
      <c r="A12254" s="1"/>
    </row>
    <row r="12255" spans="1:1" ht="46.5" customHeight="1" x14ac:dyDescent="0.25">
      <c r="A12255" s="1"/>
    </row>
    <row r="12256" spans="1:1" ht="46.5" customHeight="1" x14ac:dyDescent="0.25">
      <c r="A12256" s="1"/>
    </row>
    <row r="12257" spans="1:1" ht="46.5" customHeight="1" x14ac:dyDescent="0.25">
      <c r="A12257" s="1"/>
    </row>
    <row r="12258" spans="1:1" ht="46.5" customHeight="1" x14ac:dyDescent="0.25">
      <c r="A12258" s="1"/>
    </row>
    <row r="12259" spans="1:1" ht="46.5" customHeight="1" x14ac:dyDescent="0.25">
      <c r="A12259" s="1"/>
    </row>
    <row r="12260" spans="1:1" ht="46.5" customHeight="1" x14ac:dyDescent="0.25">
      <c r="A12260" s="1"/>
    </row>
    <row r="12261" spans="1:1" ht="46.5" customHeight="1" x14ac:dyDescent="0.25">
      <c r="A12261" s="1"/>
    </row>
    <row r="12262" spans="1:1" ht="46.5" customHeight="1" x14ac:dyDescent="0.25">
      <c r="A12262" s="1"/>
    </row>
    <row r="12263" spans="1:1" ht="46.5" customHeight="1" x14ac:dyDescent="0.25">
      <c r="A12263" s="1"/>
    </row>
    <row r="12264" spans="1:1" ht="46.5" customHeight="1" x14ac:dyDescent="0.25">
      <c r="A12264" s="1"/>
    </row>
    <row r="12265" spans="1:1" ht="46.5" customHeight="1" x14ac:dyDescent="0.25">
      <c r="A12265" s="1"/>
    </row>
    <row r="12266" spans="1:1" ht="46.5" customHeight="1" x14ac:dyDescent="0.25">
      <c r="A12266" s="1"/>
    </row>
    <row r="12267" spans="1:1" ht="46.5" customHeight="1" x14ac:dyDescent="0.25">
      <c r="A12267" s="1"/>
    </row>
    <row r="12268" spans="1:1" ht="46.5" customHeight="1" x14ac:dyDescent="0.25">
      <c r="A12268" s="1"/>
    </row>
    <row r="12269" spans="1:1" ht="46.5" customHeight="1" x14ac:dyDescent="0.25">
      <c r="A12269" s="1"/>
    </row>
    <row r="12270" spans="1:1" ht="46.5" customHeight="1" x14ac:dyDescent="0.25">
      <c r="A12270" s="1"/>
    </row>
    <row r="12271" spans="1:1" ht="46.5" customHeight="1" x14ac:dyDescent="0.25">
      <c r="A12271" s="1"/>
    </row>
    <row r="12272" spans="1:1" ht="46.5" customHeight="1" x14ac:dyDescent="0.25">
      <c r="A12272" s="1"/>
    </row>
    <row r="12273" spans="1:1" ht="46.5" customHeight="1" x14ac:dyDescent="0.25">
      <c r="A12273" s="1"/>
    </row>
    <row r="12274" spans="1:1" ht="46.5" customHeight="1" x14ac:dyDescent="0.25">
      <c r="A12274" s="1"/>
    </row>
    <row r="12275" spans="1:1" ht="46.5" customHeight="1" x14ac:dyDescent="0.25">
      <c r="A12275" s="1"/>
    </row>
    <row r="12276" spans="1:1" ht="46.5" customHeight="1" x14ac:dyDescent="0.25">
      <c r="A12276" s="1"/>
    </row>
    <row r="12277" spans="1:1" ht="46.5" customHeight="1" x14ac:dyDescent="0.25">
      <c r="A12277" s="1"/>
    </row>
    <row r="12278" spans="1:1" ht="46.5" customHeight="1" x14ac:dyDescent="0.25">
      <c r="A12278" s="1"/>
    </row>
    <row r="12279" spans="1:1" ht="46.5" customHeight="1" x14ac:dyDescent="0.25">
      <c r="A12279" s="1"/>
    </row>
    <row r="12280" spans="1:1" ht="46.5" customHeight="1" x14ac:dyDescent="0.25">
      <c r="A12280" s="1"/>
    </row>
    <row r="12281" spans="1:1" ht="46.5" customHeight="1" x14ac:dyDescent="0.25">
      <c r="A12281" s="1"/>
    </row>
    <row r="12282" spans="1:1" ht="46.5" customHeight="1" x14ac:dyDescent="0.25">
      <c r="A12282" s="1"/>
    </row>
    <row r="12283" spans="1:1" ht="46.5" customHeight="1" x14ac:dyDescent="0.25">
      <c r="A12283" s="1"/>
    </row>
    <row r="12284" spans="1:1" ht="46.5" customHeight="1" x14ac:dyDescent="0.25">
      <c r="A12284" s="1"/>
    </row>
    <row r="12285" spans="1:1" ht="46.5" customHeight="1" x14ac:dyDescent="0.25">
      <c r="A12285" s="1"/>
    </row>
    <row r="12286" spans="1:1" ht="46.5" customHeight="1" x14ac:dyDescent="0.25">
      <c r="A12286" s="1"/>
    </row>
    <row r="12287" spans="1:1" ht="46.5" customHeight="1" x14ac:dyDescent="0.25">
      <c r="A12287" s="1"/>
    </row>
    <row r="12288" spans="1:1" ht="46.5" customHeight="1" x14ac:dyDescent="0.25">
      <c r="A12288" s="1"/>
    </row>
    <row r="12289" spans="1:1" ht="46.5" customHeight="1" x14ac:dyDescent="0.25">
      <c r="A12289" s="1"/>
    </row>
    <row r="12290" spans="1:1" ht="46.5" customHeight="1" x14ac:dyDescent="0.25">
      <c r="A12290" s="1"/>
    </row>
    <row r="12291" spans="1:1" ht="46.5" customHeight="1" x14ac:dyDescent="0.25">
      <c r="A12291" s="1"/>
    </row>
    <row r="12292" spans="1:1" ht="46.5" customHeight="1" x14ac:dyDescent="0.25">
      <c r="A12292" s="1"/>
    </row>
    <row r="12293" spans="1:1" ht="46.5" customHeight="1" x14ac:dyDescent="0.25">
      <c r="A12293" s="1"/>
    </row>
    <row r="12294" spans="1:1" ht="46.5" customHeight="1" x14ac:dyDescent="0.25">
      <c r="A12294" s="1"/>
    </row>
    <row r="12295" spans="1:1" ht="46.5" customHeight="1" x14ac:dyDescent="0.25">
      <c r="A12295" s="1"/>
    </row>
    <row r="12296" spans="1:1" ht="46.5" customHeight="1" x14ac:dyDescent="0.25">
      <c r="A12296" s="1"/>
    </row>
    <row r="12297" spans="1:1" ht="46.5" customHeight="1" x14ac:dyDescent="0.25">
      <c r="A12297" s="1"/>
    </row>
    <row r="12298" spans="1:1" ht="46.5" customHeight="1" x14ac:dyDescent="0.25">
      <c r="A12298" s="1"/>
    </row>
    <row r="12299" spans="1:1" ht="46.5" customHeight="1" x14ac:dyDescent="0.25">
      <c r="A12299" s="1"/>
    </row>
    <row r="12300" spans="1:1" ht="46.5" customHeight="1" x14ac:dyDescent="0.25">
      <c r="A12300" s="1"/>
    </row>
    <row r="12301" spans="1:1" ht="46.5" customHeight="1" x14ac:dyDescent="0.25">
      <c r="A12301" s="1"/>
    </row>
    <row r="12302" spans="1:1" ht="46.5" customHeight="1" x14ac:dyDescent="0.25">
      <c r="A12302" s="1"/>
    </row>
    <row r="12303" spans="1:1" ht="46.5" customHeight="1" x14ac:dyDescent="0.25">
      <c r="A12303" s="1"/>
    </row>
    <row r="12304" spans="1:1" ht="46.5" customHeight="1" x14ac:dyDescent="0.25">
      <c r="A12304" s="1"/>
    </row>
    <row r="12305" spans="1:1" ht="46.5" customHeight="1" x14ac:dyDescent="0.25">
      <c r="A12305" s="1"/>
    </row>
    <row r="12306" spans="1:1" ht="46.5" customHeight="1" x14ac:dyDescent="0.25">
      <c r="A12306" s="1"/>
    </row>
    <row r="12307" spans="1:1" ht="46.5" customHeight="1" x14ac:dyDescent="0.25">
      <c r="A12307" s="1"/>
    </row>
    <row r="12308" spans="1:1" ht="46.5" customHeight="1" x14ac:dyDescent="0.25">
      <c r="A12308" s="1"/>
    </row>
    <row r="12309" spans="1:1" ht="46.5" customHeight="1" x14ac:dyDescent="0.25">
      <c r="A12309" s="1"/>
    </row>
    <row r="12310" spans="1:1" ht="46.5" customHeight="1" x14ac:dyDescent="0.25">
      <c r="A12310" s="1"/>
    </row>
    <row r="12311" spans="1:1" ht="46.5" customHeight="1" x14ac:dyDescent="0.25">
      <c r="A12311" s="1"/>
    </row>
    <row r="12312" spans="1:1" ht="46.5" customHeight="1" x14ac:dyDescent="0.25">
      <c r="A12312" s="1"/>
    </row>
    <row r="12313" spans="1:1" ht="46.5" customHeight="1" x14ac:dyDescent="0.25">
      <c r="A12313" s="1"/>
    </row>
    <row r="12314" spans="1:1" ht="46.5" customHeight="1" x14ac:dyDescent="0.25">
      <c r="A12314" s="1"/>
    </row>
    <row r="12315" spans="1:1" ht="46.5" customHeight="1" x14ac:dyDescent="0.25">
      <c r="A12315" s="1"/>
    </row>
    <row r="12316" spans="1:1" ht="46.5" customHeight="1" x14ac:dyDescent="0.25">
      <c r="A12316" s="1"/>
    </row>
    <row r="12317" spans="1:1" ht="46.5" customHeight="1" x14ac:dyDescent="0.25">
      <c r="A12317" s="1"/>
    </row>
    <row r="12318" spans="1:1" ht="46.5" customHeight="1" x14ac:dyDescent="0.25">
      <c r="A12318" s="1"/>
    </row>
    <row r="12319" spans="1:1" ht="46.5" customHeight="1" x14ac:dyDescent="0.25">
      <c r="A12319" s="1"/>
    </row>
    <row r="12320" spans="1:1" ht="46.5" customHeight="1" x14ac:dyDescent="0.25">
      <c r="A12320" s="1"/>
    </row>
    <row r="12321" spans="1:1" ht="46.5" customHeight="1" x14ac:dyDescent="0.25">
      <c r="A12321" s="1"/>
    </row>
    <row r="12322" spans="1:1" ht="46.5" customHeight="1" x14ac:dyDescent="0.25">
      <c r="A12322" s="1"/>
    </row>
    <row r="12323" spans="1:1" ht="46.5" customHeight="1" x14ac:dyDescent="0.25">
      <c r="A12323" s="1"/>
    </row>
    <row r="12324" spans="1:1" ht="46.5" customHeight="1" x14ac:dyDescent="0.25">
      <c r="A12324" s="1"/>
    </row>
    <row r="12325" spans="1:1" ht="46.5" customHeight="1" x14ac:dyDescent="0.25">
      <c r="A12325" s="1"/>
    </row>
    <row r="12326" spans="1:1" ht="46.5" customHeight="1" x14ac:dyDescent="0.25">
      <c r="A12326" s="1"/>
    </row>
    <row r="12327" spans="1:1" ht="46.5" customHeight="1" x14ac:dyDescent="0.25">
      <c r="A12327" s="1"/>
    </row>
    <row r="12328" spans="1:1" ht="46.5" customHeight="1" x14ac:dyDescent="0.25">
      <c r="A12328" s="1"/>
    </row>
    <row r="12329" spans="1:1" ht="46.5" customHeight="1" x14ac:dyDescent="0.25">
      <c r="A12329" s="1"/>
    </row>
    <row r="12330" spans="1:1" ht="46.5" customHeight="1" x14ac:dyDescent="0.25">
      <c r="A12330" s="1"/>
    </row>
    <row r="12331" spans="1:1" ht="46.5" customHeight="1" x14ac:dyDescent="0.25">
      <c r="A12331" s="1"/>
    </row>
    <row r="12332" spans="1:1" ht="46.5" customHeight="1" x14ac:dyDescent="0.25">
      <c r="A12332" s="1"/>
    </row>
    <row r="12333" spans="1:1" ht="46.5" customHeight="1" x14ac:dyDescent="0.25">
      <c r="A12333" s="1"/>
    </row>
    <row r="12334" spans="1:1" ht="46.5" customHeight="1" x14ac:dyDescent="0.25">
      <c r="A12334" s="1"/>
    </row>
    <row r="12335" spans="1:1" ht="46.5" customHeight="1" x14ac:dyDescent="0.25">
      <c r="A12335" s="1"/>
    </row>
    <row r="12336" spans="1:1" ht="46.5" customHeight="1" x14ac:dyDescent="0.25">
      <c r="A12336" s="1"/>
    </row>
    <row r="12337" spans="1:1" ht="46.5" customHeight="1" x14ac:dyDescent="0.25">
      <c r="A12337" s="1"/>
    </row>
    <row r="12338" spans="1:1" ht="46.5" customHeight="1" x14ac:dyDescent="0.25">
      <c r="A12338" s="1"/>
    </row>
    <row r="12339" spans="1:1" ht="46.5" customHeight="1" x14ac:dyDescent="0.25">
      <c r="A12339" s="1"/>
    </row>
    <row r="12340" spans="1:1" ht="46.5" customHeight="1" x14ac:dyDescent="0.25">
      <c r="A12340" s="1"/>
    </row>
    <row r="12341" spans="1:1" ht="46.5" customHeight="1" x14ac:dyDescent="0.25">
      <c r="A12341" s="1"/>
    </row>
    <row r="12342" spans="1:1" ht="46.5" customHeight="1" x14ac:dyDescent="0.25">
      <c r="A12342" s="1"/>
    </row>
    <row r="12343" spans="1:1" ht="46.5" customHeight="1" x14ac:dyDescent="0.25">
      <c r="A12343" s="1"/>
    </row>
    <row r="12344" spans="1:1" ht="46.5" customHeight="1" x14ac:dyDescent="0.25">
      <c r="A12344" s="1"/>
    </row>
    <row r="12345" spans="1:1" ht="46.5" customHeight="1" x14ac:dyDescent="0.25">
      <c r="A12345" s="1"/>
    </row>
    <row r="12346" spans="1:1" ht="46.5" customHeight="1" x14ac:dyDescent="0.25">
      <c r="A12346" s="1"/>
    </row>
    <row r="12347" spans="1:1" ht="46.5" customHeight="1" x14ac:dyDescent="0.25">
      <c r="A12347" s="1"/>
    </row>
    <row r="12348" spans="1:1" ht="46.5" customHeight="1" x14ac:dyDescent="0.25">
      <c r="A12348" s="1"/>
    </row>
    <row r="12349" spans="1:1" ht="46.5" customHeight="1" x14ac:dyDescent="0.25">
      <c r="A12349" s="1"/>
    </row>
    <row r="12350" spans="1:1" ht="46.5" customHeight="1" x14ac:dyDescent="0.25">
      <c r="A12350" s="1"/>
    </row>
    <row r="12351" spans="1:1" ht="46.5" customHeight="1" x14ac:dyDescent="0.25">
      <c r="A12351" s="1"/>
    </row>
    <row r="12352" spans="1:1" ht="46.5" customHeight="1" x14ac:dyDescent="0.25">
      <c r="A12352" s="1"/>
    </row>
    <row r="12353" spans="1:1" ht="46.5" customHeight="1" x14ac:dyDescent="0.25">
      <c r="A12353" s="1"/>
    </row>
    <row r="12354" spans="1:1" ht="46.5" customHeight="1" x14ac:dyDescent="0.25">
      <c r="A12354" s="1"/>
    </row>
    <row r="12355" spans="1:1" ht="46.5" customHeight="1" x14ac:dyDescent="0.25">
      <c r="A12355" s="1"/>
    </row>
    <row r="12356" spans="1:1" ht="46.5" customHeight="1" x14ac:dyDescent="0.25">
      <c r="A12356" s="1"/>
    </row>
    <row r="12357" spans="1:1" ht="46.5" customHeight="1" x14ac:dyDescent="0.25">
      <c r="A12357" s="1"/>
    </row>
    <row r="12358" spans="1:1" ht="46.5" customHeight="1" x14ac:dyDescent="0.25">
      <c r="A12358" s="1"/>
    </row>
    <row r="12359" spans="1:1" ht="46.5" customHeight="1" x14ac:dyDescent="0.25">
      <c r="A12359" s="1"/>
    </row>
    <row r="12360" spans="1:1" ht="46.5" customHeight="1" x14ac:dyDescent="0.25">
      <c r="A12360" s="1"/>
    </row>
    <row r="12361" spans="1:1" ht="46.5" customHeight="1" x14ac:dyDescent="0.25">
      <c r="A12361" s="1"/>
    </row>
    <row r="12362" spans="1:1" ht="46.5" customHeight="1" x14ac:dyDescent="0.25">
      <c r="A12362" s="1"/>
    </row>
    <row r="12363" spans="1:1" ht="46.5" customHeight="1" x14ac:dyDescent="0.25">
      <c r="A12363" s="1"/>
    </row>
    <row r="12364" spans="1:1" ht="46.5" customHeight="1" x14ac:dyDescent="0.25">
      <c r="A12364" s="1"/>
    </row>
    <row r="12365" spans="1:1" ht="46.5" customHeight="1" x14ac:dyDescent="0.25">
      <c r="A12365" s="1"/>
    </row>
    <row r="12366" spans="1:1" ht="46.5" customHeight="1" x14ac:dyDescent="0.25">
      <c r="A12366" s="1"/>
    </row>
    <row r="12367" spans="1:1" ht="46.5" customHeight="1" x14ac:dyDescent="0.25">
      <c r="A12367" s="1"/>
    </row>
    <row r="12368" spans="1:1" ht="46.5" customHeight="1" x14ac:dyDescent="0.25">
      <c r="A12368" s="1"/>
    </row>
    <row r="12369" spans="1:1" ht="46.5" customHeight="1" x14ac:dyDescent="0.25">
      <c r="A12369" s="1"/>
    </row>
    <row r="12370" spans="1:1" ht="46.5" customHeight="1" x14ac:dyDescent="0.25">
      <c r="A12370" s="1"/>
    </row>
    <row r="12371" spans="1:1" ht="46.5" customHeight="1" x14ac:dyDescent="0.25">
      <c r="A12371" s="1"/>
    </row>
    <row r="12372" spans="1:1" ht="46.5" customHeight="1" x14ac:dyDescent="0.25">
      <c r="A12372" s="1"/>
    </row>
    <row r="12373" spans="1:1" ht="46.5" customHeight="1" x14ac:dyDescent="0.25">
      <c r="A12373" s="1"/>
    </row>
    <row r="12374" spans="1:1" ht="46.5" customHeight="1" x14ac:dyDescent="0.25">
      <c r="A12374" s="1"/>
    </row>
    <row r="12375" spans="1:1" ht="46.5" customHeight="1" x14ac:dyDescent="0.25">
      <c r="A12375" s="1"/>
    </row>
    <row r="12376" spans="1:1" ht="46.5" customHeight="1" x14ac:dyDescent="0.25">
      <c r="A12376" s="1"/>
    </row>
    <row r="12377" spans="1:1" ht="46.5" customHeight="1" x14ac:dyDescent="0.25">
      <c r="A12377" s="1"/>
    </row>
    <row r="12378" spans="1:1" ht="46.5" customHeight="1" x14ac:dyDescent="0.25">
      <c r="A12378" s="1"/>
    </row>
    <row r="12379" spans="1:1" ht="46.5" customHeight="1" x14ac:dyDescent="0.25">
      <c r="A12379" s="1"/>
    </row>
    <row r="12380" spans="1:1" ht="46.5" customHeight="1" x14ac:dyDescent="0.25">
      <c r="A12380" s="1"/>
    </row>
    <row r="12381" spans="1:1" ht="46.5" customHeight="1" x14ac:dyDescent="0.25">
      <c r="A12381" s="1"/>
    </row>
    <row r="12382" spans="1:1" ht="46.5" customHeight="1" x14ac:dyDescent="0.25">
      <c r="A12382" s="1"/>
    </row>
    <row r="12383" spans="1:1" ht="46.5" customHeight="1" x14ac:dyDescent="0.25">
      <c r="A12383" s="1"/>
    </row>
    <row r="12384" spans="1:1" ht="46.5" customHeight="1" x14ac:dyDescent="0.25">
      <c r="A12384" s="1"/>
    </row>
    <row r="12385" spans="1:1" ht="46.5" customHeight="1" x14ac:dyDescent="0.25">
      <c r="A12385" s="1"/>
    </row>
    <row r="12386" spans="1:1" ht="46.5" customHeight="1" x14ac:dyDescent="0.25">
      <c r="A12386" s="1"/>
    </row>
    <row r="12387" spans="1:1" ht="46.5" customHeight="1" x14ac:dyDescent="0.25">
      <c r="A12387" s="1"/>
    </row>
    <row r="12388" spans="1:1" ht="46.5" customHeight="1" x14ac:dyDescent="0.25">
      <c r="A12388" s="1"/>
    </row>
    <row r="12389" spans="1:1" ht="46.5" customHeight="1" x14ac:dyDescent="0.25">
      <c r="A12389" s="1"/>
    </row>
    <row r="12390" spans="1:1" ht="46.5" customHeight="1" x14ac:dyDescent="0.25">
      <c r="A12390" s="1"/>
    </row>
    <row r="12391" spans="1:1" ht="46.5" customHeight="1" x14ac:dyDescent="0.25">
      <c r="A12391" s="1"/>
    </row>
    <row r="12392" spans="1:1" ht="46.5" customHeight="1" x14ac:dyDescent="0.25">
      <c r="A12392" s="1"/>
    </row>
    <row r="12393" spans="1:1" ht="46.5" customHeight="1" x14ac:dyDescent="0.25">
      <c r="A12393" s="1"/>
    </row>
    <row r="12394" spans="1:1" ht="46.5" customHeight="1" x14ac:dyDescent="0.25">
      <c r="A12394" s="1"/>
    </row>
    <row r="12395" spans="1:1" ht="46.5" customHeight="1" x14ac:dyDescent="0.25">
      <c r="A12395" s="1"/>
    </row>
    <row r="12396" spans="1:1" ht="46.5" customHeight="1" x14ac:dyDescent="0.25">
      <c r="A12396" s="1"/>
    </row>
    <row r="12397" spans="1:1" ht="46.5" customHeight="1" x14ac:dyDescent="0.25">
      <c r="A12397" s="1"/>
    </row>
    <row r="12398" spans="1:1" ht="46.5" customHeight="1" x14ac:dyDescent="0.25">
      <c r="A12398" s="1"/>
    </row>
    <row r="12399" spans="1:1" ht="46.5" customHeight="1" x14ac:dyDescent="0.25">
      <c r="A12399" s="1"/>
    </row>
    <row r="12400" spans="1:1" ht="46.5" customHeight="1" x14ac:dyDescent="0.25">
      <c r="A12400" s="1"/>
    </row>
    <row r="12401" spans="1:1" ht="46.5" customHeight="1" x14ac:dyDescent="0.25">
      <c r="A12401" s="1"/>
    </row>
    <row r="12402" spans="1:1" ht="46.5" customHeight="1" x14ac:dyDescent="0.25">
      <c r="A12402" s="1"/>
    </row>
    <row r="12403" spans="1:1" ht="46.5" customHeight="1" x14ac:dyDescent="0.25">
      <c r="A12403" s="1"/>
    </row>
    <row r="12404" spans="1:1" ht="46.5" customHeight="1" x14ac:dyDescent="0.25">
      <c r="A12404" s="1"/>
    </row>
    <row r="12405" spans="1:1" ht="46.5" customHeight="1" x14ac:dyDescent="0.25">
      <c r="A12405" s="1"/>
    </row>
    <row r="12406" spans="1:1" ht="46.5" customHeight="1" x14ac:dyDescent="0.25">
      <c r="A12406" s="1"/>
    </row>
    <row r="12407" spans="1:1" ht="46.5" customHeight="1" x14ac:dyDescent="0.25">
      <c r="A12407" s="1"/>
    </row>
    <row r="12408" spans="1:1" ht="46.5" customHeight="1" x14ac:dyDescent="0.25">
      <c r="A12408" s="1"/>
    </row>
    <row r="12409" spans="1:1" ht="46.5" customHeight="1" x14ac:dyDescent="0.25">
      <c r="A12409" s="1"/>
    </row>
    <row r="12410" spans="1:1" ht="46.5" customHeight="1" x14ac:dyDescent="0.25">
      <c r="A12410" s="1"/>
    </row>
    <row r="12411" spans="1:1" ht="46.5" customHeight="1" x14ac:dyDescent="0.25">
      <c r="A12411" s="1"/>
    </row>
    <row r="12412" spans="1:1" ht="46.5" customHeight="1" x14ac:dyDescent="0.25">
      <c r="A12412" s="1"/>
    </row>
    <row r="12413" spans="1:1" ht="46.5" customHeight="1" x14ac:dyDescent="0.25">
      <c r="A12413" s="1"/>
    </row>
    <row r="12414" spans="1:1" ht="46.5" customHeight="1" x14ac:dyDescent="0.25">
      <c r="A12414" s="1"/>
    </row>
    <row r="12415" spans="1:1" ht="46.5" customHeight="1" x14ac:dyDescent="0.25">
      <c r="A12415" s="1"/>
    </row>
    <row r="12416" spans="1:1" ht="46.5" customHeight="1" x14ac:dyDescent="0.25">
      <c r="A12416" s="1"/>
    </row>
    <row r="12417" spans="1:1" ht="46.5" customHeight="1" x14ac:dyDescent="0.25">
      <c r="A12417" s="1"/>
    </row>
    <row r="12418" spans="1:1" ht="46.5" customHeight="1" x14ac:dyDescent="0.25">
      <c r="A12418" s="1"/>
    </row>
    <row r="12419" spans="1:1" ht="46.5" customHeight="1" x14ac:dyDescent="0.25">
      <c r="A12419" s="1"/>
    </row>
    <row r="12420" spans="1:1" ht="46.5" customHeight="1" x14ac:dyDescent="0.25">
      <c r="A12420" s="1"/>
    </row>
    <row r="12421" spans="1:1" ht="46.5" customHeight="1" x14ac:dyDescent="0.25">
      <c r="A12421" s="1"/>
    </row>
    <row r="12422" spans="1:1" ht="46.5" customHeight="1" x14ac:dyDescent="0.25">
      <c r="A12422" s="1"/>
    </row>
    <row r="12423" spans="1:1" ht="46.5" customHeight="1" x14ac:dyDescent="0.25">
      <c r="A12423" s="1"/>
    </row>
    <row r="12424" spans="1:1" ht="46.5" customHeight="1" x14ac:dyDescent="0.25">
      <c r="A12424" s="1"/>
    </row>
    <row r="12425" spans="1:1" ht="46.5" customHeight="1" x14ac:dyDescent="0.25">
      <c r="A12425" s="1"/>
    </row>
    <row r="12426" spans="1:1" ht="46.5" customHeight="1" x14ac:dyDescent="0.25">
      <c r="A12426" s="1"/>
    </row>
    <row r="12427" spans="1:1" ht="46.5" customHeight="1" x14ac:dyDescent="0.25">
      <c r="A12427" s="1"/>
    </row>
    <row r="12428" spans="1:1" ht="46.5" customHeight="1" x14ac:dyDescent="0.25">
      <c r="A12428" s="1"/>
    </row>
    <row r="12429" spans="1:1" ht="46.5" customHeight="1" x14ac:dyDescent="0.25">
      <c r="A12429" s="1"/>
    </row>
    <row r="12430" spans="1:1" ht="46.5" customHeight="1" x14ac:dyDescent="0.25">
      <c r="A12430" s="1"/>
    </row>
    <row r="12431" spans="1:1" ht="46.5" customHeight="1" x14ac:dyDescent="0.25">
      <c r="A12431" s="1"/>
    </row>
    <row r="12432" spans="1:1" ht="46.5" customHeight="1" x14ac:dyDescent="0.25">
      <c r="A12432" s="1"/>
    </row>
    <row r="12433" spans="1:1" ht="46.5" customHeight="1" x14ac:dyDescent="0.25">
      <c r="A12433" s="1"/>
    </row>
    <row r="12434" spans="1:1" ht="46.5" customHeight="1" x14ac:dyDescent="0.25">
      <c r="A12434" s="1"/>
    </row>
    <row r="12435" spans="1:1" ht="46.5" customHeight="1" x14ac:dyDescent="0.25">
      <c r="A12435" s="1"/>
    </row>
    <row r="12436" spans="1:1" ht="46.5" customHeight="1" x14ac:dyDescent="0.25">
      <c r="A12436" s="1"/>
    </row>
    <row r="12437" spans="1:1" ht="46.5" customHeight="1" x14ac:dyDescent="0.25">
      <c r="A12437" s="1"/>
    </row>
    <row r="12438" spans="1:1" ht="46.5" customHeight="1" x14ac:dyDescent="0.25">
      <c r="A12438" s="1"/>
    </row>
    <row r="12439" spans="1:1" ht="46.5" customHeight="1" x14ac:dyDescent="0.25">
      <c r="A12439" s="1"/>
    </row>
    <row r="12440" spans="1:1" ht="46.5" customHeight="1" x14ac:dyDescent="0.25">
      <c r="A12440" s="1"/>
    </row>
    <row r="12441" spans="1:1" ht="46.5" customHeight="1" x14ac:dyDescent="0.25">
      <c r="A12441" s="1"/>
    </row>
    <row r="12442" spans="1:1" ht="46.5" customHeight="1" x14ac:dyDescent="0.25">
      <c r="A12442" s="1"/>
    </row>
    <row r="12443" spans="1:1" ht="46.5" customHeight="1" x14ac:dyDescent="0.25">
      <c r="A12443" s="1"/>
    </row>
    <row r="12444" spans="1:1" ht="46.5" customHeight="1" x14ac:dyDescent="0.25">
      <c r="A12444" s="1"/>
    </row>
    <row r="12445" spans="1:1" ht="46.5" customHeight="1" x14ac:dyDescent="0.25">
      <c r="A12445" s="1"/>
    </row>
    <row r="12446" spans="1:1" ht="46.5" customHeight="1" x14ac:dyDescent="0.25">
      <c r="A12446" s="1"/>
    </row>
    <row r="12447" spans="1:1" ht="46.5" customHeight="1" x14ac:dyDescent="0.25">
      <c r="A12447" s="1"/>
    </row>
    <row r="12448" spans="1:1" ht="46.5" customHeight="1" x14ac:dyDescent="0.25">
      <c r="A12448" s="1"/>
    </row>
    <row r="12449" spans="1:1" ht="46.5" customHeight="1" x14ac:dyDescent="0.25">
      <c r="A12449" s="1"/>
    </row>
    <row r="12450" spans="1:1" ht="46.5" customHeight="1" x14ac:dyDescent="0.25">
      <c r="A12450" s="1"/>
    </row>
    <row r="12451" spans="1:1" ht="46.5" customHeight="1" x14ac:dyDescent="0.25">
      <c r="A12451" s="1"/>
    </row>
    <row r="12452" spans="1:1" ht="46.5" customHeight="1" x14ac:dyDescent="0.25">
      <c r="A12452" s="1"/>
    </row>
    <row r="12453" spans="1:1" ht="46.5" customHeight="1" x14ac:dyDescent="0.25">
      <c r="A12453" s="1"/>
    </row>
    <row r="12454" spans="1:1" ht="46.5" customHeight="1" x14ac:dyDescent="0.25">
      <c r="A12454" s="1"/>
    </row>
    <row r="12455" spans="1:1" ht="46.5" customHeight="1" x14ac:dyDescent="0.25">
      <c r="A12455" s="1"/>
    </row>
    <row r="12456" spans="1:1" ht="46.5" customHeight="1" x14ac:dyDescent="0.25">
      <c r="A12456" s="1"/>
    </row>
    <row r="12457" spans="1:1" ht="46.5" customHeight="1" x14ac:dyDescent="0.25">
      <c r="A12457" s="1"/>
    </row>
    <row r="12458" spans="1:1" ht="46.5" customHeight="1" x14ac:dyDescent="0.25">
      <c r="A12458" s="1"/>
    </row>
    <row r="12459" spans="1:1" ht="46.5" customHeight="1" x14ac:dyDescent="0.25">
      <c r="A12459" s="1"/>
    </row>
    <row r="12460" spans="1:1" ht="46.5" customHeight="1" x14ac:dyDescent="0.25">
      <c r="A12460" s="1"/>
    </row>
    <row r="12461" spans="1:1" ht="46.5" customHeight="1" x14ac:dyDescent="0.25">
      <c r="A12461" s="1"/>
    </row>
    <row r="12462" spans="1:1" ht="46.5" customHeight="1" x14ac:dyDescent="0.25">
      <c r="A12462" s="1"/>
    </row>
    <row r="12463" spans="1:1" ht="46.5" customHeight="1" x14ac:dyDescent="0.25">
      <c r="A12463" s="1"/>
    </row>
    <row r="12464" spans="1:1" ht="46.5" customHeight="1" x14ac:dyDescent="0.25">
      <c r="A12464" s="1"/>
    </row>
    <row r="12465" spans="1:1" ht="46.5" customHeight="1" x14ac:dyDescent="0.25">
      <c r="A12465" s="1"/>
    </row>
    <row r="12466" spans="1:1" ht="46.5" customHeight="1" x14ac:dyDescent="0.25">
      <c r="A12466" s="1"/>
    </row>
    <row r="12467" spans="1:1" ht="46.5" customHeight="1" x14ac:dyDescent="0.25">
      <c r="A12467" s="1"/>
    </row>
    <row r="12468" spans="1:1" ht="46.5" customHeight="1" x14ac:dyDescent="0.25">
      <c r="A12468" s="1"/>
    </row>
    <row r="12469" spans="1:1" ht="46.5" customHeight="1" x14ac:dyDescent="0.25">
      <c r="A12469" s="1"/>
    </row>
    <row r="12470" spans="1:1" ht="46.5" customHeight="1" x14ac:dyDescent="0.25">
      <c r="A12470" s="1"/>
    </row>
    <row r="12471" spans="1:1" ht="46.5" customHeight="1" x14ac:dyDescent="0.25">
      <c r="A12471" s="1"/>
    </row>
    <row r="12472" spans="1:1" ht="46.5" customHeight="1" x14ac:dyDescent="0.25">
      <c r="A12472" s="1"/>
    </row>
    <row r="12473" spans="1:1" ht="46.5" customHeight="1" x14ac:dyDescent="0.25">
      <c r="A12473" s="1"/>
    </row>
    <row r="12474" spans="1:1" ht="46.5" customHeight="1" x14ac:dyDescent="0.25">
      <c r="A12474" s="1"/>
    </row>
    <row r="12475" spans="1:1" ht="46.5" customHeight="1" x14ac:dyDescent="0.25">
      <c r="A12475" s="1"/>
    </row>
    <row r="12476" spans="1:1" ht="46.5" customHeight="1" x14ac:dyDescent="0.25">
      <c r="A12476" s="1"/>
    </row>
    <row r="12477" spans="1:1" ht="46.5" customHeight="1" x14ac:dyDescent="0.25">
      <c r="A12477" s="1"/>
    </row>
    <row r="12478" spans="1:1" ht="46.5" customHeight="1" x14ac:dyDescent="0.25">
      <c r="A12478" s="1"/>
    </row>
    <row r="12479" spans="1:1" ht="46.5" customHeight="1" x14ac:dyDescent="0.25">
      <c r="A12479" s="1"/>
    </row>
    <row r="12480" spans="1:1" ht="46.5" customHeight="1" x14ac:dyDescent="0.25">
      <c r="A12480" s="1"/>
    </row>
    <row r="12481" spans="1:1" ht="46.5" customHeight="1" x14ac:dyDescent="0.25">
      <c r="A12481" s="1"/>
    </row>
    <row r="12482" spans="1:1" ht="46.5" customHeight="1" x14ac:dyDescent="0.25">
      <c r="A12482" s="1"/>
    </row>
    <row r="12483" spans="1:1" ht="46.5" customHeight="1" x14ac:dyDescent="0.25">
      <c r="A12483" s="1"/>
    </row>
    <row r="12484" spans="1:1" ht="46.5" customHeight="1" x14ac:dyDescent="0.25">
      <c r="A12484" s="1"/>
    </row>
    <row r="12485" spans="1:1" ht="46.5" customHeight="1" x14ac:dyDescent="0.25">
      <c r="A12485" s="1"/>
    </row>
    <row r="12486" spans="1:1" ht="46.5" customHeight="1" x14ac:dyDescent="0.25">
      <c r="A12486" s="1"/>
    </row>
    <row r="12487" spans="1:1" ht="46.5" customHeight="1" x14ac:dyDescent="0.25">
      <c r="A12487" s="1"/>
    </row>
    <row r="12488" spans="1:1" ht="46.5" customHeight="1" x14ac:dyDescent="0.25">
      <c r="A12488" s="1"/>
    </row>
    <row r="12489" spans="1:1" ht="46.5" customHeight="1" x14ac:dyDescent="0.25">
      <c r="A12489" s="1"/>
    </row>
    <row r="12490" spans="1:1" ht="46.5" customHeight="1" x14ac:dyDescent="0.25">
      <c r="A12490" s="1"/>
    </row>
    <row r="12491" spans="1:1" ht="46.5" customHeight="1" x14ac:dyDescent="0.25">
      <c r="A12491" s="1"/>
    </row>
    <row r="12492" spans="1:1" ht="46.5" customHeight="1" x14ac:dyDescent="0.25">
      <c r="A12492" s="1"/>
    </row>
    <row r="12493" spans="1:1" ht="46.5" customHeight="1" x14ac:dyDescent="0.25">
      <c r="A12493" s="1"/>
    </row>
    <row r="12494" spans="1:1" ht="46.5" customHeight="1" x14ac:dyDescent="0.25">
      <c r="A12494" s="1"/>
    </row>
    <row r="12495" spans="1:1" ht="46.5" customHeight="1" x14ac:dyDescent="0.25">
      <c r="A12495" s="1"/>
    </row>
    <row r="12496" spans="1:1" ht="46.5" customHeight="1" x14ac:dyDescent="0.25">
      <c r="A12496" s="1"/>
    </row>
    <row r="12497" spans="1:1" ht="46.5" customHeight="1" x14ac:dyDescent="0.25">
      <c r="A12497" s="1"/>
    </row>
    <row r="12498" spans="1:1" ht="46.5" customHeight="1" x14ac:dyDescent="0.25">
      <c r="A12498" s="1"/>
    </row>
    <row r="12499" spans="1:1" ht="46.5" customHeight="1" x14ac:dyDescent="0.25">
      <c r="A12499" s="1"/>
    </row>
    <row r="12500" spans="1:1" ht="46.5" customHeight="1" x14ac:dyDescent="0.25">
      <c r="A12500" s="1"/>
    </row>
    <row r="12501" spans="1:1" ht="46.5" customHeight="1" x14ac:dyDescent="0.25">
      <c r="A12501" s="1"/>
    </row>
    <row r="12502" spans="1:1" ht="46.5" customHeight="1" x14ac:dyDescent="0.25">
      <c r="A12502" s="1"/>
    </row>
    <row r="12503" spans="1:1" ht="46.5" customHeight="1" x14ac:dyDescent="0.25">
      <c r="A12503" s="1"/>
    </row>
    <row r="12504" spans="1:1" ht="46.5" customHeight="1" x14ac:dyDescent="0.25">
      <c r="A12504" s="1"/>
    </row>
    <row r="12505" spans="1:1" ht="46.5" customHeight="1" x14ac:dyDescent="0.25">
      <c r="A12505" s="1"/>
    </row>
    <row r="12506" spans="1:1" ht="46.5" customHeight="1" x14ac:dyDescent="0.25">
      <c r="A12506" s="1"/>
    </row>
    <row r="12507" spans="1:1" ht="46.5" customHeight="1" x14ac:dyDescent="0.25">
      <c r="A12507" s="1"/>
    </row>
    <row r="12508" spans="1:1" ht="46.5" customHeight="1" x14ac:dyDescent="0.25">
      <c r="A12508" s="1"/>
    </row>
    <row r="12509" spans="1:1" ht="46.5" customHeight="1" x14ac:dyDescent="0.25">
      <c r="A12509" s="1"/>
    </row>
    <row r="12510" spans="1:1" ht="46.5" customHeight="1" x14ac:dyDescent="0.25">
      <c r="A12510" s="1"/>
    </row>
    <row r="12511" spans="1:1" ht="46.5" customHeight="1" x14ac:dyDescent="0.25">
      <c r="A12511" s="1"/>
    </row>
    <row r="12512" spans="1:1" ht="46.5" customHeight="1" x14ac:dyDescent="0.25">
      <c r="A12512" s="1"/>
    </row>
    <row r="12513" spans="1:1" ht="46.5" customHeight="1" x14ac:dyDescent="0.25">
      <c r="A12513" s="1"/>
    </row>
    <row r="12514" spans="1:1" ht="46.5" customHeight="1" x14ac:dyDescent="0.25">
      <c r="A12514" s="1"/>
    </row>
    <row r="12515" spans="1:1" ht="46.5" customHeight="1" x14ac:dyDescent="0.25">
      <c r="A12515" s="1"/>
    </row>
    <row r="12516" spans="1:1" ht="46.5" customHeight="1" x14ac:dyDescent="0.25">
      <c r="A12516" s="1"/>
    </row>
    <row r="12517" spans="1:1" ht="46.5" customHeight="1" x14ac:dyDescent="0.25">
      <c r="A12517" s="1"/>
    </row>
    <row r="12518" spans="1:1" ht="46.5" customHeight="1" x14ac:dyDescent="0.25">
      <c r="A12518" s="1"/>
    </row>
    <row r="12519" spans="1:1" ht="46.5" customHeight="1" x14ac:dyDescent="0.25">
      <c r="A12519" s="1"/>
    </row>
    <row r="12520" spans="1:1" ht="46.5" customHeight="1" x14ac:dyDescent="0.25">
      <c r="A12520" s="1"/>
    </row>
    <row r="12521" spans="1:1" ht="46.5" customHeight="1" x14ac:dyDescent="0.25">
      <c r="A12521" s="1"/>
    </row>
    <row r="12522" spans="1:1" ht="46.5" customHeight="1" x14ac:dyDescent="0.25">
      <c r="A12522" s="1"/>
    </row>
    <row r="12523" spans="1:1" ht="46.5" customHeight="1" x14ac:dyDescent="0.25">
      <c r="A12523" s="1"/>
    </row>
    <row r="12524" spans="1:1" ht="46.5" customHeight="1" x14ac:dyDescent="0.25">
      <c r="A12524" s="1"/>
    </row>
    <row r="12525" spans="1:1" ht="46.5" customHeight="1" x14ac:dyDescent="0.25">
      <c r="A12525" s="1"/>
    </row>
    <row r="12526" spans="1:1" ht="46.5" customHeight="1" x14ac:dyDescent="0.25">
      <c r="A12526" s="1"/>
    </row>
    <row r="12527" spans="1:1" ht="46.5" customHeight="1" x14ac:dyDescent="0.25">
      <c r="A12527" s="1"/>
    </row>
    <row r="12528" spans="1:1" ht="46.5" customHeight="1" x14ac:dyDescent="0.25">
      <c r="A12528" s="1"/>
    </row>
    <row r="12529" spans="1:1" ht="46.5" customHeight="1" x14ac:dyDescent="0.25">
      <c r="A12529" s="1"/>
    </row>
    <row r="12530" spans="1:1" ht="46.5" customHeight="1" x14ac:dyDescent="0.25">
      <c r="A12530" s="1"/>
    </row>
    <row r="12531" spans="1:1" ht="46.5" customHeight="1" x14ac:dyDescent="0.25">
      <c r="A12531" s="1"/>
    </row>
    <row r="12532" spans="1:1" ht="46.5" customHeight="1" x14ac:dyDescent="0.25">
      <c r="A12532" s="1"/>
    </row>
    <row r="12533" spans="1:1" ht="46.5" customHeight="1" x14ac:dyDescent="0.25">
      <c r="A12533" s="1"/>
    </row>
    <row r="12534" spans="1:1" ht="46.5" customHeight="1" x14ac:dyDescent="0.25">
      <c r="A12534" s="1"/>
    </row>
    <row r="12535" spans="1:1" ht="46.5" customHeight="1" x14ac:dyDescent="0.25">
      <c r="A12535" s="1"/>
    </row>
    <row r="12536" spans="1:1" ht="46.5" customHeight="1" x14ac:dyDescent="0.25">
      <c r="A12536" s="1"/>
    </row>
    <row r="12537" spans="1:1" ht="46.5" customHeight="1" x14ac:dyDescent="0.25">
      <c r="A12537" s="1"/>
    </row>
    <row r="12538" spans="1:1" ht="46.5" customHeight="1" x14ac:dyDescent="0.25">
      <c r="A12538" s="1"/>
    </row>
    <row r="12539" spans="1:1" ht="46.5" customHeight="1" x14ac:dyDescent="0.25">
      <c r="A12539" s="1"/>
    </row>
    <row r="12540" spans="1:1" ht="46.5" customHeight="1" x14ac:dyDescent="0.25">
      <c r="A12540" s="1"/>
    </row>
    <row r="12541" spans="1:1" ht="46.5" customHeight="1" x14ac:dyDescent="0.25">
      <c r="A12541" s="1"/>
    </row>
    <row r="12542" spans="1:1" ht="46.5" customHeight="1" x14ac:dyDescent="0.25">
      <c r="A12542" s="1"/>
    </row>
    <row r="12543" spans="1:1" ht="46.5" customHeight="1" x14ac:dyDescent="0.25">
      <c r="A12543" s="1"/>
    </row>
    <row r="12544" spans="1:1" ht="46.5" customHeight="1" x14ac:dyDescent="0.25">
      <c r="A12544" s="1"/>
    </row>
    <row r="12545" spans="1:1" ht="46.5" customHeight="1" x14ac:dyDescent="0.25">
      <c r="A12545" s="1"/>
    </row>
    <row r="12546" spans="1:1" ht="46.5" customHeight="1" x14ac:dyDescent="0.25">
      <c r="A12546" s="1"/>
    </row>
    <row r="12547" spans="1:1" ht="46.5" customHeight="1" x14ac:dyDescent="0.25">
      <c r="A12547" s="1"/>
    </row>
    <row r="12548" spans="1:1" ht="46.5" customHeight="1" x14ac:dyDescent="0.25">
      <c r="A12548" s="1"/>
    </row>
    <row r="12549" spans="1:1" ht="46.5" customHeight="1" x14ac:dyDescent="0.25">
      <c r="A12549" s="1"/>
    </row>
    <row r="12550" spans="1:1" ht="46.5" customHeight="1" x14ac:dyDescent="0.25">
      <c r="A12550" s="1"/>
    </row>
    <row r="12551" spans="1:1" ht="46.5" customHeight="1" x14ac:dyDescent="0.25">
      <c r="A12551" s="1"/>
    </row>
    <row r="12552" spans="1:1" ht="46.5" customHeight="1" x14ac:dyDescent="0.25">
      <c r="A12552" s="1"/>
    </row>
    <row r="12553" spans="1:1" ht="46.5" customHeight="1" x14ac:dyDescent="0.25">
      <c r="A12553" s="1"/>
    </row>
    <row r="12554" spans="1:1" ht="46.5" customHeight="1" x14ac:dyDescent="0.25">
      <c r="A12554" s="1"/>
    </row>
    <row r="12555" spans="1:1" ht="46.5" customHeight="1" x14ac:dyDescent="0.25">
      <c r="A12555" s="1"/>
    </row>
    <row r="12556" spans="1:1" ht="46.5" customHeight="1" x14ac:dyDescent="0.25">
      <c r="A12556" s="1"/>
    </row>
    <row r="12557" spans="1:1" ht="46.5" customHeight="1" x14ac:dyDescent="0.25">
      <c r="A12557" s="1"/>
    </row>
    <row r="12558" spans="1:1" ht="46.5" customHeight="1" x14ac:dyDescent="0.25">
      <c r="A12558" s="1"/>
    </row>
    <row r="12559" spans="1:1" ht="46.5" customHeight="1" x14ac:dyDescent="0.25">
      <c r="A12559" s="1"/>
    </row>
    <row r="12560" spans="1:1" ht="46.5" customHeight="1" x14ac:dyDescent="0.25">
      <c r="A12560" s="1"/>
    </row>
    <row r="12561" spans="1:1" ht="46.5" customHeight="1" x14ac:dyDescent="0.25">
      <c r="A12561" s="1"/>
    </row>
    <row r="12562" spans="1:1" ht="46.5" customHeight="1" x14ac:dyDescent="0.25">
      <c r="A12562" s="1"/>
    </row>
    <row r="12563" spans="1:1" ht="46.5" customHeight="1" x14ac:dyDescent="0.25">
      <c r="A12563" s="1"/>
    </row>
    <row r="12564" spans="1:1" ht="46.5" customHeight="1" x14ac:dyDescent="0.25">
      <c r="A12564" s="1"/>
    </row>
    <row r="12565" spans="1:1" ht="46.5" customHeight="1" x14ac:dyDescent="0.25">
      <c r="A12565" s="1"/>
    </row>
    <row r="12566" spans="1:1" ht="46.5" customHeight="1" x14ac:dyDescent="0.25">
      <c r="A12566" s="1"/>
    </row>
    <row r="12567" spans="1:1" ht="46.5" customHeight="1" x14ac:dyDescent="0.25">
      <c r="A12567" s="1"/>
    </row>
    <row r="12568" spans="1:1" ht="46.5" customHeight="1" x14ac:dyDescent="0.25">
      <c r="A12568" s="1"/>
    </row>
    <row r="12569" spans="1:1" ht="46.5" customHeight="1" x14ac:dyDescent="0.25">
      <c r="A12569" s="1"/>
    </row>
    <row r="12570" spans="1:1" ht="46.5" customHeight="1" x14ac:dyDescent="0.25">
      <c r="A12570" s="1"/>
    </row>
    <row r="12571" spans="1:1" ht="46.5" customHeight="1" x14ac:dyDescent="0.25">
      <c r="A12571" s="1"/>
    </row>
    <row r="12572" spans="1:1" ht="46.5" customHeight="1" x14ac:dyDescent="0.25">
      <c r="A12572" s="1"/>
    </row>
    <row r="12573" spans="1:1" ht="46.5" customHeight="1" x14ac:dyDescent="0.25">
      <c r="A12573" s="1"/>
    </row>
    <row r="12574" spans="1:1" ht="46.5" customHeight="1" x14ac:dyDescent="0.25">
      <c r="A12574" s="1"/>
    </row>
    <row r="12575" spans="1:1" ht="46.5" customHeight="1" x14ac:dyDescent="0.25">
      <c r="A12575" s="1"/>
    </row>
    <row r="12576" spans="1:1" ht="46.5" customHeight="1" x14ac:dyDescent="0.25">
      <c r="A12576" s="1"/>
    </row>
    <row r="12577" spans="1:1" ht="46.5" customHeight="1" x14ac:dyDescent="0.25">
      <c r="A12577" s="1"/>
    </row>
    <row r="12578" spans="1:1" ht="46.5" customHeight="1" x14ac:dyDescent="0.25">
      <c r="A12578" s="1"/>
    </row>
    <row r="12579" spans="1:1" ht="46.5" customHeight="1" x14ac:dyDescent="0.25">
      <c r="A12579" s="1"/>
    </row>
    <row r="12580" spans="1:1" ht="46.5" customHeight="1" x14ac:dyDescent="0.25">
      <c r="A12580" s="1"/>
    </row>
    <row r="12581" spans="1:1" ht="46.5" customHeight="1" x14ac:dyDescent="0.25">
      <c r="A12581" s="1"/>
    </row>
    <row r="12582" spans="1:1" ht="46.5" customHeight="1" x14ac:dyDescent="0.25">
      <c r="A12582" s="1"/>
    </row>
    <row r="12583" spans="1:1" ht="46.5" customHeight="1" x14ac:dyDescent="0.25">
      <c r="A12583" s="1"/>
    </row>
    <row r="12584" spans="1:1" ht="46.5" customHeight="1" x14ac:dyDescent="0.25">
      <c r="A12584" s="1"/>
    </row>
    <row r="12585" spans="1:1" ht="46.5" customHeight="1" x14ac:dyDescent="0.25">
      <c r="A12585" s="1"/>
    </row>
    <row r="12586" spans="1:1" ht="46.5" customHeight="1" x14ac:dyDescent="0.25">
      <c r="A12586" s="1"/>
    </row>
    <row r="12587" spans="1:1" ht="46.5" customHeight="1" x14ac:dyDescent="0.25">
      <c r="A12587" s="1"/>
    </row>
    <row r="12588" spans="1:1" ht="46.5" customHeight="1" x14ac:dyDescent="0.25">
      <c r="A12588" s="1"/>
    </row>
    <row r="12589" spans="1:1" ht="46.5" customHeight="1" x14ac:dyDescent="0.25">
      <c r="A12589" s="1"/>
    </row>
    <row r="12590" spans="1:1" ht="46.5" customHeight="1" x14ac:dyDescent="0.25">
      <c r="A12590" s="1"/>
    </row>
    <row r="12591" spans="1:1" ht="46.5" customHeight="1" x14ac:dyDescent="0.25">
      <c r="A12591" s="1"/>
    </row>
    <row r="12592" spans="1:1" ht="46.5" customHeight="1" x14ac:dyDescent="0.25">
      <c r="A12592" s="1"/>
    </row>
    <row r="12593" spans="1:1" ht="46.5" customHeight="1" x14ac:dyDescent="0.25">
      <c r="A12593" s="1"/>
    </row>
    <row r="12594" spans="1:1" ht="46.5" customHeight="1" x14ac:dyDescent="0.25">
      <c r="A12594" s="1"/>
    </row>
    <row r="12595" spans="1:1" ht="46.5" customHeight="1" x14ac:dyDescent="0.25">
      <c r="A12595" s="1"/>
    </row>
    <row r="12596" spans="1:1" ht="46.5" customHeight="1" x14ac:dyDescent="0.25">
      <c r="A12596" s="1"/>
    </row>
    <row r="12597" spans="1:1" ht="46.5" customHeight="1" x14ac:dyDescent="0.25">
      <c r="A12597" s="1"/>
    </row>
    <row r="12598" spans="1:1" ht="46.5" customHeight="1" x14ac:dyDescent="0.25">
      <c r="A12598" s="1"/>
    </row>
    <row r="12599" spans="1:1" ht="46.5" customHeight="1" x14ac:dyDescent="0.25">
      <c r="A12599" s="1"/>
    </row>
    <row r="12600" spans="1:1" ht="46.5" customHeight="1" x14ac:dyDescent="0.25">
      <c r="A12600" s="1"/>
    </row>
    <row r="12601" spans="1:1" ht="46.5" customHeight="1" x14ac:dyDescent="0.25">
      <c r="A12601" s="1"/>
    </row>
    <row r="12602" spans="1:1" ht="46.5" customHeight="1" x14ac:dyDescent="0.25">
      <c r="A12602" s="1"/>
    </row>
    <row r="12603" spans="1:1" ht="46.5" customHeight="1" x14ac:dyDescent="0.25">
      <c r="A12603" s="1"/>
    </row>
    <row r="12604" spans="1:1" ht="46.5" customHeight="1" x14ac:dyDescent="0.25">
      <c r="A12604" s="1"/>
    </row>
    <row r="12605" spans="1:1" ht="46.5" customHeight="1" x14ac:dyDescent="0.25">
      <c r="A12605" s="1"/>
    </row>
    <row r="12606" spans="1:1" ht="46.5" customHeight="1" x14ac:dyDescent="0.25">
      <c r="A12606" s="1"/>
    </row>
    <row r="12607" spans="1:1" ht="46.5" customHeight="1" x14ac:dyDescent="0.25">
      <c r="A12607" s="1"/>
    </row>
    <row r="12608" spans="1:1" ht="46.5" customHeight="1" x14ac:dyDescent="0.25">
      <c r="A12608" s="1"/>
    </row>
    <row r="12609" spans="1:1" ht="46.5" customHeight="1" x14ac:dyDescent="0.25">
      <c r="A12609" s="1"/>
    </row>
    <row r="12610" spans="1:1" ht="46.5" customHeight="1" x14ac:dyDescent="0.25">
      <c r="A12610" s="1"/>
    </row>
    <row r="12611" spans="1:1" ht="46.5" customHeight="1" x14ac:dyDescent="0.25">
      <c r="A12611" s="1"/>
    </row>
    <row r="12612" spans="1:1" ht="46.5" customHeight="1" x14ac:dyDescent="0.25">
      <c r="A12612" s="1"/>
    </row>
    <row r="12613" spans="1:1" ht="46.5" customHeight="1" x14ac:dyDescent="0.25">
      <c r="A12613" s="1"/>
    </row>
    <row r="12614" spans="1:1" ht="46.5" customHeight="1" x14ac:dyDescent="0.25">
      <c r="A12614" s="1"/>
    </row>
    <row r="12615" spans="1:1" ht="46.5" customHeight="1" x14ac:dyDescent="0.25">
      <c r="A12615" s="1"/>
    </row>
    <row r="12616" spans="1:1" ht="46.5" customHeight="1" x14ac:dyDescent="0.25">
      <c r="A12616" s="1"/>
    </row>
    <row r="12617" spans="1:1" ht="46.5" customHeight="1" x14ac:dyDescent="0.25">
      <c r="A12617" s="1"/>
    </row>
    <row r="12618" spans="1:1" ht="46.5" customHeight="1" x14ac:dyDescent="0.25">
      <c r="A12618" s="1"/>
    </row>
    <row r="12619" spans="1:1" ht="46.5" customHeight="1" x14ac:dyDescent="0.25">
      <c r="A12619" s="1"/>
    </row>
    <row r="12620" spans="1:1" ht="46.5" customHeight="1" x14ac:dyDescent="0.25">
      <c r="A12620" s="1"/>
    </row>
    <row r="12621" spans="1:1" ht="46.5" customHeight="1" x14ac:dyDescent="0.25">
      <c r="A12621" s="1"/>
    </row>
    <row r="12622" spans="1:1" ht="46.5" customHeight="1" x14ac:dyDescent="0.25">
      <c r="A12622" s="1"/>
    </row>
    <row r="12623" spans="1:1" ht="46.5" customHeight="1" x14ac:dyDescent="0.25">
      <c r="A12623" s="1"/>
    </row>
    <row r="12624" spans="1:1" ht="46.5" customHeight="1" x14ac:dyDescent="0.25">
      <c r="A12624" s="1"/>
    </row>
    <row r="12625" spans="1:1" ht="46.5" customHeight="1" x14ac:dyDescent="0.25">
      <c r="A12625" s="1"/>
    </row>
    <row r="12626" spans="1:1" ht="46.5" customHeight="1" x14ac:dyDescent="0.25">
      <c r="A12626" s="1"/>
    </row>
    <row r="12627" spans="1:1" ht="46.5" customHeight="1" x14ac:dyDescent="0.25">
      <c r="A12627" s="1"/>
    </row>
    <row r="12628" spans="1:1" ht="46.5" customHeight="1" x14ac:dyDescent="0.25">
      <c r="A12628" s="1"/>
    </row>
    <row r="12629" spans="1:1" ht="46.5" customHeight="1" x14ac:dyDescent="0.25">
      <c r="A12629" s="1"/>
    </row>
    <row r="12630" spans="1:1" ht="46.5" customHeight="1" x14ac:dyDescent="0.25">
      <c r="A12630" s="1"/>
    </row>
    <row r="12631" spans="1:1" ht="46.5" customHeight="1" x14ac:dyDescent="0.25">
      <c r="A12631" s="1"/>
    </row>
    <row r="12632" spans="1:1" ht="46.5" customHeight="1" x14ac:dyDescent="0.25">
      <c r="A12632" s="1"/>
    </row>
    <row r="12633" spans="1:1" ht="46.5" customHeight="1" x14ac:dyDescent="0.25">
      <c r="A12633" s="1"/>
    </row>
    <row r="12634" spans="1:1" ht="46.5" customHeight="1" x14ac:dyDescent="0.25">
      <c r="A12634" s="1"/>
    </row>
    <row r="12635" spans="1:1" ht="46.5" customHeight="1" x14ac:dyDescent="0.25">
      <c r="A12635" s="1"/>
    </row>
    <row r="12636" spans="1:1" ht="46.5" customHeight="1" x14ac:dyDescent="0.25">
      <c r="A12636" s="1"/>
    </row>
    <row r="12637" spans="1:1" ht="46.5" customHeight="1" x14ac:dyDescent="0.25">
      <c r="A12637" s="1"/>
    </row>
    <row r="12638" spans="1:1" ht="46.5" customHeight="1" x14ac:dyDescent="0.25">
      <c r="A12638" s="1"/>
    </row>
    <row r="12639" spans="1:1" ht="46.5" customHeight="1" x14ac:dyDescent="0.25">
      <c r="A12639" s="1"/>
    </row>
    <row r="12640" spans="1:1" ht="46.5" customHeight="1" x14ac:dyDescent="0.25">
      <c r="A12640" s="1"/>
    </row>
    <row r="12641" spans="1:1" ht="46.5" customHeight="1" x14ac:dyDescent="0.25">
      <c r="A12641" s="1"/>
    </row>
    <row r="12642" spans="1:1" ht="46.5" customHeight="1" x14ac:dyDescent="0.25">
      <c r="A12642" s="1"/>
    </row>
    <row r="12643" spans="1:1" ht="46.5" customHeight="1" x14ac:dyDescent="0.25">
      <c r="A12643" s="1"/>
    </row>
    <row r="12644" spans="1:1" ht="46.5" customHeight="1" x14ac:dyDescent="0.25">
      <c r="A12644" s="1"/>
    </row>
    <row r="12645" spans="1:1" ht="46.5" customHeight="1" x14ac:dyDescent="0.25">
      <c r="A12645" s="1"/>
    </row>
    <row r="12646" spans="1:1" ht="46.5" customHeight="1" x14ac:dyDescent="0.25">
      <c r="A12646" s="1"/>
    </row>
    <row r="12647" spans="1:1" ht="46.5" customHeight="1" x14ac:dyDescent="0.25">
      <c r="A12647" s="1"/>
    </row>
    <row r="12648" spans="1:1" ht="46.5" customHeight="1" x14ac:dyDescent="0.25">
      <c r="A12648" s="1"/>
    </row>
    <row r="12649" spans="1:1" ht="46.5" customHeight="1" x14ac:dyDescent="0.25">
      <c r="A12649" s="1"/>
    </row>
    <row r="12650" spans="1:1" ht="46.5" customHeight="1" x14ac:dyDescent="0.25">
      <c r="A12650" s="1"/>
    </row>
    <row r="12651" spans="1:1" ht="46.5" customHeight="1" x14ac:dyDescent="0.25">
      <c r="A12651" s="1"/>
    </row>
    <row r="12652" spans="1:1" ht="46.5" customHeight="1" x14ac:dyDescent="0.25">
      <c r="A12652" s="1"/>
    </row>
    <row r="12653" spans="1:1" ht="46.5" customHeight="1" x14ac:dyDescent="0.25">
      <c r="A12653" s="1"/>
    </row>
    <row r="12654" spans="1:1" ht="46.5" customHeight="1" x14ac:dyDescent="0.25">
      <c r="A12654" s="1"/>
    </row>
    <row r="12655" spans="1:1" ht="46.5" customHeight="1" x14ac:dyDescent="0.25">
      <c r="A12655" s="1"/>
    </row>
    <row r="12656" spans="1:1" ht="46.5" customHeight="1" x14ac:dyDescent="0.25">
      <c r="A12656" s="1"/>
    </row>
    <row r="12657" spans="1:1" ht="46.5" customHeight="1" x14ac:dyDescent="0.25">
      <c r="A12657" s="1"/>
    </row>
    <row r="12658" spans="1:1" ht="46.5" customHeight="1" x14ac:dyDescent="0.25">
      <c r="A12658" s="1"/>
    </row>
    <row r="12659" spans="1:1" ht="46.5" customHeight="1" x14ac:dyDescent="0.25">
      <c r="A12659" s="1"/>
    </row>
    <row r="12660" spans="1:1" ht="46.5" customHeight="1" x14ac:dyDescent="0.25">
      <c r="A12660" s="1"/>
    </row>
    <row r="12661" spans="1:1" ht="46.5" customHeight="1" x14ac:dyDescent="0.25">
      <c r="A12661" s="1"/>
    </row>
    <row r="12662" spans="1:1" ht="46.5" customHeight="1" x14ac:dyDescent="0.25">
      <c r="A12662" s="1"/>
    </row>
    <row r="12663" spans="1:1" ht="46.5" customHeight="1" x14ac:dyDescent="0.25">
      <c r="A12663" s="1"/>
    </row>
    <row r="12664" spans="1:1" ht="46.5" customHeight="1" x14ac:dyDescent="0.25">
      <c r="A12664" s="1"/>
    </row>
    <row r="12665" spans="1:1" ht="46.5" customHeight="1" x14ac:dyDescent="0.25">
      <c r="A12665" s="1"/>
    </row>
    <row r="12666" spans="1:1" ht="46.5" customHeight="1" x14ac:dyDescent="0.25">
      <c r="A12666" s="1"/>
    </row>
    <row r="12667" spans="1:1" ht="46.5" customHeight="1" x14ac:dyDescent="0.25">
      <c r="A12667" s="1"/>
    </row>
    <row r="12668" spans="1:1" ht="46.5" customHeight="1" x14ac:dyDescent="0.25">
      <c r="A12668" s="1"/>
    </row>
    <row r="12669" spans="1:1" ht="46.5" customHeight="1" x14ac:dyDescent="0.25">
      <c r="A12669" s="1"/>
    </row>
    <row r="12670" spans="1:1" ht="46.5" customHeight="1" x14ac:dyDescent="0.25">
      <c r="A12670" s="1"/>
    </row>
    <row r="12671" spans="1:1" ht="46.5" customHeight="1" x14ac:dyDescent="0.25">
      <c r="A12671" s="1"/>
    </row>
    <row r="12672" spans="1:1" ht="46.5" customHeight="1" x14ac:dyDescent="0.25">
      <c r="A12672" s="1"/>
    </row>
    <row r="12673" spans="1:1" ht="46.5" customHeight="1" x14ac:dyDescent="0.25">
      <c r="A12673" s="1"/>
    </row>
    <row r="12674" spans="1:1" ht="46.5" customHeight="1" x14ac:dyDescent="0.25">
      <c r="A12674" s="1"/>
    </row>
    <row r="12675" spans="1:1" ht="46.5" customHeight="1" x14ac:dyDescent="0.25">
      <c r="A12675" s="1"/>
    </row>
    <row r="12676" spans="1:1" ht="46.5" customHeight="1" x14ac:dyDescent="0.25">
      <c r="A12676" s="1"/>
    </row>
    <row r="12677" spans="1:1" ht="46.5" customHeight="1" x14ac:dyDescent="0.25">
      <c r="A12677" s="1"/>
    </row>
    <row r="12678" spans="1:1" ht="46.5" customHeight="1" x14ac:dyDescent="0.25">
      <c r="A12678" s="1"/>
    </row>
    <row r="12679" spans="1:1" ht="46.5" customHeight="1" x14ac:dyDescent="0.25">
      <c r="A12679" s="1"/>
    </row>
    <row r="12680" spans="1:1" ht="46.5" customHeight="1" x14ac:dyDescent="0.25">
      <c r="A12680" s="1"/>
    </row>
    <row r="12681" spans="1:1" ht="46.5" customHeight="1" x14ac:dyDescent="0.25">
      <c r="A12681" s="1"/>
    </row>
    <row r="12682" spans="1:1" ht="46.5" customHeight="1" x14ac:dyDescent="0.25">
      <c r="A12682" s="1"/>
    </row>
    <row r="12683" spans="1:1" ht="46.5" customHeight="1" x14ac:dyDescent="0.25">
      <c r="A12683" s="1"/>
    </row>
    <row r="12684" spans="1:1" ht="46.5" customHeight="1" x14ac:dyDescent="0.25">
      <c r="A12684" s="1"/>
    </row>
    <row r="12685" spans="1:1" ht="46.5" customHeight="1" x14ac:dyDescent="0.25">
      <c r="A12685" s="1"/>
    </row>
    <row r="12686" spans="1:1" ht="46.5" customHeight="1" x14ac:dyDescent="0.25">
      <c r="A12686" s="1"/>
    </row>
    <row r="12687" spans="1:1" ht="46.5" customHeight="1" x14ac:dyDescent="0.25">
      <c r="A12687" s="1"/>
    </row>
    <row r="12688" spans="1:1" ht="46.5" customHeight="1" x14ac:dyDescent="0.25">
      <c r="A12688" s="1"/>
    </row>
    <row r="12689" spans="1:1" ht="46.5" customHeight="1" x14ac:dyDescent="0.25">
      <c r="A12689" s="1"/>
    </row>
    <row r="12690" spans="1:1" ht="46.5" customHeight="1" x14ac:dyDescent="0.25">
      <c r="A12690" s="1"/>
    </row>
    <row r="12691" spans="1:1" ht="46.5" customHeight="1" x14ac:dyDescent="0.25">
      <c r="A12691" s="1"/>
    </row>
    <row r="12692" spans="1:1" ht="46.5" customHeight="1" x14ac:dyDescent="0.25">
      <c r="A12692" s="1"/>
    </row>
    <row r="12693" spans="1:1" ht="46.5" customHeight="1" x14ac:dyDescent="0.25">
      <c r="A12693" s="1"/>
    </row>
    <row r="12694" spans="1:1" ht="46.5" customHeight="1" x14ac:dyDescent="0.25">
      <c r="A12694" s="1"/>
    </row>
    <row r="12695" spans="1:1" ht="46.5" customHeight="1" x14ac:dyDescent="0.25">
      <c r="A12695" s="1"/>
    </row>
    <row r="12696" spans="1:1" ht="46.5" customHeight="1" x14ac:dyDescent="0.25">
      <c r="A12696" s="1"/>
    </row>
    <row r="12697" spans="1:1" ht="46.5" customHeight="1" x14ac:dyDescent="0.25">
      <c r="A12697" s="1"/>
    </row>
    <row r="12698" spans="1:1" ht="46.5" customHeight="1" x14ac:dyDescent="0.25">
      <c r="A12698" s="1"/>
    </row>
    <row r="12699" spans="1:1" ht="46.5" customHeight="1" x14ac:dyDescent="0.25">
      <c r="A12699" s="1"/>
    </row>
    <row r="12700" spans="1:1" ht="46.5" customHeight="1" x14ac:dyDescent="0.25">
      <c r="A12700" s="1"/>
    </row>
    <row r="12701" spans="1:1" ht="46.5" customHeight="1" x14ac:dyDescent="0.25">
      <c r="A12701" s="1"/>
    </row>
    <row r="12702" spans="1:1" ht="46.5" customHeight="1" x14ac:dyDescent="0.25">
      <c r="A12702" s="1"/>
    </row>
    <row r="12703" spans="1:1" ht="46.5" customHeight="1" x14ac:dyDescent="0.25">
      <c r="A12703" s="1"/>
    </row>
    <row r="12704" spans="1:1" ht="46.5" customHeight="1" x14ac:dyDescent="0.25">
      <c r="A12704" s="1"/>
    </row>
    <row r="12705" spans="1:1" ht="46.5" customHeight="1" x14ac:dyDescent="0.25">
      <c r="A12705" s="1"/>
    </row>
    <row r="12706" spans="1:1" ht="46.5" customHeight="1" x14ac:dyDescent="0.25">
      <c r="A12706" s="1"/>
    </row>
    <row r="12707" spans="1:1" ht="46.5" customHeight="1" x14ac:dyDescent="0.25">
      <c r="A12707" s="1"/>
    </row>
    <row r="12708" spans="1:1" ht="46.5" customHeight="1" x14ac:dyDescent="0.25">
      <c r="A12708" s="1"/>
    </row>
    <row r="12709" spans="1:1" ht="46.5" customHeight="1" x14ac:dyDescent="0.25">
      <c r="A12709" s="1"/>
    </row>
    <row r="12710" spans="1:1" ht="46.5" customHeight="1" x14ac:dyDescent="0.25">
      <c r="A12710" s="1"/>
    </row>
    <row r="12711" spans="1:1" ht="46.5" customHeight="1" x14ac:dyDescent="0.25">
      <c r="A12711" s="1"/>
    </row>
    <row r="12712" spans="1:1" ht="46.5" customHeight="1" x14ac:dyDescent="0.25">
      <c r="A12712" s="1"/>
    </row>
    <row r="12713" spans="1:1" ht="46.5" customHeight="1" x14ac:dyDescent="0.25">
      <c r="A12713" s="1"/>
    </row>
    <row r="12714" spans="1:1" ht="46.5" customHeight="1" x14ac:dyDescent="0.25">
      <c r="A12714" s="1"/>
    </row>
    <row r="12715" spans="1:1" ht="46.5" customHeight="1" x14ac:dyDescent="0.25">
      <c r="A12715" s="1"/>
    </row>
    <row r="12716" spans="1:1" ht="46.5" customHeight="1" x14ac:dyDescent="0.25">
      <c r="A12716" s="1"/>
    </row>
    <row r="12717" spans="1:1" ht="46.5" customHeight="1" x14ac:dyDescent="0.25">
      <c r="A12717" s="1"/>
    </row>
    <row r="12718" spans="1:1" ht="46.5" customHeight="1" x14ac:dyDescent="0.25">
      <c r="A12718" s="1"/>
    </row>
    <row r="12719" spans="1:1" ht="46.5" customHeight="1" x14ac:dyDescent="0.25">
      <c r="A12719" s="1"/>
    </row>
    <row r="12720" spans="1:1" ht="46.5" customHeight="1" x14ac:dyDescent="0.25">
      <c r="A12720" s="1"/>
    </row>
    <row r="12721" spans="1:1" ht="46.5" customHeight="1" x14ac:dyDescent="0.25">
      <c r="A12721" s="1"/>
    </row>
    <row r="12722" spans="1:1" ht="46.5" customHeight="1" x14ac:dyDescent="0.25">
      <c r="A12722" s="1"/>
    </row>
    <row r="12723" spans="1:1" ht="46.5" customHeight="1" x14ac:dyDescent="0.25">
      <c r="A12723" s="1"/>
    </row>
    <row r="12724" spans="1:1" ht="46.5" customHeight="1" x14ac:dyDescent="0.25">
      <c r="A12724" s="1"/>
    </row>
    <row r="12725" spans="1:1" ht="46.5" customHeight="1" x14ac:dyDescent="0.25">
      <c r="A12725" s="1"/>
    </row>
    <row r="12726" spans="1:1" ht="46.5" customHeight="1" x14ac:dyDescent="0.25">
      <c r="A12726" s="1"/>
    </row>
    <row r="12727" spans="1:1" ht="46.5" customHeight="1" x14ac:dyDescent="0.25">
      <c r="A12727" s="1"/>
    </row>
    <row r="12728" spans="1:1" ht="46.5" customHeight="1" x14ac:dyDescent="0.25">
      <c r="A12728" s="1"/>
    </row>
    <row r="12729" spans="1:1" ht="46.5" customHeight="1" x14ac:dyDescent="0.25">
      <c r="A12729" s="1"/>
    </row>
    <row r="12730" spans="1:1" ht="46.5" customHeight="1" x14ac:dyDescent="0.25">
      <c r="A12730" s="1"/>
    </row>
    <row r="12731" spans="1:1" ht="46.5" customHeight="1" x14ac:dyDescent="0.25">
      <c r="A12731" s="1"/>
    </row>
    <row r="12732" spans="1:1" ht="46.5" customHeight="1" x14ac:dyDescent="0.25">
      <c r="A12732" s="1"/>
    </row>
    <row r="12733" spans="1:1" ht="46.5" customHeight="1" x14ac:dyDescent="0.25">
      <c r="A12733" s="1"/>
    </row>
    <row r="12734" spans="1:1" ht="46.5" customHeight="1" x14ac:dyDescent="0.25">
      <c r="A12734" s="1"/>
    </row>
    <row r="12735" spans="1:1" ht="46.5" customHeight="1" x14ac:dyDescent="0.25">
      <c r="A12735" s="1"/>
    </row>
    <row r="12736" spans="1:1" ht="46.5" customHeight="1" x14ac:dyDescent="0.25">
      <c r="A12736" s="1"/>
    </row>
    <row r="12737" spans="1:1" ht="46.5" customHeight="1" x14ac:dyDescent="0.25">
      <c r="A12737" s="1"/>
    </row>
    <row r="12738" spans="1:1" ht="46.5" customHeight="1" x14ac:dyDescent="0.25">
      <c r="A12738" s="1"/>
    </row>
    <row r="12739" spans="1:1" ht="46.5" customHeight="1" x14ac:dyDescent="0.25">
      <c r="A12739" s="1"/>
    </row>
    <row r="12740" spans="1:1" ht="46.5" customHeight="1" x14ac:dyDescent="0.25">
      <c r="A12740" s="1"/>
    </row>
    <row r="12741" spans="1:1" ht="46.5" customHeight="1" x14ac:dyDescent="0.25">
      <c r="A12741" s="1"/>
    </row>
    <row r="12742" spans="1:1" ht="46.5" customHeight="1" x14ac:dyDescent="0.25">
      <c r="A12742" s="1"/>
    </row>
    <row r="12743" spans="1:1" ht="46.5" customHeight="1" x14ac:dyDescent="0.25">
      <c r="A12743" s="1"/>
    </row>
    <row r="12744" spans="1:1" ht="46.5" customHeight="1" x14ac:dyDescent="0.25">
      <c r="A12744" s="1"/>
    </row>
    <row r="12745" spans="1:1" ht="46.5" customHeight="1" x14ac:dyDescent="0.25">
      <c r="A12745" s="1"/>
    </row>
    <row r="12746" spans="1:1" ht="46.5" customHeight="1" x14ac:dyDescent="0.25">
      <c r="A12746" s="1"/>
    </row>
    <row r="12747" spans="1:1" ht="46.5" customHeight="1" x14ac:dyDescent="0.25">
      <c r="A12747" s="1"/>
    </row>
    <row r="12748" spans="1:1" ht="46.5" customHeight="1" x14ac:dyDescent="0.25">
      <c r="A12748" s="1"/>
    </row>
    <row r="12749" spans="1:1" ht="46.5" customHeight="1" x14ac:dyDescent="0.25">
      <c r="A12749" s="1"/>
    </row>
    <row r="12750" spans="1:1" ht="46.5" customHeight="1" x14ac:dyDescent="0.25">
      <c r="A12750" s="1"/>
    </row>
    <row r="12751" spans="1:1" ht="46.5" customHeight="1" x14ac:dyDescent="0.25">
      <c r="A12751" s="1"/>
    </row>
    <row r="12752" spans="1:1" ht="46.5" customHeight="1" x14ac:dyDescent="0.25">
      <c r="A12752" s="1"/>
    </row>
    <row r="12753" spans="1:1" ht="46.5" customHeight="1" x14ac:dyDescent="0.25">
      <c r="A12753" s="1"/>
    </row>
    <row r="12754" spans="1:1" ht="46.5" customHeight="1" x14ac:dyDescent="0.25">
      <c r="A12754" s="1"/>
    </row>
    <row r="12755" spans="1:1" ht="46.5" customHeight="1" x14ac:dyDescent="0.25">
      <c r="A12755" s="1"/>
    </row>
    <row r="12756" spans="1:1" ht="46.5" customHeight="1" x14ac:dyDescent="0.25">
      <c r="A12756" s="1"/>
    </row>
    <row r="12757" spans="1:1" ht="46.5" customHeight="1" x14ac:dyDescent="0.25">
      <c r="A12757" s="1"/>
    </row>
    <row r="12758" spans="1:1" ht="46.5" customHeight="1" x14ac:dyDescent="0.25">
      <c r="A12758" s="1"/>
    </row>
    <row r="12759" spans="1:1" ht="46.5" customHeight="1" x14ac:dyDescent="0.25">
      <c r="A12759" s="1"/>
    </row>
    <row r="12760" spans="1:1" ht="46.5" customHeight="1" x14ac:dyDescent="0.25">
      <c r="A12760" s="1"/>
    </row>
    <row r="12761" spans="1:1" ht="46.5" customHeight="1" x14ac:dyDescent="0.25">
      <c r="A12761" s="1"/>
    </row>
    <row r="12762" spans="1:1" ht="46.5" customHeight="1" x14ac:dyDescent="0.25">
      <c r="A12762" s="1"/>
    </row>
    <row r="12763" spans="1:1" ht="46.5" customHeight="1" x14ac:dyDescent="0.25">
      <c r="A12763" s="1"/>
    </row>
    <row r="12764" spans="1:1" ht="46.5" customHeight="1" x14ac:dyDescent="0.25">
      <c r="A12764" s="1"/>
    </row>
    <row r="12765" spans="1:1" ht="46.5" customHeight="1" x14ac:dyDescent="0.25">
      <c r="A12765" s="1"/>
    </row>
    <row r="12766" spans="1:1" ht="46.5" customHeight="1" x14ac:dyDescent="0.25">
      <c r="A12766" s="1"/>
    </row>
    <row r="12767" spans="1:1" ht="46.5" customHeight="1" x14ac:dyDescent="0.25">
      <c r="A12767" s="1"/>
    </row>
    <row r="12768" spans="1:1" ht="46.5" customHeight="1" x14ac:dyDescent="0.25">
      <c r="A12768" s="1"/>
    </row>
    <row r="12769" spans="1:1" ht="46.5" customHeight="1" x14ac:dyDescent="0.25">
      <c r="A12769" s="1"/>
    </row>
    <row r="12770" spans="1:1" ht="46.5" customHeight="1" x14ac:dyDescent="0.25">
      <c r="A12770" s="1"/>
    </row>
    <row r="12771" spans="1:1" ht="46.5" customHeight="1" x14ac:dyDescent="0.25">
      <c r="A12771" s="1"/>
    </row>
    <row r="12772" spans="1:1" ht="46.5" customHeight="1" x14ac:dyDescent="0.25">
      <c r="A12772" s="1"/>
    </row>
    <row r="12773" spans="1:1" ht="46.5" customHeight="1" x14ac:dyDescent="0.25">
      <c r="A12773" s="1"/>
    </row>
    <row r="12774" spans="1:1" ht="46.5" customHeight="1" x14ac:dyDescent="0.25">
      <c r="A12774" s="1"/>
    </row>
    <row r="12775" spans="1:1" ht="46.5" customHeight="1" x14ac:dyDescent="0.25">
      <c r="A12775" s="1"/>
    </row>
    <row r="12776" spans="1:1" ht="46.5" customHeight="1" x14ac:dyDescent="0.25">
      <c r="A12776" s="1"/>
    </row>
    <row r="12777" spans="1:1" ht="46.5" customHeight="1" x14ac:dyDescent="0.25">
      <c r="A12777" s="1"/>
    </row>
    <row r="12778" spans="1:1" ht="46.5" customHeight="1" x14ac:dyDescent="0.25">
      <c r="A12778" s="1"/>
    </row>
    <row r="12779" spans="1:1" ht="46.5" customHeight="1" x14ac:dyDescent="0.25">
      <c r="A12779" s="1"/>
    </row>
    <row r="12780" spans="1:1" ht="46.5" customHeight="1" x14ac:dyDescent="0.25">
      <c r="A12780" s="1"/>
    </row>
    <row r="12781" spans="1:1" ht="46.5" customHeight="1" x14ac:dyDescent="0.25">
      <c r="A12781" s="1"/>
    </row>
    <row r="12782" spans="1:1" ht="46.5" customHeight="1" x14ac:dyDescent="0.25">
      <c r="A12782" s="1"/>
    </row>
    <row r="12783" spans="1:1" ht="46.5" customHeight="1" x14ac:dyDescent="0.25">
      <c r="A12783" s="1"/>
    </row>
    <row r="12784" spans="1:1" ht="46.5" customHeight="1" x14ac:dyDescent="0.25">
      <c r="A12784" s="1"/>
    </row>
    <row r="12785" spans="1:1" ht="46.5" customHeight="1" x14ac:dyDescent="0.25">
      <c r="A12785" s="1"/>
    </row>
    <row r="12786" spans="1:1" ht="46.5" customHeight="1" x14ac:dyDescent="0.25">
      <c r="A12786" s="1"/>
    </row>
    <row r="12787" spans="1:1" ht="46.5" customHeight="1" x14ac:dyDescent="0.25">
      <c r="A12787" s="1"/>
    </row>
    <row r="12788" spans="1:1" ht="46.5" customHeight="1" x14ac:dyDescent="0.25">
      <c r="A12788" s="1"/>
    </row>
    <row r="12789" spans="1:1" ht="46.5" customHeight="1" x14ac:dyDescent="0.25">
      <c r="A12789" s="1"/>
    </row>
    <row r="12790" spans="1:1" ht="46.5" customHeight="1" x14ac:dyDescent="0.25">
      <c r="A12790" s="1"/>
    </row>
    <row r="12791" spans="1:1" ht="46.5" customHeight="1" x14ac:dyDescent="0.25">
      <c r="A12791" s="1"/>
    </row>
    <row r="12792" spans="1:1" ht="46.5" customHeight="1" x14ac:dyDescent="0.25">
      <c r="A12792" s="1"/>
    </row>
    <row r="12793" spans="1:1" ht="46.5" customHeight="1" x14ac:dyDescent="0.25">
      <c r="A12793" s="1"/>
    </row>
    <row r="12794" spans="1:1" ht="46.5" customHeight="1" x14ac:dyDescent="0.25">
      <c r="A12794" s="1"/>
    </row>
    <row r="12795" spans="1:1" ht="46.5" customHeight="1" x14ac:dyDescent="0.25">
      <c r="A12795" s="1"/>
    </row>
    <row r="12796" spans="1:1" ht="46.5" customHeight="1" x14ac:dyDescent="0.25">
      <c r="A12796" s="1"/>
    </row>
    <row r="12797" spans="1:1" ht="46.5" customHeight="1" x14ac:dyDescent="0.25">
      <c r="A12797" s="1"/>
    </row>
    <row r="12798" spans="1:1" ht="46.5" customHeight="1" x14ac:dyDescent="0.25">
      <c r="A12798" s="1"/>
    </row>
    <row r="12799" spans="1:1" ht="46.5" customHeight="1" x14ac:dyDescent="0.25">
      <c r="A12799" s="1"/>
    </row>
    <row r="12800" spans="1:1" ht="46.5" customHeight="1" x14ac:dyDescent="0.25">
      <c r="A12800" s="1"/>
    </row>
    <row r="12801" spans="1:1" ht="46.5" customHeight="1" x14ac:dyDescent="0.25">
      <c r="A12801" s="1"/>
    </row>
    <row r="12802" spans="1:1" ht="46.5" customHeight="1" x14ac:dyDescent="0.25">
      <c r="A12802" s="1"/>
    </row>
    <row r="12803" spans="1:1" ht="46.5" customHeight="1" x14ac:dyDescent="0.25">
      <c r="A12803" s="1"/>
    </row>
    <row r="12804" spans="1:1" ht="46.5" customHeight="1" x14ac:dyDescent="0.25">
      <c r="A12804" s="1"/>
    </row>
    <row r="12805" spans="1:1" ht="46.5" customHeight="1" x14ac:dyDescent="0.25">
      <c r="A12805" s="1"/>
    </row>
    <row r="12806" spans="1:1" ht="46.5" customHeight="1" x14ac:dyDescent="0.25">
      <c r="A12806" s="1"/>
    </row>
    <row r="12807" spans="1:1" ht="46.5" customHeight="1" x14ac:dyDescent="0.25">
      <c r="A12807" s="1"/>
    </row>
    <row r="12808" spans="1:1" ht="46.5" customHeight="1" x14ac:dyDescent="0.25">
      <c r="A12808" s="1"/>
    </row>
    <row r="12809" spans="1:1" ht="46.5" customHeight="1" x14ac:dyDescent="0.25">
      <c r="A12809" s="1"/>
    </row>
    <row r="12810" spans="1:1" ht="46.5" customHeight="1" x14ac:dyDescent="0.25">
      <c r="A12810" s="1"/>
    </row>
    <row r="12811" spans="1:1" ht="46.5" customHeight="1" x14ac:dyDescent="0.25">
      <c r="A12811" s="1"/>
    </row>
    <row r="12812" spans="1:1" ht="46.5" customHeight="1" x14ac:dyDescent="0.25">
      <c r="A12812" s="1"/>
    </row>
    <row r="12813" spans="1:1" ht="46.5" customHeight="1" x14ac:dyDescent="0.25">
      <c r="A12813" s="1"/>
    </row>
    <row r="12814" spans="1:1" ht="46.5" customHeight="1" x14ac:dyDescent="0.25">
      <c r="A12814" s="1"/>
    </row>
    <row r="12815" spans="1:1" ht="46.5" customHeight="1" x14ac:dyDescent="0.25">
      <c r="A12815" s="1"/>
    </row>
    <row r="12816" spans="1:1" ht="46.5" customHeight="1" x14ac:dyDescent="0.25">
      <c r="A12816" s="1"/>
    </row>
    <row r="12817" spans="1:1" ht="46.5" customHeight="1" x14ac:dyDescent="0.25">
      <c r="A12817" s="1"/>
    </row>
    <row r="12818" spans="1:1" ht="46.5" customHeight="1" x14ac:dyDescent="0.25">
      <c r="A12818" s="1"/>
    </row>
    <row r="12819" spans="1:1" ht="46.5" customHeight="1" x14ac:dyDescent="0.25">
      <c r="A12819" s="1"/>
    </row>
    <row r="12820" spans="1:1" ht="46.5" customHeight="1" x14ac:dyDescent="0.25">
      <c r="A12820" s="1"/>
    </row>
    <row r="12821" spans="1:1" ht="46.5" customHeight="1" x14ac:dyDescent="0.25">
      <c r="A12821" s="1"/>
    </row>
    <row r="12822" spans="1:1" ht="46.5" customHeight="1" x14ac:dyDescent="0.25">
      <c r="A12822" s="1"/>
    </row>
    <row r="12823" spans="1:1" ht="46.5" customHeight="1" x14ac:dyDescent="0.25">
      <c r="A12823" s="1"/>
    </row>
    <row r="12824" spans="1:1" ht="46.5" customHeight="1" x14ac:dyDescent="0.25">
      <c r="A12824" s="1"/>
    </row>
    <row r="12825" spans="1:1" ht="46.5" customHeight="1" x14ac:dyDescent="0.25">
      <c r="A12825" s="1"/>
    </row>
    <row r="12826" spans="1:1" ht="46.5" customHeight="1" x14ac:dyDescent="0.25">
      <c r="A12826" s="1"/>
    </row>
    <row r="12827" spans="1:1" ht="46.5" customHeight="1" x14ac:dyDescent="0.25">
      <c r="A12827" s="1"/>
    </row>
    <row r="12828" spans="1:1" ht="46.5" customHeight="1" x14ac:dyDescent="0.25">
      <c r="A12828" s="1"/>
    </row>
    <row r="12829" spans="1:1" ht="46.5" customHeight="1" x14ac:dyDescent="0.25">
      <c r="A12829" s="1"/>
    </row>
    <row r="12830" spans="1:1" ht="46.5" customHeight="1" x14ac:dyDescent="0.25">
      <c r="A12830" s="1"/>
    </row>
    <row r="12831" spans="1:1" ht="46.5" customHeight="1" x14ac:dyDescent="0.25">
      <c r="A12831" s="1"/>
    </row>
    <row r="12832" spans="1:1" ht="46.5" customHeight="1" x14ac:dyDescent="0.25">
      <c r="A12832" s="1"/>
    </row>
    <row r="12833" spans="1:1" ht="46.5" customHeight="1" x14ac:dyDescent="0.25">
      <c r="A12833" s="1"/>
    </row>
    <row r="12834" spans="1:1" ht="46.5" customHeight="1" x14ac:dyDescent="0.25">
      <c r="A12834" s="1"/>
    </row>
    <row r="12835" spans="1:1" ht="46.5" customHeight="1" x14ac:dyDescent="0.25">
      <c r="A12835" s="1"/>
    </row>
    <row r="12836" spans="1:1" ht="46.5" customHeight="1" x14ac:dyDescent="0.25">
      <c r="A12836" s="1"/>
    </row>
    <row r="12837" spans="1:1" ht="46.5" customHeight="1" x14ac:dyDescent="0.25">
      <c r="A12837" s="1"/>
    </row>
    <row r="12838" spans="1:1" ht="46.5" customHeight="1" x14ac:dyDescent="0.25">
      <c r="A12838" s="1"/>
    </row>
    <row r="12839" spans="1:1" ht="46.5" customHeight="1" x14ac:dyDescent="0.25">
      <c r="A12839" s="1"/>
    </row>
    <row r="12840" spans="1:1" ht="46.5" customHeight="1" x14ac:dyDescent="0.25">
      <c r="A12840" s="1"/>
    </row>
    <row r="12841" spans="1:1" ht="46.5" customHeight="1" x14ac:dyDescent="0.25">
      <c r="A12841" s="1"/>
    </row>
    <row r="12842" spans="1:1" ht="46.5" customHeight="1" x14ac:dyDescent="0.25">
      <c r="A12842" s="1"/>
    </row>
    <row r="12843" spans="1:1" ht="46.5" customHeight="1" x14ac:dyDescent="0.25">
      <c r="A12843" s="1"/>
    </row>
    <row r="12844" spans="1:1" ht="46.5" customHeight="1" x14ac:dyDescent="0.25">
      <c r="A12844" s="1"/>
    </row>
    <row r="12845" spans="1:1" ht="46.5" customHeight="1" x14ac:dyDescent="0.25">
      <c r="A12845" s="1"/>
    </row>
    <row r="12846" spans="1:1" ht="46.5" customHeight="1" x14ac:dyDescent="0.25">
      <c r="A12846" s="1"/>
    </row>
    <row r="12847" spans="1:1" ht="46.5" customHeight="1" x14ac:dyDescent="0.25">
      <c r="A12847" s="1"/>
    </row>
    <row r="12848" spans="1:1" ht="46.5" customHeight="1" x14ac:dyDescent="0.25">
      <c r="A12848" s="1"/>
    </row>
    <row r="12849" spans="1:1" ht="46.5" customHeight="1" x14ac:dyDescent="0.25">
      <c r="A12849" s="1"/>
    </row>
    <row r="12850" spans="1:1" ht="46.5" customHeight="1" x14ac:dyDescent="0.25">
      <c r="A12850" s="1"/>
    </row>
    <row r="12851" spans="1:1" ht="46.5" customHeight="1" x14ac:dyDescent="0.25">
      <c r="A12851" s="1"/>
    </row>
    <row r="12852" spans="1:1" ht="46.5" customHeight="1" x14ac:dyDescent="0.25">
      <c r="A12852" s="1"/>
    </row>
    <row r="12853" spans="1:1" ht="46.5" customHeight="1" x14ac:dyDescent="0.25">
      <c r="A12853" s="1"/>
    </row>
    <row r="12854" spans="1:1" ht="46.5" customHeight="1" x14ac:dyDescent="0.25">
      <c r="A12854" s="1"/>
    </row>
    <row r="12855" spans="1:1" ht="46.5" customHeight="1" x14ac:dyDescent="0.25">
      <c r="A12855" s="1"/>
    </row>
    <row r="12856" spans="1:1" ht="46.5" customHeight="1" x14ac:dyDescent="0.25">
      <c r="A12856" s="1"/>
    </row>
    <row r="12857" spans="1:1" ht="46.5" customHeight="1" x14ac:dyDescent="0.25">
      <c r="A12857" s="1"/>
    </row>
    <row r="12858" spans="1:1" ht="46.5" customHeight="1" x14ac:dyDescent="0.25">
      <c r="A12858" s="1"/>
    </row>
    <row r="12859" spans="1:1" ht="46.5" customHeight="1" x14ac:dyDescent="0.25">
      <c r="A12859" s="1"/>
    </row>
    <row r="12860" spans="1:1" ht="46.5" customHeight="1" x14ac:dyDescent="0.25">
      <c r="A12860" s="1"/>
    </row>
    <row r="12861" spans="1:1" ht="46.5" customHeight="1" x14ac:dyDescent="0.25">
      <c r="A12861" s="1"/>
    </row>
    <row r="12862" spans="1:1" ht="46.5" customHeight="1" x14ac:dyDescent="0.25">
      <c r="A12862" s="1"/>
    </row>
    <row r="12863" spans="1:1" ht="46.5" customHeight="1" x14ac:dyDescent="0.25">
      <c r="A12863" s="1"/>
    </row>
    <row r="12864" spans="1:1" ht="46.5" customHeight="1" x14ac:dyDescent="0.25">
      <c r="A12864" s="1"/>
    </row>
    <row r="12865" spans="1:1" ht="46.5" customHeight="1" x14ac:dyDescent="0.25">
      <c r="A12865" s="1"/>
    </row>
    <row r="12866" spans="1:1" ht="46.5" customHeight="1" x14ac:dyDescent="0.25">
      <c r="A12866" s="1"/>
    </row>
    <row r="12867" spans="1:1" ht="46.5" customHeight="1" x14ac:dyDescent="0.25">
      <c r="A12867" s="1"/>
    </row>
    <row r="12868" spans="1:1" ht="46.5" customHeight="1" x14ac:dyDescent="0.25">
      <c r="A12868" s="1"/>
    </row>
    <row r="12869" spans="1:1" ht="46.5" customHeight="1" x14ac:dyDescent="0.25">
      <c r="A12869" s="1"/>
    </row>
    <row r="12870" spans="1:1" ht="46.5" customHeight="1" x14ac:dyDescent="0.25">
      <c r="A12870" s="1"/>
    </row>
    <row r="12871" spans="1:1" ht="46.5" customHeight="1" x14ac:dyDescent="0.25">
      <c r="A12871" s="1"/>
    </row>
    <row r="12872" spans="1:1" ht="46.5" customHeight="1" x14ac:dyDescent="0.25">
      <c r="A12872" s="1"/>
    </row>
    <row r="12873" spans="1:1" ht="46.5" customHeight="1" x14ac:dyDescent="0.25">
      <c r="A12873" s="1"/>
    </row>
    <row r="12874" spans="1:1" ht="46.5" customHeight="1" x14ac:dyDescent="0.25">
      <c r="A12874" s="1"/>
    </row>
    <row r="12875" spans="1:1" ht="46.5" customHeight="1" x14ac:dyDescent="0.25">
      <c r="A12875" s="1"/>
    </row>
    <row r="12876" spans="1:1" ht="46.5" customHeight="1" x14ac:dyDescent="0.25">
      <c r="A12876" s="1"/>
    </row>
    <row r="12877" spans="1:1" ht="46.5" customHeight="1" x14ac:dyDescent="0.25">
      <c r="A12877" s="1"/>
    </row>
    <row r="12878" spans="1:1" ht="46.5" customHeight="1" x14ac:dyDescent="0.25">
      <c r="A12878" s="1"/>
    </row>
    <row r="12879" spans="1:1" ht="46.5" customHeight="1" x14ac:dyDescent="0.25">
      <c r="A12879" s="1"/>
    </row>
    <row r="12880" spans="1:1" ht="46.5" customHeight="1" x14ac:dyDescent="0.25">
      <c r="A12880" s="1"/>
    </row>
    <row r="12881" spans="1:1" ht="46.5" customHeight="1" x14ac:dyDescent="0.25">
      <c r="A12881" s="1"/>
    </row>
    <row r="12882" spans="1:1" ht="46.5" customHeight="1" x14ac:dyDescent="0.25">
      <c r="A12882" s="1"/>
    </row>
    <row r="12883" spans="1:1" ht="46.5" customHeight="1" x14ac:dyDescent="0.25">
      <c r="A12883" s="1"/>
    </row>
    <row r="12884" spans="1:1" ht="46.5" customHeight="1" x14ac:dyDescent="0.25">
      <c r="A12884" s="1"/>
    </row>
    <row r="12885" spans="1:1" ht="46.5" customHeight="1" x14ac:dyDescent="0.25">
      <c r="A12885" s="1"/>
    </row>
    <row r="12886" spans="1:1" ht="46.5" customHeight="1" x14ac:dyDescent="0.25">
      <c r="A12886" s="1"/>
    </row>
    <row r="12887" spans="1:1" ht="46.5" customHeight="1" x14ac:dyDescent="0.25">
      <c r="A12887" s="1"/>
    </row>
    <row r="12888" spans="1:1" ht="46.5" customHeight="1" x14ac:dyDescent="0.25">
      <c r="A12888" s="1"/>
    </row>
    <row r="12889" spans="1:1" ht="46.5" customHeight="1" x14ac:dyDescent="0.25">
      <c r="A12889" s="1"/>
    </row>
    <row r="12890" spans="1:1" ht="46.5" customHeight="1" x14ac:dyDescent="0.25">
      <c r="A12890" s="1"/>
    </row>
    <row r="12891" spans="1:1" ht="46.5" customHeight="1" x14ac:dyDescent="0.25">
      <c r="A12891" s="1"/>
    </row>
    <row r="12892" spans="1:1" ht="46.5" customHeight="1" x14ac:dyDescent="0.25">
      <c r="A12892" s="1"/>
    </row>
    <row r="12893" spans="1:1" ht="46.5" customHeight="1" x14ac:dyDescent="0.25">
      <c r="A12893" s="1"/>
    </row>
    <row r="12894" spans="1:1" ht="46.5" customHeight="1" x14ac:dyDescent="0.25">
      <c r="A12894" s="1"/>
    </row>
    <row r="12895" spans="1:1" ht="46.5" customHeight="1" x14ac:dyDescent="0.25">
      <c r="A12895" s="1"/>
    </row>
    <row r="12896" spans="1:1" ht="46.5" customHeight="1" x14ac:dyDescent="0.25">
      <c r="A12896" s="1"/>
    </row>
    <row r="12897" spans="1:1" ht="46.5" customHeight="1" x14ac:dyDescent="0.25">
      <c r="A12897" s="1"/>
    </row>
    <row r="12898" spans="1:1" ht="46.5" customHeight="1" x14ac:dyDescent="0.25">
      <c r="A12898" s="1"/>
    </row>
    <row r="12899" spans="1:1" ht="46.5" customHeight="1" x14ac:dyDescent="0.25">
      <c r="A12899" s="1"/>
    </row>
    <row r="12900" spans="1:1" ht="46.5" customHeight="1" x14ac:dyDescent="0.25">
      <c r="A12900" s="1"/>
    </row>
    <row r="12901" spans="1:1" ht="46.5" customHeight="1" x14ac:dyDescent="0.25">
      <c r="A12901" s="1"/>
    </row>
    <row r="12902" spans="1:1" ht="46.5" customHeight="1" x14ac:dyDescent="0.25">
      <c r="A12902" s="1"/>
    </row>
    <row r="12903" spans="1:1" ht="46.5" customHeight="1" x14ac:dyDescent="0.25">
      <c r="A12903" s="1"/>
    </row>
    <row r="12904" spans="1:1" ht="46.5" customHeight="1" x14ac:dyDescent="0.25">
      <c r="A12904" s="1"/>
    </row>
    <row r="12905" spans="1:1" ht="46.5" customHeight="1" x14ac:dyDescent="0.25">
      <c r="A12905" s="1"/>
    </row>
    <row r="12906" spans="1:1" ht="46.5" customHeight="1" x14ac:dyDescent="0.25">
      <c r="A12906" s="1"/>
    </row>
    <row r="12907" spans="1:1" ht="46.5" customHeight="1" x14ac:dyDescent="0.25">
      <c r="A12907" s="1"/>
    </row>
    <row r="12908" spans="1:1" ht="46.5" customHeight="1" x14ac:dyDescent="0.25">
      <c r="A12908" s="1"/>
    </row>
    <row r="12909" spans="1:1" ht="46.5" customHeight="1" x14ac:dyDescent="0.25">
      <c r="A12909" s="1"/>
    </row>
    <row r="12910" spans="1:1" ht="46.5" customHeight="1" x14ac:dyDescent="0.25">
      <c r="A12910" s="1"/>
    </row>
    <row r="12911" spans="1:1" ht="46.5" customHeight="1" x14ac:dyDescent="0.25">
      <c r="A12911" s="1"/>
    </row>
    <row r="12912" spans="1:1" ht="46.5" customHeight="1" x14ac:dyDescent="0.25">
      <c r="A12912" s="1"/>
    </row>
    <row r="12913" spans="1:1" ht="46.5" customHeight="1" x14ac:dyDescent="0.25">
      <c r="A12913" s="1"/>
    </row>
    <row r="12914" spans="1:1" ht="46.5" customHeight="1" x14ac:dyDescent="0.25">
      <c r="A12914" s="1"/>
    </row>
    <row r="12915" spans="1:1" ht="46.5" customHeight="1" x14ac:dyDescent="0.25">
      <c r="A12915" s="1"/>
    </row>
    <row r="12916" spans="1:1" ht="46.5" customHeight="1" x14ac:dyDescent="0.25">
      <c r="A12916" s="1"/>
    </row>
    <row r="12917" spans="1:1" ht="46.5" customHeight="1" x14ac:dyDescent="0.25">
      <c r="A12917" s="1"/>
    </row>
    <row r="12918" spans="1:1" ht="46.5" customHeight="1" x14ac:dyDescent="0.25">
      <c r="A12918" s="1"/>
    </row>
    <row r="12919" spans="1:1" ht="46.5" customHeight="1" x14ac:dyDescent="0.25">
      <c r="A12919" s="1"/>
    </row>
    <row r="12920" spans="1:1" ht="46.5" customHeight="1" x14ac:dyDescent="0.25">
      <c r="A12920" s="1"/>
    </row>
    <row r="12921" spans="1:1" ht="46.5" customHeight="1" x14ac:dyDescent="0.25">
      <c r="A12921" s="1"/>
    </row>
    <row r="12922" spans="1:1" ht="46.5" customHeight="1" x14ac:dyDescent="0.25">
      <c r="A12922" s="1"/>
    </row>
    <row r="12923" spans="1:1" ht="46.5" customHeight="1" x14ac:dyDescent="0.25">
      <c r="A12923" s="1"/>
    </row>
    <row r="12924" spans="1:1" ht="46.5" customHeight="1" x14ac:dyDescent="0.25">
      <c r="A12924" s="1"/>
    </row>
    <row r="12925" spans="1:1" ht="46.5" customHeight="1" x14ac:dyDescent="0.25">
      <c r="A12925" s="1"/>
    </row>
    <row r="12926" spans="1:1" ht="46.5" customHeight="1" x14ac:dyDescent="0.25">
      <c r="A12926" s="1"/>
    </row>
    <row r="12927" spans="1:1" ht="46.5" customHeight="1" x14ac:dyDescent="0.25">
      <c r="A12927" s="1"/>
    </row>
    <row r="12928" spans="1:1" ht="46.5" customHeight="1" x14ac:dyDescent="0.25">
      <c r="A12928" s="1"/>
    </row>
    <row r="12929" spans="1:1" ht="46.5" customHeight="1" x14ac:dyDescent="0.25">
      <c r="A12929" s="1"/>
    </row>
    <row r="12930" spans="1:1" ht="46.5" customHeight="1" x14ac:dyDescent="0.25">
      <c r="A12930" s="1"/>
    </row>
    <row r="12931" spans="1:1" ht="46.5" customHeight="1" x14ac:dyDescent="0.25">
      <c r="A12931" s="1"/>
    </row>
    <row r="12932" spans="1:1" ht="46.5" customHeight="1" x14ac:dyDescent="0.25">
      <c r="A12932" s="1"/>
    </row>
    <row r="12933" spans="1:1" ht="46.5" customHeight="1" x14ac:dyDescent="0.25">
      <c r="A12933" s="1"/>
    </row>
    <row r="12934" spans="1:1" ht="46.5" customHeight="1" x14ac:dyDescent="0.25">
      <c r="A12934" s="1"/>
    </row>
    <row r="12935" spans="1:1" ht="46.5" customHeight="1" x14ac:dyDescent="0.25">
      <c r="A12935" s="1"/>
    </row>
    <row r="12936" spans="1:1" ht="46.5" customHeight="1" x14ac:dyDescent="0.25">
      <c r="A12936" s="1"/>
    </row>
    <row r="12937" spans="1:1" ht="46.5" customHeight="1" x14ac:dyDescent="0.25">
      <c r="A12937" s="1"/>
    </row>
    <row r="12938" spans="1:1" ht="46.5" customHeight="1" x14ac:dyDescent="0.25">
      <c r="A12938" s="1"/>
    </row>
    <row r="12939" spans="1:1" ht="46.5" customHeight="1" x14ac:dyDescent="0.25">
      <c r="A12939" s="1"/>
    </row>
    <row r="12940" spans="1:1" ht="46.5" customHeight="1" x14ac:dyDescent="0.25">
      <c r="A12940" s="1"/>
    </row>
    <row r="12941" spans="1:1" ht="46.5" customHeight="1" x14ac:dyDescent="0.25">
      <c r="A12941" s="1"/>
    </row>
    <row r="12942" spans="1:1" ht="46.5" customHeight="1" x14ac:dyDescent="0.25">
      <c r="A12942" s="1"/>
    </row>
    <row r="12943" spans="1:1" ht="46.5" customHeight="1" x14ac:dyDescent="0.25">
      <c r="A12943" s="1"/>
    </row>
    <row r="12944" spans="1:1" ht="46.5" customHeight="1" x14ac:dyDescent="0.25">
      <c r="A12944" s="1"/>
    </row>
    <row r="12945" spans="1:1" ht="46.5" customHeight="1" x14ac:dyDescent="0.25">
      <c r="A12945" s="1"/>
    </row>
    <row r="12946" spans="1:1" ht="46.5" customHeight="1" x14ac:dyDescent="0.25">
      <c r="A12946" s="1"/>
    </row>
    <row r="12947" spans="1:1" ht="46.5" customHeight="1" x14ac:dyDescent="0.25">
      <c r="A12947" s="1"/>
    </row>
    <row r="12948" spans="1:1" ht="46.5" customHeight="1" x14ac:dyDescent="0.25">
      <c r="A12948" s="1"/>
    </row>
    <row r="12949" spans="1:1" ht="46.5" customHeight="1" x14ac:dyDescent="0.25">
      <c r="A12949" s="1"/>
    </row>
    <row r="12950" spans="1:1" ht="46.5" customHeight="1" x14ac:dyDescent="0.25">
      <c r="A12950" s="1"/>
    </row>
    <row r="12951" spans="1:1" ht="46.5" customHeight="1" x14ac:dyDescent="0.25">
      <c r="A12951" s="1"/>
    </row>
    <row r="12952" spans="1:1" ht="46.5" customHeight="1" x14ac:dyDescent="0.25">
      <c r="A12952" s="1"/>
    </row>
    <row r="12953" spans="1:1" ht="46.5" customHeight="1" x14ac:dyDescent="0.25">
      <c r="A12953" s="1"/>
    </row>
    <row r="12954" spans="1:1" ht="46.5" customHeight="1" x14ac:dyDescent="0.25">
      <c r="A12954" s="1"/>
    </row>
    <row r="12955" spans="1:1" ht="46.5" customHeight="1" x14ac:dyDescent="0.25">
      <c r="A12955" s="1"/>
    </row>
    <row r="12956" spans="1:1" ht="46.5" customHeight="1" x14ac:dyDescent="0.25">
      <c r="A12956" s="1"/>
    </row>
    <row r="12957" spans="1:1" ht="46.5" customHeight="1" x14ac:dyDescent="0.25">
      <c r="A12957" s="1"/>
    </row>
    <row r="12958" spans="1:1" ht="46.5" customHeight="1" x14ac:dyDescent="0.25">
      <c r="A12958" s="1"/>
    </row>
    <row r="12959" spans="1:1" ht="46.5" customHeight="1" x14ac:dyDescent="0.25">
      <c r="A12959" s="1"/>
    </row>
    <row r="12960" spans="1:1" ht="46.5" customHeight="1" x14ac:dyDescent="0.25">
      <c r="A12960" s="1"/>
    </row>
    <row r="12961" spans="1:1" ht="46.5" customHeight="1" x14ac:dyDescent="0.25">
      <c r="A12961" s="1"/>
    </row>
    <row r="12962" spans="1:1" ht="46.5" customHeight="1" x14ac:dyDescent="0.25">
      <c r="A12962" s="1"/>
    </row>
    <row r="12963" spans="1:1" ht="46.5" customHeight="1" x14ac:dyDescent="0.25">
      <c r="A12963" s="1"/>
    </row>
    <row r="12964" spans="1:1" ht="46.5" customHeight="1" x14ac:dyDescent="0.25">
      <c r="A12964" s="1"/>
    </row>
    <row r="12965" spans="1:1" ht="46.5" customHeight="1" x14ac:dyDescent="0.25">
      <c r="A12965" s="1"/>
    </row>
    <row r="12966" spans="1:1" ht="46.5" customHeight="1" x14ac:dyDescent="0.25">
      <c r="A12966" s="1"/>
    </row>
    <row r="12967" spans="1:1" ht="46.5" customHeight="1" x14ac:dyDescent="0.25">
      <c r="A12967" s="1"/>
    </row>
    <row r="12968" spans="1:1" ht="46.5" customHeight="1" x14ac:dyDescent="0.25">
      <c r="A12968" s="1"/>
    </row>
    <row r="12969" spans="1:1" ht="46.5" customHeight="1" x14ac:dyDescent="0.25">
      <c r="A12969" s="1"/>
    </row>
    <row r="12970" spans="1:1" ht="46.5" customHeight="1" x14ac:dyDescent="0.25">
      <c r="A12970" s="1"/>
    </row>
    <row r="12971" spans="1:1" ht="46.5" customHeight="1" x14ac:dyDescent="0.25">
      <c r="A12971" s="1"/>
    </row>
    <row r="12972" spans="1:1" ht="46.5" customHeight="1" x14ac:dyDescent="0.25">
      <c r="A12972" s="1"/>
    </row>
    <row r="12973" spans="1:1" ht="46.5" customHeight="1" x14ac:dyDescent="0.25">
      <c r="A12973" s="1"/>
    </row>
    <row r="12974" spans="1:1" ht="46.5" customHeight="1" x14ac:dyDescent="0.25">
      <c r="A12974" s="1"/>
    </row>
    <row r="12975" spans="1:1" ht="46.5" customHeight="1" x14ac:dyDescent="0.25">
      <c r="A12975" s="1"/>
    </row>
    <row r="12976" spans="1:1" ht="46.5" customHeight="1" x14ac:dyDescent="0.25">
      <c r="A12976" s="1"/>
    </row>
    <row r="12977" spans="1:1" ht="46.5" customHeight="1" x14ac:dyDescent="0.25">
      <c r="A12977" s="1"/>
    </row>
    <row r="12978" spans="1:1" ht="46.5" customHeight="1" x14ac:dyDescent="0.25">
      <c r="A12978" s="1"/>
    </row>
    <row r="12979" spans="1:1" ht="46.5" customHeight="1" x14ac:dyDescent="0.25">
      <c r="A12979" s="1"/>
    </row>
    <row r="12980" spans="1:1" ht="46.5" customHeight="1" x14ac:dyDescent="0.25">
      <c r="A12980" s="1"/>
    </row>
    <row r="12981" spans="1:1" ht="46.5" customHeight="1" x14ac:dyDescent="0.25">
      <c r="A12981" s="1"/>
    </row>
    <row r="12982" spans="1:1" ht="46.5" customHeight="1" x14ac:dyDescent="0.25">
      <c r="A12982" s="1"/>
    </row>
    <row r="12983" spans="1:1" ht="46.5" customHeight="1" x14ac:dyDescent="0.25">
      <c r="A12983" s="1"/>
    </row>
    <row r="12984" spans="1:1" ht="46.5" customHeight="1" x14ac:dyDescent="0.25">
      <c r="A12984" s="1"/>
    </row>
    <row r="12985" spans="1:1" ht="46.5" customHeight="1" x14ac:dyDescent="0.25">
      <c r="A12985" s="1"/>
    </row>
    <row r="12986" spans="1:1" ht="46.5" customHeight="1" x14ac:dyDescent="0.25">
      <c r="A12986" s="1"/>
    </row>
    <row r="12987" spans="1:1" ht="46.5" customHeight="1" x14ac:dyDescent="0.25">
      <c r="A12987" s="1"/>
    </row>
    <row r="12988" spans="1:1" ht="46.5" customHeight="1" x14ac:dyDescent="0.25">
      <c r="A12988" s="1"/>
    </row>
    <row r="12989" spans="1:1" ht="46.5" customHeight="1" x14ac:dyDescent="0.25">
      <c r="A12989" s="1"/>
    </row>
    <row r="12990" spans="1:1" ht="46.5" customHeight="1" x14ac:dyDescent="0.25">
      <c r="A12990" s="1"/>
    </row>
    <row r="12991" spans="1:1" ht="46.5" customHeight="1" x14ac:dyDescent="0.25">
      <c r="A12991" s="1"/>
    </row>
    <row r="12992" spans="1:1" ht="46.5" customHeight="1" x14ac:dyDescent="0.25">
      <c r="A12992" s="1"/>
    </row>
    <row r="12993" spans="1:1" ht="46.5" customHeight="1" x14ac:dyDescent="0.25">
      <c r="A12993" s="1"/>
    </row>
    <row r="12994" spans="1:1" ht="46.5" customHeight="1" x14ac:dyDescent="0.25">
      <c r="A12994" s="1"/>
    </row>
    <row r="12995" spans="1:1" ht="46.5" customHeight="1" x14ac:dyDescent="0.25">
      <c r="A12995" s="1"/>
    </row>
    <row r="12996" spans="1:1" ht="46.5" customHeight="1" x14ac:dyDescent="0.25">
      <c r="A12996" s="1"/>
    </row>
    <row r="12997" spans="1:1" ht="46.5" customHeight="1" x14ac:dyDescent="0.25">
      <c r="A12997" s="1"/>
    </row>
    <row r="12998" spans="1:1" ht="46.5" customHeight="1" x14ac:dyDescent="0.25">
      <c r="A12998" s="1"/>
    </row>
    <row r="12999" spans="1:1" ht="46.5" customHeight="1" x14ac:dyDescent="0.25">
      <c r="A12999" s="1"/>
    </row>
    <row r="13000" spans="1:1" ht="46.5" customHeight="1" x14ac:dyDescent="0.25">
      <c r="A13000" s="1"/>
    </row>
    <row r="13001" spans="1:1" ht="46.5" customHeight="1" x14ac:dyDescent="0.25">
      <c r="A13001" s="1"/>
    </row>
    <row r="13002" spans="1:1" ht="46.5" customHeight="1" x14ac:dyDescent="0.25">
      <c r="A13002" s="1"/>
    </row>
    <row r="13003" spans="1:1" ht="46.5" customHeight="1" x14ac:dyDescent="0.25">
      <c r="A13003" s="1"/>
    </row>
    <row r="13004" spans="1:1" ht="46.5" customHeight="1" x14ac:dyDescent="0.25">
      <c r="A13004" s="1"/>
    </row>
    <row r="13005" spans="1:1" ht="46.5" customHeight="1" x14ac:dyDescent="0.25">
      <c r="A13005" s="1"/>
    </row>
    <row r="13006" spans="1:1" ht="46.5" customHeight="1" x14ac:dyDescent="0.25">
      <c r="A13006" s="1"/>
    </row>
    <row r="13007" spans="1:1" ht="46.5" customHeight="1" x14ac:dyDescent="0.25">
      <c r="A13007" s="1"/>
    </row>
    <row r="13008" spans="1:1" ht="46.5" customHeight="1" x14ac:dyDescent="0.25">
      <c r="A13008" s="1"/>
    </row>
    <row r="13009" spans="1:1" ht="46.5" customHeight="1" x14ac:dyDescent="0.25">
      <c r="A13009" s="1"/>
    </row>
    <row r="13010" spans="1:1" ht="46.5" customHeight="1" x14ac:dyDescent="0.25">
      <c r="A13010" s="1"/>
    </row>
    <row r="13011" spans="1:1" ht="46.5" customHeight="1" x14ac:dyDescent="0.25">
      <c r="A13011" s="1"/>
    </row>
    <row r="13012" spans="1:1" ht="46.5" customHeight="1" x14ac:dyDescent="0.25">
      <c r="A13012" s="1"/>
    </row>
    <row r="13013" spans="1:1" ht="46.5" customHeight="1" x14ac:dyDescent="0.25">
      <c r="A13013" s="1"/>
    </row>
    <row r="13014" spans="1:1" ht="46.5" customHeight="1" x14ac:dyDescent="0.25">
      <c r="A13014" s="1"/>
    </row>
    <row r="13015" spans="1:1" ht="46.5" customHeight="1" x14ac:dyDescent="0.25">
      <c r="A13015" s="1"/>
    </row>
    <row r="13016" spans="1:1" ht="46.5" customHeight="1" x14ac:dyDescent="0.25">
      <c r="A13016" s="1"/>
    </row>
    <row r="13017" spans="1:1" ht="46.5" customHeight="1" x14ac:dyDescent="0.25">
      <c r="A13017" s="1"/>
    </row>
    <row r="13018" spans="1:1" ht="46.5" customHeight="1" x14ac:dyDescent="0.25">
      <c r="A13018" s="1"/>
    </row>
    <row r="13019" spans="1:1" ht="46.5" customHeight="1" x14ac:dyDescent="0.25">
      <c r="A13019" s="1"/>
    </row>
    <row r="13020" spans="1:1" ht="46.5" customHeight="1" x14ac:dyDescent="0.25">
      <c r="A13020" s="1"/>
    </row>
    <row r="13021" spans="1:1" ht="46.5" customHeight="1" x14ac:dyDescent="0.25">
      <c r="A13021" s="1"/>
    </row>
    <row r="13022" spans="1:1" ht="46.5" customHeight="1" x14ac:dyDescent="0.25">
      <c r="A13022" s="1"/>
    </row>
    <row r="13023" spans="1:1" ht="46.5" customHeight="1" x14ac:dyDescent="0.25">
      <c r="A13023" s="1"/>
    </row>
    <row r="13024" spans="1:1" ht="46.5" customHeight="1" x14ac:dyDescent="0.25">
      <c r="A13024" s="1"/>
    </row>
    <row r="13025" spans="1:1" ht="46.5" customHeight="1" x14ac:dyDescent="0.25">
      <c r="A13025" s="1"/>
    </row>
    <row r="13026" spans="1:1" ht="46.5" customHeight="1" x14ac:dyDescent="0.25">
      <c r="A13026" s="1"/>
    </row>
    <row r="13027" spans="1:1" ht="46.5" customHeight="1" x14ac:dyDescent="0.25">
      <c r="A13027" s="1"/>
    </row>
    <row r="13028" spans="1:1" ht="46.5" customHeight="1" x14ac:dyDescent="0.25">
      <c r="A13028" s="1"/>
    </row>
    <row r="13029" spans="1:1" ht="46.5" customHeight="1" x14ac:dyDescent="0.25">
      <c r="A13029" s="1"/>
    </row>
    <row r="13030" spans="1:1" ht="46.5" customHeight="1" x14ac:dyDescent="0.25">
      <c r="A13030" s="1"/>
    </row>
    <row r="13031" spans="1:1" ht="46.5" customHeight="1" x14ac:dyDescent="0.25">
      <c r="A13031" s="1"/>
    </row>
    <row r="13032" spans="1:1" ht="46.5" customHeight="1" x14ac:dyDescent="0.25">
      <c r="A13032" s="1"/>
    </row>
    <row r="13033" spans="1:1" ht="46.5" customHeight="1" x14ac:dyDescent="0.25">
      <c r="A13033" s="1"/>
    </row>
    <row r="13034" spans="1:1" ht="46.5" customHeight="1" x14ac:dyDescent="0.25">
      <c r="A13034" s="1"/>
    </row>
    <row r="13035" spans="1:1" ht="46.5" customHeight="1" x14ac:dyDescent="0.25">
      <c r="A13035" s="1"/>
    </row>
    <row r="13036" spans="1:1" ht="46.5" customHeight="1" x14ac:dyDescent="0.25">
      <c r="A13036" s="1"/>
    </row>
    <row r="13037" spans="1:1" ht="46.5" customHeight="1" x14ac:dyDescent="0.25">
      <c r="A13037" s="1"/>
    </row>
    <row r="13038" spans="1:1" ht="46.5" customHeight="1" x14ac:dyDescent="0.25">
      <c r="A13038" s="1"/>
    </row>
    <row r="13039" spans="1:1" ht="46.5" customHeight="1" x14ac:dyDescent="0.25">
      <c r="A13039" s="1"/>
    </row>
    <row r="13040" spans="1:1" ht="46.5" customHeight="1" x14ac:dyDescent="0.25">
      <c r="A13040" s="1"/>
    </row>
    <row r="13041" spans="1:1" ht="46.5" customHeight="1" x14ac:dyDescent="0.25">
      <c r="A13041" s="1"/>
    </row>
    <row r="13042" spans="1:1" ht="46.5" customHeight="1" x14ac:dyDescent="0.25">
      <c r="A13042" s="1"/>
    </row>
    <row r="13043" spans="1:1" ht="46.5" customHeight="1" x14ac:dyDescent="0.25">
      <c r="A13043" s="1"/>
    </row>
    <row r="13044" spans="1:1" ht="46.5" customHeight="1" x14ac:dyDescent="0.25">
      <c r="A13044" s="1"/>
    </row>
    <row r="13045" spans="1:1" ht="46.5" customHeight="1" x14ac:dyDescent="0.25">
      <c r="A13045" s="1"/>
    </row>
    <row r="13046" spans="1:1" ht="46.5" customHeight="1" x14ac:dyDescent="0.25">
      <c r="A13046" s="1"/>
    </row>
    <row r="13047" spans="1:1" ht="46.5" customHeight="1" x14ac:dyDescent="0.25">
      <c r="A13047" s="1"/>
    </row>
    <row r="13048" spans="1:1" ht="46.5" customHeight="1" x14ac:dyDescent="0.25">
      <c r="A13048" s="1"/>
    </row>
    <row r="13049" spans="1:1" ht="46.5" customHeight="1" x14ac:dyDescent="0.25">
      <c r="A13049" s="1"/>
    </row>
    <row r="13050" spans="1:1" ht="46.5" customHeight="1" x14ac:dyDescent="0.25">
      <c r="A13050" s="1"/>
    </row>
    <row r="13051" spans="1:1" ht="46.5" customHeight="1" x14ac:dyDescent="0.25">
      <c r="A13051" s="1"/>
    </row>
    <row r="13052" spans="1:1" ht="46.5" customHeight="1" x14ac:dyDescent="0.25">
      <c r="A13052" s="1"/>
    </row>
    <row r="13053" spans="1:1" ht="46.5" customHeight="1" x14ac:dyDescent="0.25">
      <c r="A13053" s="1"/>
    </row>
    <row r="13054" spans="1:1" ht="46.5" customHeight="1" x14ac:dyDescent="0.25">
      <c r="A13054" s="1"/>
    </row>
    <row r="13055" spans="1:1" ht="46.5" customHeight="1" x14ac:dyDescent="0.25">
      <c r="A13055" s="1"/>
    </row>
    <row r="13056" spans="1:1" ht="46.5" customHeight="1" x14ac:dyDescent="0.25">
      <c r="A13056" s="1"/>
    </row>
    <row r="13057" spans="1:1" ht="46.5" customHeight="1" x14ac:dyDescent="0.25">
      <c r="A13057" s="1"/>
    </row>
    <row r="13058" spans="1:1" ht="46.5" customHeight="1" x14ac:dyDescent="0.25">
      <c r="A13058" s="1"/>
    </row>
    <row r="13059" spans="1:1" ht="46.5" customHeight="1" x14ac:dyDescent="0.25">
      <c r="A13059" s="1"/>
    </row>
    <row r="13060" spans="1:1" ht="46.5" customHeight="1" x14ac:dyDescent="0.25">
      <c r="A13060" s="1"/>
    </row>
    <row r="13061" spans="1:1" ht="46.5" customHeight="1" x14ac:dyDescent="0.25">
      <c r="A13061" s="1"/>
    </row>
    <row r="13062" spans="1:1" ht="46.5" customHeight="1" x14ac:dyDescent="0.25">
      <c r="A13062" s="1"/>
    </row>
    <row r="13063" spans="1:1" ht="46.5" customHeight="1" x14ac:dyDescent="0.25">
      <c r="A13063" s="1"/>
    </row>
    <row r="13064" spans="1:1" ht="46.5" customHeight="1" x14ac:dyDescent="0.25">
      <c r="A13064" s="1"/>
    </row>
    <row r="13065" spans="1:1" ht="46.5" customHeight="1" x14ac:dyDescent="0.25">
      <c r="A13065" s="1"/>
    </row>
    <row r="13066" spans="1:1" ht="46.5" customHeight="1" x14ac:dyDescent="0.25">
      <c r="A13066" s="1"/>
    </row>
    <row r="13067" spans="1:1" ht="46.5" customHeight="1" x14ac:dyDescent="0.25">
      <c r="A13067" s="1"/>
    </row>
    <row r="13068" spans="1:1" ht="46.5" customHeight="1" x14ac:dyDescent="0.25">
      <c r="A13068" s="1"/>
    </row>
    <row r="13069" spans="1:1" ht="46.5" customHeight="1" x14ac:dyDescent="0.25">
      <c r="A13069" s="1"/>
    </row>
    <row r="13070" spans="1:1" ht="46.5" customHeight="1" x14ac:dyDescent="0.25">
      <c r="A13070" s="1"/>
    </row>
    <row r="13071" spans="1:1" ht="46.5" customHeight="1" x14ac:dyDescent="0.25">
      <c r="A13071" s="1"/>
    </row>
    <row r="13072" spans="1:1" ht="46.5" customHeight="1" x14ac:dyDescent="0.25">
      <c r="A13072" s="1"/>
    </row>
    <row r="13073" spans="1:1" ht="46.5" customHeight="1" x14ac:dyDescent="0.25">
      <c r="A13073" s="1"/>
    </row>
    <row r="13074" spans="1:1" ht="46.5" customHeight="1" x14ac:dyDescent="0.25">
      <c r="A13074" s="1"/>
    </row>
    <row r="13075" spans="1:1" ht="46.5" customHeight="1" x14ac:dyDescent="0.25">
      <c r="A13075" s="1"/>
    </row>
    <row r="13076" spans="1:1" ht="46.5" customHeight="1" x14ac:dyDescent="0.25">
      <c r="A13076" s="1"/>
    </row>
    <row r="13077" spans="1:1" ht="46.5" customHeight="1" x14ac:dyDescent="0.25">
      <c r="A13077" s="1"/>
    </row>
    <row r="13078" spans="1:1" ht="46.5" customHeight="1" x14ac:dyDescent="0.25">
      <c r="A13078" s="1"/>
    </row>
    <row r="13079" spans="1:1" ht="46.5" customHeight="1" x14ac:dyDescent="0.25">
      <c r="A13079" s="1"/>
    </row>
    <row r="13080" spans="1:1" ht="46.5" customHeight="1" x14ac:dyDescent="0.25">
      <c r="A13080" s="1"/>
    </row>
    <row r="13081" spans="1:1" ht="46.5" customHeight="1" x14ac:dyDescent="0.25">
      <c r="A13081" s="1"/>
    </row>
    <row r="13082" spans="1:1" ht="46.5" customHeight="1" x14ac:dyDescent="0.25">
      <c r="A13082" s="1"/>
    </row>
    <row r="13083" spans="1:1" ht="46.5" customHeight="1" x14ac:dyDescent="0.25">
      <c r="A13083" s="1"/>
    </row>
    <row r="13084" spans="1:1" ht="46.5" customHeight="1" x14ac:dyDescent="0.25">
      <c r="A13084" s="1"/>
    </row>
    <row r="13085" spans="1:1" ht="46.5" customHeight="1" x14ac:dyDescent="0.25">
      <c r="A13085" s="1"/>
    </row>
    <row r="13086" spans="1:1" ht="46.5" customHeight="1" x14ac:dyDescent="0.25">
      <c r="A13086" s="1"/>
    </row>
    <row r="13087" spans="1:1" ht="46.5" customHeight="1" x14ac:dyDescent="0.25">
      <c r="A13087" s="1"/>
    </row>
    <row r="13088" spans="1:1" ht="46.5" customHeight="1" x14ac:dyDescent="0.25">
      <c r="A13088" s="1"/>
    </row>
    <row r="13089" spans="1:1" ht="46.5" customHeight="1" x14ac:dyDescent="0.25">
      <c r="A13089" s="1"/>
    </row>
    <row r="13090" spans="1:1" ht="46.5" customHeight="1" x14ac:dyDescent="0.25">
      <c r="A13090" s="1"/>
    </row>
    <row r="13091" spans="1:1" ht="46.5" customHeight="1" x14ac:dyDescent="0.25">
      <c r="A13091" s="1"/>
    </row>
    <row r="13092" spans="1:1" ht="46.5" customHeight="1" x14ac:dyDescent="0.25">
      <c r="A13092" s="1"/>
    </row>
    <row r="13093" spans="1:1" ht="46.5" customHeight="1" x14ac:dyDescent="0.25">
      <c r="A13093" s="1"/>
    </row>
    <row r="13094" spans="1:1" ht="46.5" customHeight="1" x14ac:dyDescent="0.25">
      <c r="A13094" s="1"/>
    </row>
    <row r="13095" spans="1:1" ht="46.5" customHeight="1" x14ac:dyDescent="0.25">
      <c r="A13095" s="1"/>
    </row>
    <row r="13096" spans="1:1" ht="46.5" customHeight="1" x14ac:dyDescent="0.25">
      <c r="A13096" s="1"/>
    </row>
    <row r="13097" spans="1:1" ht="46.5" customHeight="1" x14ac:dyDescent="0.25">
      <c r="A13097" s="1"/>
    </row>
    <row r="13098" spans="1:1" ht="46.5" customHeight="1" x14ac:dyDescent="0.25">
      <c r="A13098" s="1"/>
    </row>
    <row r="13099" spans="1:1" ht="46.5" customHeight="1" x14ac:dyDescent="0.25">
      <c r="A13099" s="1"/>
    </row>
    <row r="13100" spans="1:1" ht="46.5" customHeight="1" x14ac:dyDescent="0.25">
      <c r="A13100" s="1"/>
    </row>
    <row r="13101" spans="1:1" ht="46.5" customHeight="1" x14ac:dyDescent="0.25">
      <c r="A13101" s="1"/>
    </row>
    <row r="13102" spans="1:1" ht="46.5" customHeight="1" x14ac:dyDescent="0.25">
      <c r="A13102" s="1"/>
    </row>
    <row r="13103" spans="1:1" ht="46.5" customHeight="1" x14ac:dyDescent="0.25">
      <c r="A13103" s="1"/>
    </row>
    <row r="13104" spans="1:1" ht="46.5" customHeight="1" x14ac:dyDescent="0.25">
      <c r="A13104" s="1"/>
    </row>
    <row r="13105" spans="1:1" ht="46.5" customHeight="1" x14ac:dyDescent="0.25">
      <c r="A13105" s="1"/>
    </row>
    <row r="13106" spans="1:1" ht="46.5" customHeight="1" x14ac:dyDescent="0.25">
      <c r="A13106" s="1"/>
    </row>
    <row r="13107" spans="1:1" ht="46.5" customHeight="1" x14ac:dyDescent="0.25">
      <c r="A13107" s="1"/>
    </row>
    <row r="13108" spans="1:1" ht="46.5" customHeight="1" x14ac:dyDescent="0.25">
      <c r="A13108" s="1"/>
    </row>
    <row r="13109" spans="1:1" ht="46.5" customHeight="1" x14ac:dyDescent="0.25">
      <c r="A13109" s="1"/>
    </row>
    <row r="13110" spans="1:1" ht="46.5" customHeight="1" x14ac:dyDescent="0.25">
      <c r="A13110" s="1"/>
    </row>
    <row r="13111" spans="1:1" ht="46.5" customHeight="1" x14ac:dyDescent="0.25">
      <c r="A13111" s="1"/>
    </row>
    <row r="13112" spans="1:1" ht="46.5" customHeight="1" x14ac:dyDescent="0.25">
      <c r="A13112" s="1"/>
    </row>
    <row r="13113" spans="1:1" ht="46.5" customHeight="1" x14ac:dyDescent="0.25">
      <c r="A13113" s="1"/>
    </row>
    <row r="13114" spans="1:1" ht="46.5" customHeight="1" x14ac:dyDescent="0.25">
      <c r="A13114" s="1"/>
    </row>
    <row r="13115" spans="1:1" ht="46.5" customHeight="1" x14ac:dyDescent="0.25">
      <c r="A13115" s="1"/>
    </row>
    <row r="13116" spans="1:1" ht="46.5" customHeight="1" x14ac:dyDescent="0.25">
      <c r="A13116" s="1"/>
    </row>
    <row r="13117" spans="1:1" ht="46.5" customHeight="1" x14ac:dyDescent="0.25">
      <c r="A13117" s="1"/>
    </row>
    <row r="13118" spans="1:1" ht="46.5" customHeight="1" x14ac:dyDescent="0.25">
      <c r="A13118" s="1"/>
    </row>
    <row r="13119" spans="1:1" ht="46.5" customHeight="1" x14ac:dyDescent="0.25">
      <c r="A13119" s="1"/>
    </row>
    <row r="13120" spans="1:1" ht="46.5" customHeight="1" x14ac:dyDescent="0.25">
      <c r="A13120" s="1"/>
    </row>
    <row r="13121" spans="1:1" ht="46.5" customHeight="1" x14ac:dyDescent="0.25">
      <c r="A13121" s="1"/>
    </row>
    <row r="13122" spans="1:1" ht="46.5" customHeight="1" x14ac:dyDescent="0.25">
      <c r="A13122" s="1"/>
    </row>
    <row r="13123" spans="1:1" ht="46.5" customHeight="1" x14ac:dyDescent="0.25">
      <c r="A13123" s="1"/>
    </row>
    <row r="13124" spans="1:1" ht="46.5" customHeight="1" x14ac:dyDescent="0.25">
      <c r="A13124" s="1"/>
    </row>
    <row r="13125" spans="1:1" ht="46.5" customHeight="1" x14ac:dyDescent="0.25">
      <c r="A13125" s="1"/>
    </row>
    <row r="13126" spans="1:1" ht="46.5" customHeight="1" x14ac:dyDescent="0.25">
      <c r="A13126" s="1"/>
    </row>
    <row r="13127" spans="1:1" ht="46.5" customHeight="1" x14ac:dyDescent="0.25">
      <c r="A13127" s="1"/>
    </row>
    <row r="13128" spans="1:1" ht="46.5" customHeight="1" x14ac:dyDescent="0.25">
      <c r="A13128" s="1"/>
    </row>
    <row r="13129" spans="1:1" ht="46.5" customHeight="1" x14ac:dyDescent="0.25">
      <c r="A13129" s="1"/>
    </row>
    <row r="13130" spans="1:1" ht="46.5" customHeight="1" x14ac:dyDescent="0.25">
      <c r="A13130" s="1"/>
    </row>
    <row r="13131" spans="1:1" ht="46.5" customHeight="1" x14ac:dyDescent="0.25">
      <c r="A13131" s="1"/>
    </row>
    <row r="13132" spans="1:1" ht="46.5" customHeight="1" x14ac:dyDescent="0.25">
      <c r="A13132" s="1"/>
    </row>
    <row r="13133" spans="1:1" ht="46.5" customHeight="1" x14ac:dyDescent="0.25">
      <c r="A13133" s="1"/>
    </row>
    <row r="13134" spans="1:1" ht="46.5" customHeight="1" x14ac:dyDescent="0.25">
      <c r="A13134" s="1"/>
    </row>
    <row r="13135" spans="1:1" ht="46.5" customHeight="1" x14ac:dyDescent="0.25">
      <c r="A13135" s="1"/>
    </row>
    <row r="13136" spans="1:1" ht="46.5" customHeight="1" x14ac:dyDescent="0.25">
      <c r="A13136" s="1"/>
    </row>
    <row r="13137" spans="1:1" ht="46.5" customHeight="1" x14ac:dyDescent="0.25">
      <c r="A13137" s="1"/>
    </row>
    <row r="13138" spans="1:1" ht="46.5" customHeight="1" x14ac:dyDescent="0.25">
      <c r="A13138" s="1"/>
    </row>
    <row r="13139" spans="1:1" ht="46.5" customHeight="1" x14ac:dyDescent="0.25">
      <c r="A13139" s="1"/>
    </row>
    <row r="13140" spans="1:1" ht="46.5" customHeight="1" x14ac:dyDescent="0.25">
      <c r="A13140" s="1"/>
    </row>
    <row r="13141" spans="1:1" ht="46.5" customHeight="1" x14ac:dyDescent="0.25">
      <c r="A13141" s="1"/>
    </row>
    <row r="13142" spans="1:1" ht="46.5" customHeight="1" x14ac:dyDescent="0.25">
      <c r="A13142" s="1"/>
    </row>
    <row r="13143" spans="1:1" ht="46.5" customHeight="1" x14ac:dyDescent="0.25">
      <c r="A13143" s="1"/>
    </row>
    <row r="13144" spans="1:1" ht="46.5" customHeight="1" x14ac:dyDescent="0.25">
      <c r="A13144" s="1"/>
    </row>
    <row r="13145" spans="1:1" ht="46.5" customHeight="1" x14ac:dyDescent="0.25">
      <c r="A13145" s="1"/>
    </row>
    <row r="13146" spans="1:1" ht="46.5" customHeight="1" x14ac:dyDescent="0.25">
      <c r="A13146" s="1"/>
    </row>
    <row r="13147" spans="1:1" ht="46.5" customHeight="1" x14ac:dyDescent="0.25">
      <c r="A13147" s="1"/>
    </row>
    <row r="13148" spans="1:1" ht="46.5" customHeight="1" x14ac:dyDescent="0.25">
      <c r="A13148" s="1"/>
    </row>
    <row r="13149" spans="1:1" ht="46.5" customHeight="1" x14ac:dyDescent="0.25">
      <c r="A13149" s="1"/>
    </row>
    <row r="13150" spans="1:1" ht="46.5" customHeight="1" x14ac:dyDescent="0.25">
      <c r="A13150" s="1"/>
    </row>
    <row r="13151" spans="1:1" ht="46.5" customHeight="1" x14ac:dyDescent="0.25">
      <c r="A13151" s="1"/>
    </row>
    <row r="13152" spans="1:1" ht="46.5" customHeight="1" x14ac:dyDescent="0.25">
      <c r="A13152" s="1"/>
    </row>
    <row r="13153" spans="1:1" ht="46.5" customHeight="1" x14ac:dyDescent="0.25">
      <c r="A13153" s="1"/>
    </row>
    <row r="13154" spans="1:1" ht="46.5" customHeight="1" x14ac:dyDescent="0.25">
      <c r="A13154" s="1"/>
    </row>
    <row r="13155" spans="1:1" ht="46.5" customHeight="1" x14ac:dyDescent="0.25">
      <c r="A13155" s="1"/>
    </row>
    <row r="13156" spans="1:1" ht="46.5" customHeight="1" x14ac:dyDescent="0.25">
      <c r="A13156" s="1"/>
    </row>
    <row r="13157" spans="1:1" ht="46.5" customHeight="1" x14ac:dyDescent="0.25">
      <c r="A13157" s="1"/>
    </row>
    <row r="13158" spans="1:1" ht="46.5" customHeight="1" x14ac:dyDescent="0.25">
      <c r="A13158" s="1"/>
    </row>
    <row r="13159" spans="1:1" ht="46.5" customHeight="1" x14ac:dyDescent="0.25">
      <c r="A13159" s="1"/>
    </row>
    <row r="13160" spans="1:1" ht="46.5" customHeight="1" x14ac:dyDescent="0.25">
      <c r="A13160" s="1"/>
    </row>
    <row r="13161" spans="1:1" ht="46.5" customHeight="1" x14ac:dyDescent="0.25">
      <c r="A13161" s="1"/>
    </row>
    <row r="13162" spans="1:1" ht="46.5" customHeight="1" x14ac:dyDescent="0.25">
      <c r="A13162" s="1"/>
    </row>
    <row r="13163" spans="1:1" ht="46.5" customHeight="1" x14ac:dyDescent="0.25">
      <c r="A13163" s="1"/>
    </row>
    <row r="13164" spans="1:1" ht="46.5" customHeight="1" x14ac:dyDescent="0.25">
      <c r="A13164" s="1"/>
    </row>
    <row r="13165" spans="1:1" ht="46.5" customHeight="1" x14ac:dyDescent="0.25">
      <c r="A13165" s="1"/>
    </row>
    <row r="13166" spans="1:1" ht="46.5" customHeight="1" x14ac:dyDescent="0.25">
      <c r="A13166" s="1"/>
    </row>
    <row r="13167" spans="1:1" ht="46.5" customHeight="1" x14ac:dyDescent="0.25">
      <c r="A13167" s="1"/>
    </row>
    <row r="13168" spans="1:1" ht="46.5" customHeight="1" x14ac:dyDescent="0.25">
      <c r="A13168" s="1"/>
    </row>
    <row r="13169" spans="1:1" ht="46.5" customHeight="1" x14ac:dyDescent="0.25">
      <c r="A13169" s="1"/>
    </row>
    <row r="13170" spans="1:1" ht="46.5" customHeight="1" x14ac:dyDescent="0.25">
      <c r="A13170" s="1"/>
    </row>
    <row r="13171" spans="1:1" ht="46.5" customHeight="1" x14ac:dyDescent="0.25">
      <c r="A13171" s="1"/>
    </row>
    <row r="13172" spans="1:1" ht="46.5" customHeight="1" x14ac:dyDescent="0.25">
      <c r="A13172" s="1"/>
    </row>
    <row r="13173" spans="1:1" ht="46.5" customHeight="1" x14ac:dyDescent="0.25">
      <c r="A13173" s="1"/>
    </row>
    <row r="13174" spans="1:1" ht="46.5" customHeight="1" x14ac:dyDescent="0.25">
      <c r="A13174" s="1"/>
    </row>
    <row r="13175" spans="1:1" ht="46.5" customHeight="1" x14ac:dyDescent="0.25">
      <c r="A13175" s="1"/>
    </row>
    <row r="13176" spans="1:1" ht="46.5" customHeight="1" x14ac:dyDescent="0.25">
      <c r="A13176" s="1"/>
    </row>
    <row r="13177" spans="1:1" ht="46.5" customHeight="1" x14ac:dyDescent="0.25">
      <c r="A13177" s="1"/>
    </row>
    <row r="13178" spans="1:1" ht="46.5" customHeight="1" x14ac:dyDescent="0.25">
      <c r="A13178" s="1"/>
    </row>
    <row r="13179" spans="1:1" ht="46.5" customHeight="1" x14ac:dyDescent="0.25">
      <c r="A13179" s="1"/>
    </row>
    <row r="13180" spans="1:1" ht="46.5" customHeight="1" x14ac:dyDescent="0.25">
      <c r="A13180" s="1"/>
    </row>
    <row r="13181" spans="1:1" ht="46.5" customHeight="1" x14ac:dyDescent="0.25">
      <c r="A13181" s="1"/>
    </row>
    <row r="13182" spans="1:1" ht="46.5" customHeight="1" x14ac:dyDescent="0.25">
      <c r="A13182" s="1"/>
    </row>
    <row r="13183" spans="1:1" ht="46.5" customHeight="1" x14ac:dyDescent="0.25">
      <c r="A13183" s="1"/>
    </row>
    <row r="13184" spans="1:1" ht="46.5" customHeight="1" x14ac:dyDescent="0.25">
      <c r="A13184" s="1"/>
    </row>
    <row r="13185" spans="1:1" ht="46.5" customHeight="1" x14ac:dyDescent="0.25">
      <c r="A13185" s="1"/>
    </row>
    <row r="13186" spans="1:1" ht="46.5" customHeight="1" x14ac:dyDescent="0.25">
      <c r="A13186" s="1"/>
    </row>
    <row r="13187" spans="1:1" ht="46.5" customHeight="1" x14ac:dyDescent="0.25">
      <c r="A13187" s="1"/>
    </row>
    <row r="13188" spans="1:1" ht="46.5" customHeight="1" x14ac:dyDescent="0.25">
      <c r="A13188" s="1"/>
    </row>
    <row r="13189" spans="1:1" ht="46.5" customHeight="1" x14ac:dyDescent="0.25">
      <c r="A13189" s="1"/>
    </row>
    <row r="13190" spans="1:1" ht="46.5" customHeight="1" x14ac:dyDescent="0.25">
      <c r="A13190" s="1"/>
    </row>
    <row r="13191" spans="1:1" ht="46.5" customHeight="1" x14ac:dyDescent="0.25">
      <c r="A13191" s="1"/>
    </row>
    <row r="13192" spans="1:1" ht="46.5" customHeight="1" x14ac:dyDescent="0.25">
      <c r="A13192" s="1"/>
    </row>
    <row r="13193" spans="1:1" ht="46.5" customHeight="1" x14ac:dyDescent="0.25">
      <c r="A13193" s="1"/>
    </row>
    <row r="13194" spans="1:1" ht="46.5" customHeight="1" x14ac:dyDescent="0.25">
      <c r="A13194" s="1"/>
    </row>
    <row r="13195" spans="1:1" ht="46.5" customHeight="1" x14ac:dyDescent="0.25">
      <c r="A13195" s="1"/>
    </row>
    <row r="13196" spans="1:1" ht="46.5" customHeight="1" x14ac:dyDescent="0.25">
      <c r="A13196" s="1"/>
    </row>
    <row r="13197" spans="1:1" ht="46.5" customHeight="1" x14ac:dyDescent="0.25">
      <c r="A13197" s="1"/>
    </row>
    <row r="13198" spans="1:1" ht="46.5" customHeight="1" x14ac:dyDescent="0.25">
      <c r="A13198" s="1"/>
    </row>
    <row r="13199" spans="1:1" ht="46.5" customHeight="1" x14ac:dyDescent="0.25">
      <c r="A13199" s="1"/>
    </row>
    <row r="13200" spans="1:1" ht="46.5" customHeight="1" x14ac:dyDescent="0.25">
      <c r="A13200" s="1"/>
    </row>
    <row r="13201" spans="1:1" ht="46.5" customHeight="1" x14ac:dyDescent="0.25">
      <c r="A13201" s="1"/>
    </row>
    <row r="13202" spans="1:1" ht="46.5" customHeight="1" x14ac:dyDescent="0.25">
      <c r="A13202" s="1"/>
    </row>
    <row r="13203" spans="1:1" ht="46.5" customHeight="1" x14ac:dyDescent="0.25">
      <c r="A13203" s="1"/>
    </row>
    <row r="13204" spans="1:1" ht="46.5" customHeight="1" x14ac:dyDescent="0.25">
      <c r="A13204" s="1"/>
    </row>
    <row r="13205" spans="1:1" ht="46.5" customHeight="1" x14ac:dyDescent="0.25">
      <c r="A13205" s="1"/>
    </row>
    <row r="13206" spans="1:1" ht="46.5" customHeight="1" x14ac:dyDescent="0.25">
      <c r="A13206" s="1"/>
    </row>
    <row r="13207" spans="1:1" ht="46.5" customHeight="1" x14ac:dyDescent="0.25">
      <c r="A13207" s="1"/>
    </row>
    <row r="13208" spans="1:1" ht="46.5" customHeight="1" x14ac:dyDescent="0.25">
      <c r="A13208" s="1"/>
    </row>
    <row r="13209" spans="1:1" ht="46.5" customHeight="1" x14ac:dyDescent="0.25">
      <c r="A13209" s="1"/>
    </row>
    <row r="13210" spans="1:1" ht="46.5" customHeight="1" x14ac:dyDescent="0.25">
      <c r="A13210" s="1"/>
    </row>
    <row r="13211" spans="1:1" ht="46.5" customHeight="1" x14ac:dyDescent="0.25">
      <c r="A13211" s="1"/>
    </row>
    <row r="13212" spans="1:1" ht="46.5" customHeight="1" x14ac:dyDescent="0.25">
      <c r="A13212" s="1"/>
    </row>
    <row r="13213" spans="1:1" ht="46.5" customHeight="1" x14ac:dyDescent="0.25">
      <c r="A13213" s="1"/>
    </row>
    <row r="13214" spans="1:1" ht="46.5" customHeight="1" x14ac:dyDescent="0.25">
      <c r="A13214" s="1"/>
    </row>
    <row r="13215" spans="1:1" ht="46.5" customHeight="1" x14ac:dyDescent="0.25">
      <c r="A13215" s="1"/>
    </row>
    <row r="13216" spans="1:1" ht="46.5" customHeight="1" x14ac:dyDescent="0.25">
      <c r="A13216" s="1"/>
    </row>
    <row r="13217" spans="1:1" ht="46.5" customHeight="1" x14ac:dyDescent="0.25">
      <c r="A13217" s="1"/>
    </row>
    <row r="13218" spans="1:1" ht="46.5" customHeight="1" x14ac:dyDescent="0.25">
      <c r="A13218" s="1"/>
    </row>
    <row r="13219" spans="1:1" ht="46.5" customHeight="1" x14ac:dyDescent="0.25">
      <c r="A13219" s="1"/>
    </row>
    <row r="13220" spans="1:1" ht="46.5" customHeight="1" x14ac:dyDescent="0.25">
      <c r="A13220" s="1"/>
    </row>
    <row r="13221" spans="1:1" ht="46.5" customHeight="1" x14ac:dyDescent="0.25">
      <c r="A13221" s="1"/>
    </row>
    <row r="13222" spans="1:1" ht="46.5" customHeight="1" x14ac:dyDescent="0.25">
      <c r="A13222" s="1"/>
    </row>
    <row r="13223" spans="1:1" ht="46.5" customHeight="1" x14ac:dyDescent="0.25">
      <c r="A13223" s="1"/>
    </row>
    <row r="13224" spans="1:1" ht="46.5" customHeight="1" x14ac:dyDescent="0.25">
      <c r="A13224" s="1"/>
    </row>
    <row r="13225" spans="1:1" ht="46.5" customHeight="1" x14ac:dyDescent="0.25">
      <c r="A13225" s="1"/>
    </row>
    <row r="13226" spans="1:1" ht="46.5" customHeight="1" x14ac:dyDescent="0.25">
      <c r="A13226" s="1"/>
    </row>
    <row r="13227" spans="1:1" ht="46.5" customHeight="1" x14ac:dyDescent="0.25">
      <c r="A13227" s="1"/>
    </row>
    <row r="13228" spans="1:1" ht="46.5" customHeight="1" x14ac:dyDescent="0.25">
      <c r="A13228" s="1"/>
    </row>
    <row r="13229" spans="1:1" ht="46.5" customHeight="1" x14ac:dyDescent="0.25">
      <c r="A13229" s="1"/>
    </row>
    <row r="13230" spans="1:1" ht="46.5" customHeight="1" x14ac:dyDescent="0.25">
      <c r="A13230" s="1"/>
    </row>
    <row r="13231" spans="1:1" ht="46.5" customHeight="1" x14ac:dyDescent="0.25">
      <c r="A13231" s="1"/>
    </row>
    <row r="13232" spans="1:1" ht="46.5" customHeight="1" x14ac:dyDescent="0.25">
      <c r="A13232" s="1"/>
    </row>
    <row r="13233" spans="1:1" ht="46.5" customHeight="1" x14ac:dyDescent="0.25">
      <c r="A13233" s="1"/>
    </row>
    <row r="13234" spans="1:1" ht="46.5" customHeight="1" x14ac:dyDescent="0.25">
      <c r="A13234" s="1"/>
    </row>
    <row r="13235" spans="1:1" ht="46.5" customHeight="1" x14ac:dyDescent="0.25">
      <c r="A13235" s="1"/>
    </row>
    <row r="13236" spans="1:1" ht="46.5" customHeight="1" x14ac:dyDescent="0.25">
      <c r="A13236" s="1"/>
    </row>
    <row r="13237" spans="1:1" ht="46.5" customHeight="1" x14ac:dyDescent="0.25">
      <c r="A13237" s="1"/>
    </row>
    <row r="13238" spans="1:1" ht="46.5" customHeight="1" x14ac:dyDescent="0.25">
      <c r="A13238" s="1"/>
    </row>
    <row r="13239" spans="1:1" ht="46.5" customHeight="1" x14ac:dyDescent="0.25">
      <c r="A13239" s="1"/>
    </row>
    <row r="13240" spans="1:1" ht="46.5" customHeight="1" x14ac:dyDescent="0.25">
      <c r="A13240" s="1"/>
    </row>
    <row r="13241" spans="1:1" ht="46.5" customHeight="1" x14ac:dyDescent="0.25">
      <c r="A13241" s="1"/>
    </row>
    <row r="13242" spans="1:1" ht="46.5" customHeight="1" x14ac:dyDescent="0.25">
      <c r="A13242" s="1"/>
    </row>
    <row r="13243" spans="1:1" ht="46.5" customHeight="1" x14ac:dyDescent="0.25">
      <c r="A13243" s="1"/>
    </row>
    <row r="13244" spans="1:1" ht="46.5" customHeight="1" x14ac:dyDescent="0.25">
      <c r="A13244" s="1"/>
    </row>
    <row r="13245" spans="1:1" ht="46.5" customHeight="1" x14ac:dyDescent="0.25">
      <c r="A13245" s="1"/>
    </row>
    <row r="13246" spans="1:1" ht="46.5" customHeight="1" x14ac:dyDescent="0.25">
      <c r="A13246" s="1"/>
    </row>
    <row r="13247" spans="1:1" ht="46.5" customHeight="1" x14ac:dyDescent="0.25">
      <c r="A13247" s="1"/>
    </row>
    <row r="13248" spans="1:1" ht="46.5" customHeight="1" x14ac:dyDescent="0.25">
      <c r="A13248" s="1"/>
    </row>
    <row r="13249" spans="1:1" ht="46.5" customHeight="1" x14ac:dyDescent="0.25">
      <c r="A13249" s="1"/>
    </row>
    <row r="13250" spans="1:1" ht="46.5" customHeight="1" x14ac:dyDescent="0.25">
      <c r="A13250" s="1"/>
    </row>
    <row r="13251" spans="1:1" ht="46.5" customHeight="1" x14ac:dyDescent="0.25">
      <c r="A13251" s="1"/>
    </row>
    <row r="13252" spans="1:1" ht="46.5" customHeight="1" x14ac:dyDescent="0.25">
      <c r="A13252" s="1"/>
    </row>
    <row r="13253" spans="1:1" ht="46.5" customHeight="1" x14ac:dyDescent="0.25">
      <c r="A13253" s="1"/>
    </row>
    <row r="13254" spans="1:1" ht="46.5" customHeight="1" x14ac:dyDescent="0.25">
      <c r="A13254" s="1"/>
    </row>
    <row r="13255" spans="1:1" ht="46.5" customHeight="1" x14ac:dyDescent="0.25">
      <c r="A13255" s="1"/>
    </row>
    <row r="13256" spans="1:1" ht="46.5" customHeight="1" x14ac:dyDescent="0.25">
      <c r="A13256" s="1"/>
    </row>
    <row r="13257" spans="1:1" ht="46.5" customHeight="1" x14ac:dyDescent="0.25">
      <c r="A13257" s="1"/>
    </row>
    <row r="13258" spans="1:1" ht="46.5" customHeight="1" x14ac:dyDescent="0.25">
      <c r="A13258" s="1"/>
    </row>
    <row r="13259" spans="1:1" ht="46.5" customHeight="1" x14ac:dyDescent="0.25">
      <c r="A13259" s="1"/>
    </row>
    <row r="13260" spans="1:1" ht="46.5" customHeight="1" x14ac:dyDescent="0.25">
      <c r="A13260" s="1"/>
    </row>
    <row r="13261" spans="1:1" ht="46.5" customHeight="1" x14ac:dyDescent="0.25">
      <c r="A13261" s="1"/>
    </row>
    <row r="13262" spans="1:1" ht="46.5" customHeight="1" x14ac:dyDescent="0.25">
      <c r="A13262" s="1"/>
    </row>
    <row r="13263" spans="1:1" ht="46.5" customHeight="1" x14ac:dyDescent="0.25">
      <c r="A13263" s="1"/>
    </row>
    <row r="13264" spans="1:1" ht="46.5" customHeight="1" x14ac:dyDescent="0.25">
      <c r="A13264" s="1"/>
    </row>
    <row r="13265" spans="1:1" ht="46.5" customHeight="1" x14ac:dyDescent="0.25">
      <c r="A13265" s="1"/>
    </row>
    <row r="13266" spans="1:1" ht="46.5" customHeight="1" x14ac:dyDescent="0.25">
      <c r="A13266" s="1"/>
    </row>
    <row r="13267" spans="1:1" ht="46.5" customHeight="1" x14ac:dyDescent="0.25">
      <c r="A13267" s="1"/>
    </row>
    <row r="13268" spans="1:1" ht="46.5" customHeight="1" x14ac:dyDescent="0.25">
      <c r="A13268" s="1"/>
    </row>
    <row r="13269" spans="1:1" ht="46.5" customHeight="1" x14ac:dyDescent="0.25">
      <c r="A13269" s="1"/>
    </row>
    <row r="13270" spans="1:1" ht="46.5" customHeight="1" x14ac:dyDescent="0.25">
      <c r="A13270" s="1"/>
    </row>
    <row r="13271" spans="1:1" ht="46.5" customHeight="1" x14ac:dyDescent="0.25">
      <c r="A13271" s="1"/>
    </row>
    <row r="13272" spans="1:1" ht="46.5" customHeight="1" x14ac:dyDescent="0.25">
      <c r="A13272" s="1"/>
    </row>
    <row r="13273" spans="1:1" ht="46.5" customHeight="1" x14ac:dyDescent="0.25">
      <c r="A13273" s="1"/>
    </row>
    <row r="13274" spans="1:1" ht="46.5" customHeight="1" x14ac:dyDescent="0.25">
      <c r="A13274" s="1"/>
    </row>
    <row r="13275" spans="1:1" ht="46.5" customHeight="1" x14ac:dyDescent="0.25">
      <c r="A13275" s="1"/>
    </row>
    <row r="13276" spans="1:1" ht="46.5" customHeight="1" x14ac:dyDescent="0.25">
      <c r="A13276" s="1"/>
    </row>
    <row r="13277" spans="1:1" ht="46.5" customHeight="1" x14ac:dyDescent="0.25">
      <c r="A13277" s="1"/>
    </row>
    <row r="13278" spans="1:1" ht="46.5" customHeight="1" x14ac:dyDescent="0.25">
      <c r="A13278" s="1"/>
    </row>
    <row r="13279" spans="1:1" ht="46.5" customHeight="1" x14ac:dyDescent="0.25">
      <c r="A13279" s="1"/>
    </row>
    <row r="13280" spans="1:1" ht="46.5" customHeight="1" x14ac:dyDescent="0.25">
      <c r="A13280" s="1"/>
    </row>
    <row r="13281" spans="1:1" ht="46.5" customHeight="1" x14ac:dyDescent="0.25">
      <c r="A13281" s="1"/>
    </row>
    <row r="13282" spans="1:1" ht="46.5" customHeight="1" x14ac:dyDescent="0.25">
      <c r="A13282" s="1"/>
    </row>
    <row r="13283" spans="1:1" ht="46.5" customHeight="1" x14ac:dyDescent="0.25">
      <c r="A13283" s="1"/>
    </row>
    <row r="13284" spans="1:1" ht="46.5" customHeight="1" x14ac:dyDescent="0.25">
      <c r="A13284" s="1"/>
    </row>
    <row r="13285" spans="1:1" ht="46.5" customHeight="1" x14ac:dyDescent="0.25">
      <c r="A13285" s="1"/>
    </row>
    <row r="13286" spans="1:1" ht="46.5" customHeight="1" x14ac:dyDescent="0.25">
      <c r="A13286" s="1"/>
    </row>
    <row r="13287" spans="1:1" ht="46.5" customHeight="1" x14ac:dyDescent="0.25">
      <c r="A13287" s="1"/>
    </row>
    <row r="13288" spans="1:1" ht="46.5" customHeight="1" x14ac:dyDescent="0.25">
      <c r="A13288" s="1"/>
    </row>
    <row r="13289" spans="1:1" ht="46.5" customHeight="1" x14ac:dyDescent="0.25">
      <c r="A13289" s="1"/>
    </row>
    <row r="13290" spans="1:1" ht="46.5" customHeight="1" x14ac:dyDescent="0.25">
      <c r="A13290" s="1"/>
    </row>
    <row r="13291" spans="1:1" ht="46.5" customHeight="1" x14ac:dyDescent="0.25">
      <c r="A13291" s="1"/>
    </row>
    <row r="13292" spans="1:1" ht="46.5" customHeight="1" x14ac:dyDescent="0.25">
      <c r="A13292" s="1"/>
    </row>
    <row r="13293" spans="1:1" ht="46.5" customHeight="1" x14ac:dyDescent="0.25">
      <c r="A13293" s="1"/>
    </row>
    <row r="13294" spans="1:1" ht="46.5" customHeight="1" x14ac:dyDescent="0.25">
      <c r="A13294" s="1"/>
    </row>
    <row r="13295" spans="1:1" ht="46.5" customHeight="1" x14ac:dyDescent="0.25">
      <c r="A13295" s="1"/>
    </row>
    <row r="13296" spans="1:1" ht="46.5" customHeight="1" x14ac:dyDescent="0.25">
      <c r="A13296" s="1"/>
    </row>
    <row r="13297" spans="1:1" ht="46.5" customHeight="1" x14ac:dyDescent="0.25">
      <c r="A13297" s="1"/>
    </row>
    <row r="13298" spans="1:1" ht="46.5" customHeight="1" x14ac:dyDescent="0.25">
      <c r="A13298" s="1"/>
    </row>
    <row r="13299" spans="1:1" ht="46.5" customHeight="1" x14ac:dyDescent="0.25">
      <c r="A13299" s="1"/>
    </row>
    <row r="13300" spans="1:1" ht="46.5" customHeight="1" x14ac:dyDescent="0.25">
      <c r="A13300" s="1"/>
    </row>
    <row r="13301" spans="1:1" ht="46.5" customHeight="1" x14ac:dyDescent="0.25">
      <c r="A13301" s="1"/>
    </row>
    <row r="13302" spans="1:1" ht="46.5" customHeight="1" x14ac:dyDescent="0.25">
      <c r="A13302" s="1"/>
    </row>
    <row r="13303" spans="1:1" ht="46.5" customHeight="1" x14ac:dyDescent="0.25">
      <c r="A13303" s="1"/>
    </row>
    <row r="13304" spans="1:1" ht="46.5" customHeight="1" x14ac:dyDescent="0.25">
      <c r="A13304" s="1"/>
    </row>
    <row r="13305" spans="1:1" ht="46.5" customHeight="1" x14ac:dyDescent="0.25">
      <c r="A13305" s="1"/>
    </row>
    <row r="13306" spans="1:1" ht="46.5" customHeight="1" x14ac:dyDescent="0.25">
      <c r="A13306" s="1"/>
    </row>
    <row r="13307" spans="1:1" ht="46.5" customHeight="1" x14ac:dyDescent="0.25">
      <c r="A13307" s="1"/>
    </row>
    <row r="13308" spans="1:1" ht="46.5" customHeight="1" x14ac:dyDescent="0.25">
      <c r="A13308" s="1"/>
    </row>
    <row r="13309" spans="1:1" ht="46.5" customHeight="1" x14ac:dyDescent="0.25">
      <c r="A13309" s="1"/>
    </row>
    <row r="13310" spans="1:1" ht="46.5" customHeight="1" x14ac:dyDescent="0.25">
      <c r="A13310" s="1"/>
    </row>
    <row r="13311" spans="1:1" ht="46.5" customHeight="1" x14ac:dyDescent="0.25">
      <c r="A13311" s="1"/>
    </row>
    <row r="13312" spans="1:1" ht="46.5" customHeight="1" x14ac:dyDescent="0.25">
      <c r="A13312" s="1"/>
    </row>
    <row r="13313" spans="1:1" ht="46.5" customHeight="1" x14ac:dyDescent="0.25">
      <c r="A13313" s="1"/>
    </row>
    <row r="13314" spans="1:1" ht="46.5" customHeight="1" x14ac:dyDescent="0.25">
      <c r="A13314" s="1"/>
    </row>
    <row r="13315" spans="1:1" ht="46.5" customHeight="1" x14ac:dyDescent="0.25">
      <c r="A13315" s="1"/>
    </row>
    <row r="13316" spans="1:1" ht="46.5" customHeight="1" x14ac:dyDescent="0.25">
      <c r="A13316" s="1"/>
    </row>
    <row r="13317" spans="1:1" ht="46.5" customHeight="1" x14ac:dyDescent="0.25">
      <c r="A13317" s="1"/>
    </row>
    <row r="13318" spans="1:1" ht="46.5" customHeight="1" x14ac:dyDescent="0.25">
      <c r="A13318" s="1"/>
    </row>
    <row r="13319" spans="1:1" ht="46.5" customHeight="1" x14ac:dyDescent="0.25">
      <c r="A13319" s="1"/>
    </row>
    <row r="13320" spans="1:1" ht="46.5" customHeight="1" x14ac:dyDescent="0.25">
      <c r="A13320" s="1"/>
    </row>
    <row r="13321" spans="1:1" ht="46.5" customHeight="1" x14ac:dyDescent="0.25">
      <c r="A13321" s="1"/>
    </row>
    <row r="13322" spans="1:1" ht="46.5" customHeight="1" x14ac:dyDescent="0.25">
      <c r="A13322" s="1"/>
    </row>
    <row r="13323" spans="1:1" ht="46.5" customHeight="1" x14ac:dyDescent="0.25">
      <c r="A13323" s="1"/>
    </row>
    <row r="13324" spans="1:1" ht="46.5" customHeight="1" x14ac:dyDescent="0.25">
      <c r="A13324" s="1"/>
    </row>
    <row r="13325" spans="1:1" ht="46.5" customHeight="1" x14ac:dyDescent="0.25">
      <c r="A13325" s="1"/>
    </row>
    <row r="13326" spans="1:1" ht="46.5" customHeight="1" x14ac:dyDescent="0.25">
      <c r="A13326" s="1"/>
    </row>
    <row r="13327" spans="1:1" ht="46.5" customHeight="1" x14ac:dyDescent="0.25">
      <c r="A13327" s="1"/>
    </row>
    <row r="13328" spans="1:1" ht="46.5" customHeight="1" x14ac:dyDescent="0.25">
      <c r="A13328" s="1"/>
    </row>
    <row r="13329" spans="1:1" ht="46.5" customHeight="1" x14ac:dyDescent="0.25">
      <c r="A13329" s="1"/>
    </row>
    <row r="13330" spans="1:1" ht="46.5" customHeight="1" x14ac:dyDescent="0.25">
      <c r="A13330" s="1"/>
    </row>
    <row r="13331" spans="1:1" ht="46.5" customHeight="1" x14ac:dyDescent="0.25">
      <c r="A13331" s="1"/>
    </row>
    <row r="13332" spans="1:1" ht="46.5" customHeight="1" x14ac:dyDescent="0.25">
      <c r="A13332" s="1"/>
    </row>
    <row r="13333" spans="1:1" ht="46.5" customHeight="1" x14ac:dyDescent="0.25">
      <c r="A13333" s="1"/>
    </row>
    <row r="13334" spans="1:1" ht="46.5" customHeight="1" x14ac:dyDescent="0.25">
      <c r="A13334" s="1"/>
    </row>
    <row r="13335" spans="1:1" ht="46.5" customHeight="1" x14ac:dyDescent="0.25">
      <c r="A13335" s="1"/>
    </row>
    <row r="13336" spans="1:1" ht="46.5" customHeight="1" x14ac:dyDescent="0.25">
      <c r="A13336" s="1"/>
    </row>
    <row r="13337" spans="1:1" ht="46.5" customHeight="1" x14ac:dyDescent="0.25">
      <c r="A13337" s="1"/>
    </row>
    <row r="13338" spans="1:1" ht="46.5" customHeight="1" x14ac:dyDescent="0.25">
      <c r="A13338" s="1"/>
    </row>
    <row r="13339" spans="1:1" ht="46.5" customHeight="1" x14ac:dyDescent="0.25">
      <c r="A13339" s="1"/>
    </row>
    <row r="13340" spans="1:1" ht="46.5" customHeight="1" x14ac:dyDescent="0.25">
      <c r="A13340" s="1"/>
    </row>
    <row r="13341" spans="1:1" ht="46.5" customHeight="1" x14ac:dyDescent="0.25">
      <c r="A13341" s="1"/>
    </row>
    <row r="13342" spans="1:1" ht="46.5" customHeight="1" x14ac:dyDescent="0.25">
      <c r="A13342" s="1"/>
    </row>
    <row r="13343" spans="1:1" ht="46.5" customHeight="1" x14ac:dyDescent="0.25">
      <c r="A13343" s="1"/>
    </row>
    <row r="13344" spans="1:1" ht="46.5" customHeight="1" x14ac:dyDescent="0.25">
      <c r="A13344" s="1"/>
    </row>
    <row r="13345" spans="1:1" ht="46.5" customHeight="1" x14ac:dyDescent="0.25">
      <c r="A13345" s="1"/>
    </row>
    <row r="13346" spans="1:1" ht="46.5" customHeight="1" x14ac:dyDescent="0.25">
      <c r="A13346" s="1"/>
    </row>
    <row r="13347" spans="1:1" ht="46.5" customHeight="1" x14ac:dyDescent="0.25">
      <c r="A13347" s="1"/>
    </row>
    <row r="13348" spans="1:1" ht="46.5" customHeight="1" x14ac:dyDescent="0.25">
      <c r="A13348" s="1"/>
    </row>
    <row r="13349" spans="1:1" ht="46.5" customHeight="1" x14ac:dyDescent="0.25">
      <c r="A13349" s="1"/>
    </row>
    <row r="13350" spans="1:1" ht="46.5" customHeight="1" x14ac:dyDescent="0.25">
      <c r="A13350" s="1"/>
    </row>
    <row r="13351" spans="1:1" ht="46.5" customHeight="1" x14ac:dyDescent="0.25">
      <c r="A13351" s="1"/>
    </row>
    <row r="13352" spans="1:1" ht="46.5" customHeight="1" x14ac:dyDescent="0.25">
      <c r="A13352" s="1"/>
    </row>
    <row r="13353" spans="1:1" ht="46.5" customHeight="1" x14ac:dyDescent="0.25">
      <c r="A13353" s="1"/>
    </row>
    <row r="13354" spans="1:1" ht="46.5" customHeight="1" x14ac:dyDescent="0.25">
      <c r="A13354" s="1"/>
    </row>
    <row r="13355" spans="1:1" ht="46.5" customHeight="1" x14ac:dyDescent="0.25">
      <c r="A13355" s="1"/>
    </row>
    <row r="13356" spans="1:1" ht="46.5" customHeight="1" x14ac:dyDescent="0.25">
      <c r="A13356" s="1"/>
    </row>
    <row r="13357" spans="1:1" ht="46.5" customHeight="1" x14ac:dyDescent="0.25">
      <c r="A13357" s="1"/>
    </row>
    <row r="13358" spans="1:1" ht="46.5" customHeight="1" x14ac:dyDescent="0.25">
      <c r="A13358" s="1"/>
    </row>
    <row r="13359" spans="1:1" ht="46.5" customHeight="1" x14ac:dyDescent="0.25">
      <c r="A13359" s="1"/>
    </row>
    <row r="13360" spans="1:1" ht="46.5" customHeight="1" x14ac:dyDescent="0.25">
      <c r="A13360" s="1"/>
    </row>
    <row r="13361" spans="1:1" ht="46.5" customHeight="1" x14ac:dyDescent="0.25">
      <c r="A13361" s="1"/>
    </row>
    <row r="13362" spans="1:1" ht="46.5" customHeight="1" x14ac:dyDescent="0.25">
      <c r="A13362" s="1"/>
    </row>
    <row r="13363" spans="1:1" ht="46.5" customHeight="1" x14ac:dyDescent="0.25">
      <c r="A13363" s="1"/>
    </row>
    <row r="13364" spans="1:1" ht="46.5" customHeight="1" x14ac:dyDescent="0.25">
      <c r="A13364" s="1"/>
    </row>
    <row r="13365" spans="1:1" ht="46.5" customHeight="1" x14ac:dyDescent="0.25">
      <c r="A13365" s="1"/>
    </row>
    <row r="13366" spans="1:1" ht="46.5" customHeight="1" x14ac:dyDescent="0.25">
      <c r="A13366" s="1"/>
    </row>
    <row r="13367" spans="1:1" ht="46.5" customHeight="1" x14ac:dyDescent="0.25">
      <c r="A13367" s="1"/>
    </row>
    <row r="13368" spans="1:1" ht="46.5" customHeight="1" x14ac:dyDescent="0.25">
      <c r="A13368" s="1"/>
    </row>
    <row r="13369" spans="1:1" ht="46.5" customHeight="1" x14ac:dyDescent="0.25">
      <c r="A13369" s="1"/>
    </row>
    <row r="13370" spans="1:1" ht="46.5" customHeight="1" x14ac:dyDescent="0.25">
      <c r="A13370" s="1"/>
    </row>
    <row r="13371" spans="1:1" ht="46.5" customHeight="1" x14ac:dyDescent="0.25">
      <c r="A13371" s="1"/>
    </row>
    <row r="13372" spans="1:1" ht="46.5" customHeight="1" x14ac:dyDescent="0.25">
      <c r="A13372" s="1"/>
    </row>
    <row r="13373" spans="1:1" ht="46.5" customHeight="1" x14ac:dyDescent="0.25">
      <c r="A13373" s="1"/>
    </row>
    <row r="13374" spans="1:1" ht="46.5" customHeight="1" x14ac:dyDescent="0.25">
      <c r="A13374" s="1"/>
    </row>
    <row r="13375" spans="1:1" ht="46.5" customHeight="1" x14ac:dyDescent="0.25">
      <c r="A13375" s="1"/>
    </row>
    <row r="13376" spans="1:1" ht="46.5" customHeight="1" x14ac:dyDescent="0.25">
      <c r="A13376" s="1"/>
    </row>
    <row r="13377" spans="1:1" ht="46.5" customHeight="1" x14ac:dyDescent="0.25">
      <c r="A13377" s="1"/>
    </row>
    <row r="13378" spans="1:1" ht="46.5" customHeight="1" x14ac:dyDescent="0.25">
      <c r="A13378" s="1"/>
    </row>
    <row r="13379" spans="1:1" ht="46.5" customHeight="1" x14ac:dyDescent="0.25">
      <c r="A13379" s="1"/>
    </row>
    <row r="13380" spans="1:1" ht="46.5" customHeight="1" x14ac:dyDescent="0.25">
      <c r="A13380" s="1"/>
    </row>
    <row r="13381" spans="1:1" ht="46.5" customHeight="1" x14ac:dyDescent="0.25">
      <c r="A13381" s="1"/>
    </row>
    <row r="13382" spans="1:1" ht="46.5" customHeight="1" x14ac:dyDescent="0.25">
      <c r="A13382" s="1"/>
    </row>
    <row r="13383" spans="1:1" ht="46.5" customHeight="1" x14ac:dyDescent="0.25">
      <c r="A13383" s="1"/>
    </row>
    <row r="13384" spans="1:1" ht="46.5" customHeight="1" x14ac:dyDescent="0.25">
      <c r="A13384" s="1"/>
    </row>
    <row r="13385" spans="1:1" ht="46.5" customHeight="1" x14ac:dyDescent="0.25">
      <c r="A13385" s="1"/>
    </row>
    <row r="13386" spans="1:1" ht="46.5" customHeight="1" x14ac:dyDescent="0.25">
      <c r="A13386" s="1"/>
    </row>
    <row r="13387" spans="1:1" ht="46.5" customHeight="1" x14ac:dyDescent="0.25">
      <c r="A13387" s="1"/>
    </row>
    <row r="13388" spans="1:1" ht="46.5" customHeight="1" x14ac:dyDescent="0.25">
      <c r="A13388" s="1"/>
    </row>
    <row r="13389" spans="1:1" ht="46.5" customHeight="1" x14ac:dyDescent="0.25">
      <c r="A13389" s="1"/>
    </row>
    <row r="13390" spans="1:1" ht="46.5" customHeight="1" x14ac:dyDescent="0.25">
      <c r="A13390" s="1"/>
    </row>
    <row r="13391" spans="1:1" ht="46.5" customHeight="1" x14ac:dyDescent="0.25">
      <c r="A13391" s="1"/>
    </row>
    <row r="13392" spans="1:1" ht="46.5" customHeight="1" x14ac:dyDescent="0.25">
      <c r="A13392" s="1"/>
    </row>
    <row r="13393" spans="1:1" ht="46.5" customHeight="1" x14ac:dyDescent="0.25">
      <c r="A13393" s="1"/>
    </row>
    <row r="13394" spans="1:1" ht="46.5" customHeight="1" x14ac:dyDescent="0.25">
      <c r="A13394" s="1"/>
    </row>
    <row r="13395" spans="1:1" ht="46.5" customHeight="1" x14ac:dyDescent="0.25">
      <c r="A13395" s="1"/>
    </row>
    <row r="13396" spans="1:1" ht="46.5" customHeight="1" x14ac:dyDescent="0.25">
      <c r="A13396" s="1"/>
    </row>
    <row r="13397" spans="1:1" ht="46.5" customHeight="1" x14ac:dyDescent="0.25">
      <c r="A13397" s="1"/>
    </row>
    <row r="13398" spans="1:1" ht="46.5" customHeight="1" x14ac:dyDescent="0.25">
      <c r="A13398" s="1"/>
    </row>
    <row r="13399" spans="1:1" ht="46.5" customHeight="1" x14ac:dyDescent="0.25">
      <c r="A13399" s="1"/>
    </row>
    <row r="13400" spans="1:1" ht="46.5" customHeight="1" x14ac:dyDescent="0.25">
      <c r="A13400" s="1"/>
    </row>
    <row r="13401" spans="1:1" ht="46.5" customHeight="1" x14ac:dyDescent="0.25">
      <c r="A13401" s="1"/>
    </row>
    <row r="13402" spans="1:1" ht="46.5" customHeight="1" x14ac:dyDescent="0.25">
      <c r="A13402" s="1"/>
    </row>
    <row r="13403" spans="1:1" ht="46.5" customHeight="1" x14ac:dyDescent="0.25">
      <c r="A13403" s="1"/>
    </row>
    <row r="13404" spans="1:1" ht="46.5" customHeight="1" x14ac:dyDescent="0.25">
      <c r="A13404" s="1"/>
    </row>
    <row r="13405" spans="1:1" ht="46.5" customHeight="1" x14ac:dyDescent="0.25">
      <c r="A13405" s="1"/>
    </row>
    <row r="13406" spans="1:1" ht="46.5" customHeight="1" x14ac:dyDescent="0.25">
      <c r="A13406" s="1"/>
    </row>
    <row r="13407" spans="1:1" ht="46.5" customHeight="1" x14ac:dyDescent="0.25">
      <c r="A13407" s="1"/>
    </row>
    <row r="13408" spans="1:1" ht="46.5" customHeight="1" x14ac:dyDescent="0.25">
      <c r="A13408" s="1"/>
    </row>
    <row r="13409" spans="1:1" ht="46.5" customHeight="1" x14ac:dyDescent="0.25">
      <c r="A13409" s="1"/>
    </row>
    <row r="13410" spans="1:1" ht="46.5" customHeight="1" x14ac:dyDescent="0.25">
      <c r="A13410" s="1"/>
    </row>
    <row r="13411" spans="1:1" ht="46.5" customHeight="1" x14ac:dyDescent="0.25">
      <c r="A13411" s="1"/>
    </row>
    <row r="13412" spans="1:1" ht="46.5" customHeight="1" x14ac:dyDescent="0.25">
      <c r="A13412" s="1"/>
    </row>
    <row r="13413" spans="1:1" ht="46.5" customHeight="1" x14ac:dyDescent="0.25">
      <c r="A13413" s="1"/>
    </row>
    <row r="13414" spans="1:1" ht="46.5" customHeight="1" x14ac:dyDescent="0.25">
      <c r="A13414" s="1"/>
    </row>
    <row r="13415" spans="1:1" ht="46.5" customHeight="1" x14ac:dyDescent="0.25">
      <c r="A13415" s="1"/>
    </row>
    <row r="13416" spans="1:1" ht="46.5" customHeight="1" x14ac:dyDescent="0.25">
      <c r="A13416" s="1"/>
    </row>
    <row r="13417" spans="1:1" ht="46.5" customHeight="1" x14ac:dyDescent="0.25">
      <c r="A13417" s="1"/>
    </row>
    <row r="13418" spans="1:1" ht="46.5" customHeight="1" x14ac:dyDescent="0.25">
      <c r="A13418" s="1"/>
    </row>
    <row r="13419" spans="1:1" ht="46.5" customHeight="1" x14ac:dyDescent="0.25">
      <c r="A13419" s="1"/>
    </row>
    <row r="13420" spans="1:1" ht="46.5" customHeight="1" x14ac:dyDescent="0.25">
      <c r="A13420" s="1"/>
    </row>
    <row r="13421" spans="1:1" ht="46.5" customHeight="1" x14ac:dyDescent="0.25">
      <c r="A13421" s="1"/>
    </row>
    <row r="13422" spans="1:1" ht="46.5" customHeight="1" x14ac:dyDescent="0.25">
      <c r="A13422" s="1"/>
    </row>
    <row r="13423" spans="1:1" ht="46.5" customHeight="1" x14ac:dyDescent="0.25">
      <c r="A13423" s="1"/>
    </row>
    <row r="13424" spans="1:1" ht="46.5" customHeight="1" x14ac:dyDescent="0.25">
      <c r="A13424" s="1"/>
    </row>
    <row r="13425" spans="1:1" ht="46.5" customHeight="1" x14ac:dyDescent="0.25">
      <c r="A13425" s="1"/>
    </row>
    <row r="13426" spans="1:1" ht="46.5" customHeight="1" x14ac:dyDescent="0.25">
      <c r="A13426" s="1"/>
    </row>
    <row r="13427" spans="1:1" ht="46.5" customHeight="1" x14ac:dyDescent="0.25">
      <c r="A13427" s="1"/>
    </row>
    <row r="13428" spans="1:1" ht="46.5" customHeight="1" x14ac:dyDescent="0.25">
      <c r="A13428" s="1"/>
    </row>
    <row r="13429" spans="1:1" ht="46.5" customHeight="1" x14ac:dyDescent="0.25">
      <c r="A13429" s="1"/>
    </row>
    <row r="13430" spans="1:1" ht="46.5" customHeight="1" x14ac:dyDescent="0.25">
      <c r="A13430" s="1"/>
    </row>
    <row r="13431" spans="1:1" ht="46.5" customHeight="1" x14ac:dyDescent="0.25">
      <c r="A13431" s="1"/>
    </row>
    <row r="13432" spans="1:1" ht="46.5" customHeight="1" x14ac:dyDescent="0.25">
      <c r="A13432" s="1"/>
    </row>
    <row r="13433" spans="1:1" ht="46.5" customHeight="1" x14ac:dyDescent="0.25">
      <c r="A13433" s="1"/>
    </row>
    <row r="13434" spans="1:1" ht="46.5" customHeight="1" x14ac:dyDescent="0.25">
      <c r="A13434" s="1"/>
    </row>
    <row r="13435" spans="1:1" ht="46.5" customHeight="1" x14ac:dyDescent="0.25">
      <c r="A13435" s="1"/>
    </row>
    <row r="13436" spans="1:1" ht="46.5" customHeight="1" x14ac:dyDescent="0.25">
      <c r="A13436" s="1"/>
    </row>
    <row r="13437" spans="1:1" ht="46.5" customHeight="1" x14ac:dyDescent="0.25">
      <c r="A13437" s="1"/>
    </row>
    <row r="13438" spans="1:1" ht="46.5" customHeight="1" x14ac:dyDescent="0.25">
      <c r="A13438" s="1"/>
    </row>
    <row r="13439" spans="1:1" ht="46.5" customHeight="1" x14ac:dyDescent="0.25">
      <c r="A13439" s="1"/>
    </row>
    <row r="13440" spans="1:1" ht="46.5" customHeight="1" x14ac:dyDescent="0.25">
      <c r="A13440" s="1"/>
    </row>
    <row r="13441" spans="1:1" ht="46.5" customHeight="1" x14ac:dyDescent="0.25">
      <c r="A13441" s="1"/>
    </row>
    <row r="13442" spans="1:1" ht="46.5" customHeight="1" x14ac:dyDescent="0.25">
      <c r="A13442" s="1"/>
    </row>
    <row r="13443" spans="1:1" ht="46.5" customHeight="1" x14ac:dyDescent="0.25">
      <c r="A13443" s="1"/>
    </row>
    <row r="13444" spans="1:1" ht="46.5" customHeight="1" x14ac:dyDescent="0.25">
      <c r="A13444" s="1"/>
    </row>
    <row r="13445" spans="1:1" ht="46.5" customHeight="1" x14ac:dyDescent="0.25">
      <c r="A13445" s="1"/>
    </row>
    <row r="13446" spans="1:1" ht="46.5" customHeight="1" x14ac:dyDescent="0.25">
      <c r="A13446" s="1"/>
    </row>
    <row r="13447" spans="1:1" ht="46.5" customHeight="1" x14ac:dyDescent="0.25">
      <c r="A13447" s="1"/>
    </row>
    <row r="13448" spans="1:1" ht="46.5" customHeight="1" x14ac:dyDescent="0.25">
      <c r="A13448" s="1"/>
    </row>
    <row r="13449" spans="1:1" ht="46.5" customHeight="1" x14ac:dyDescent="0.25">
      <c r="A13449" s="1"/>
    </row>
    <row r="13450" spans="1:1" ht="46.5" customHeight="1" x14ac:dyDescent="0.25">
      <c r="A13450" s="1"/>
    </row>
    <row r="13451" spans="1:1" ht="46.5" customHeight="1" x14ac:dyDescent="0.25">
      <c r="A13451" s="1"/>
    </row>
    <row r="13452" spans="1:1" ht="46.5" customHeight="1" x14ac:dyDescent="0.25">
      <c r="A13452" s="1"/>
    </row>
    <row r="13453" spans="1:1" ht="46.5" customHeight="1" x14ac:dyDescent="0.25">
      <c r="A13453" s="1"/>
    </row>
    <row r="13454" spans="1:1" ht="46.5" customHeight="1" x14ac:dyDescent="0.25">
      <c r="A13454" s="1"/>
    </row>
    <row r="13455" spans="1:1" ht="46.5" customHeight="1" x14ac:dyDescent="0.25">
      <c r="A13455" s="1"/>
    </row>
    <row r="13456" spans="1:1" ht="46.5" customHeight="1" x14ac:dyDescent="0.25">
      <c r="A13456" s="1"/>
    </row>
    <row r="13457" spans="1:1" ht="46.5" customHeight="1" x14ac:dyDescent="0.25">
      <c r="A13457" s="1"/>
    </row>
    <row r="13458" spans="1:1" ht="46.5" customHeight="1" x14ac:dyDescent="0.25">
      <c r="A13458" s="1"/>
    </row>
    <row r="13459" spans="1:1" ht="46.5" customHeight="1" x14ac:dyDescent="0.25">
      <c r="A13459" s="1"/>
    </row>
    <row r="13460" spans="1:1" ht="46.5" customHeight="1" x14ac:dyDescent="0.25">
      <c r="A13460" s="1"/>
    </row>
    <row r="13461" spans="1:1" ht="46.5" customHeight="1" x14ac:dyDescent="0.25">
      <c r="A13461" s="1"/>
    </row>
    <row r="13462" spans="1:1" ht="46.5" customHeight="1" x14ac:dyDescent="0.25">
      <c r="A13462" s="1"/>
    </row>
    <row r="13463" spans="1:1" ht="46.5" customHeight="1" x14ac:dyDescent="0.25">
      <c r="A13463" s="1"/>
    </row>
    <row r="13464" spans="1:1" ht="46.5" customHeight="1" x14ac:dyDescent="0.25">
      <c r="A13464" s="1"/>
    </row>
    <row r="13465" spans="1:1" ht="46.5" customHeight="1" x14ac:dyDescent="0.25">
      <c r="A13465" s="1"/>
    </row>
    <row r="13466" spans="1:1" ht="46.5" customHeight="1" x14ac:dyDescent="0.25">
      <c r="A13466" s="1"/>
    </row>
    <row r="13467" spans="1:1" ht="46.5" customHeight="1" x14ac:dyDescent="0.25">
      <c r="A13467" s="1"/>
    </row>
    <row r="13468" spans="1:1" ht="46.5" customHeight="1" x14ac:dyDescent="0.25">
      <c r="A13468" s="1"/>
    </row>
    <row r="13469" spans="1:1" ht="46.5" customHeight="1" x14ac:dyDescent="0.25">
      <c r="A13469" s="1"/>
    </row>
    <row r="13470" spans="1:1" ht="46.5" customHeight="1" x14ac:dyDescent="0.25">
      <c r="A13470" s="1"/>
    </row>
    <row r="13471" spans="1:1" ht="46.5" customHeight="1" x14ac:dyDescent="0.25">
      <c r="A13471" s="1"/>
    </row>
    <row r="13472" spans="1:1" ht="46.5" customHeight="1" x14ac:dyDescent="0.25">
      <c r="A13472" s="1"/>
    </row>
    <row r="13473" spans="1:1" ht="46.5" customHeight="1" x14ac:dyDescent="0.25">
      <c r="A13473" s="1"/>
    </row>
    <row r="13474" spans="1:1" ht="46.5" customHeight="1" x14ac:dyDescent="0.25">
      <c r="A13474" s="1"/>
    </row>
    <row r="13475" spans="1:1" ht="46.5" customHeight="1" x14ac:dyDescent="0.25">
      <c r="A13475" s="1"/>
    </row>
    <row r="13476" spans="1:1" ht="46.5" customHeight="1" x14ac:dyDescent="0.25">
      <c r="A13476" s="1"/>
    </row>
    <row r="13477" spans="1:1" ht="46.5" customHeight="1" x14ac:dyDescent="0.25">
      <c r="A13477" s="1"/>
    </row>
    <row r="13478" spans="1:1" ht="46.5" customHeight="1" x14ac:dyDescent="0.25">
      <c r="A13478" s="1"/>
    </row>
    <row r="13479" spans="1:1" ht="46.5" customHeight="1" x14ac:dyDescent="0.25">
      <c r="A13479" s="1"/>
    </row>
    <row r="13480" spans="1:1" ht="46.5" customHeight="1" x14ac:dyDescent="0.25">
      <c r="A13480" s="1"/>
    </row>
    <row r="13481" spans="1:1" ht="46.5" customHeight="1" x14ac:dyDescent="0.25">
      <c r="A13481" s="1"/>
    </row>
    <row r="13482" spans="1:1" ht="46.5" customHeight="1" x14ac:dyDescent="0.25">
      <c r="A13482" s="1"/>
    </row>
    <row r="13483" spans="1:1" ht="46.5" customHeight="1" x14ac:dyDescent="0.25">
      <c r="A13483" s="1"/>
    </row>
    <row r="13484" spans="1:1" ht="46.5" customHeight="1" x14ac:dyDescent="0.25">
      <c r="A13484" s="1"/>
    </row>
    <row r="13485" spans="1:1" ht="46.5" customHeight="1" x14ac:dyDescent="0.25">
      <c r="A13485" s="1"/>
    </row>
    <row r="13486" spans="1:1" ht="46.5" customHeight="1" x14ac:dyDescent="0.25">
      <c r="A13486" s="1"/>
    </row>
    <row r="13487" spans="1:1" ht="46.5" customHeight="1" x14ac:dyDescent="0.25">
      <c r="A13487" s="1"/>
    </row>
    <row r="13488" spans="1:1" ht="46.5" customHeight="1" x14ac:dyDescent="0.25">
      <c r="A13488" s="1"/>
    </row>
    <row r="13489" spans="1:1" ht="46.5" customHeight="1" x14ac:dyDescent="0.25">
      <c r="A13489" s="1"/>
    </row>
    <row r="13490" spans="1:1" ht="46.5" customHeight="1" x14ac:dyDescent="0.25">
      <c r="A13490" s="1"/>
    </row>
    <row r="13491" spans="1:1" ht="46.5" customHeight="1" x14ac:dyDescent="0.25">
      <c r="A13491" s="1"/>
    </row>
    <row r="13492" spans="1:1" ht="46.5" customHeight="1" x14ac:dyDescent="0.25">
      <c r="A13492" s="1"/>
    </row>
    <row r="13493" spans="1:1" ht="46.5" customHeight="1" x14ac:dyDescent="0.25">
      <c r="A13493" s="1"/>
    </row>
    <row r="13494" spans="1:1" ht="46.5" customHeight="1" x14ac:dyDescent="0.25">
      <c r="A13494" s="1"/>
    </row>
    <row r="13495" spans="1:1" ht="46.5" customHeight="1" x14ac:dyDescent="0.25">
      <c r="A13495" s="1"/>
    </row>
    <row r="13496" spans="1:1" ht="46.5" customHeight="1" x14ac:dyDescent="0.25">
      <c r="A13496" s="1"/>
    </row>
    <row r="13497" spans="1:1" ht="46.5" customHeight="1" x14ac:dyDescent="0.25">
      <c r="A13497" s="1"/>
    </row>
    <row r="13498" spans="1:1" ht="46.5" customHeight="1" x14ac:dyDescent="0.25">
      <c r="A13498" s="1"/>
    </row>
    <row r="13499" spans="1:1" ht="46.5" customHeight="1" x14ac:dyDescent="0.25">
      <c r="A13499" s="1"/>
    </row>
    <row r="13500" spans="1:1" ht="46.5" customHeight="1" x14ac:dyDescent="0.25">
      <c r="A13500" s="1"/>
    </row>
    <row r="13501" spans="1:1" ht="46.5" customHeight="1" x14ac:dyDescent="0.25">
      <c r="A13501" s="1"/>
    </row>
    <row r="13502" spans="1:1" ht="46.5" customHeight="1" x14ac:dyDescent="0.25">
      <c r="A13502" s="1"/>
    </row>
    <row r="13503" spans="1:1" ht="46.5" customHeight="1" x14ac:dyDescent="0.25">
      <c r="A13503" s="1"/>
    </row>
    <row r="13504" spans="1:1" ht="46.5" customHeight="1" x14ac:dyDescent="0.25">
      <c r="A13504" s="1"/>
    </row>
    <row r="13505" spans="1:1" ht="46.5" customHeight="1" x14ac:dyDescent="0.25">
      <c r="A13505" s="1"/>
    </row>
    <row r="13506" spans="1:1" ht="46.5" customHeight="1" x14ac:dyDescent="0.25">
      <c r="A13506" s="1"/>
    </row>
    <row r="13507" spans="1:1" ht="46.5" customHeight="1" x14ac:dyDescent="0.25">
      <c r="A13507" s="1"/>
    </row>
    <row r="13508" spans="1:1" ht="46.5" customHeight="1" x14ac:dyDescent="0.25">
      <c r="A13508" s="1"/>
    </row>
    <row r="13509" spans="1:1" ht="46.5" customHeight="1" x14ac:dyDescent="0.25">
      <c r="A13509" s="1"/>
    </row>
    <row r="13510" spans="1:1" ht="46.5" customHeight="1" x14ac:dyDescent="0.25">
      <c r="A13510" s="1"/>
    </row>
    <row r="13511" spans="1:1" ht="46.5" customHeight="1" x14ac:dyDescent="0.25">
      <c r="A13511" s="1"/>
    </row>
    <row r="13512" spans="1:1" ht="46.5" customHeight="1" x14ac:dyDescent="0.25">
      <c r="A13512" s="1"/>
    </row>
    <row r="13513" spans="1:1" ht="46.5" customHeight="1" x14ac:dyDescent="0.25">
      <c r="A13513" s="1"/>
    </row>
    <row r="13514" spans="1:1" ht="46.5" customHeight="1" x14ac:dyDescent="0.25">
      <c r="A13514" s="1"/>
    </row>
    <row r="13515" spans="1:1" ht="46.5" customHeight="1" x14ac:dyDescent="0.25">
      <c r="A13515" s="1"/>
    </row>
    <row r="13516" spans="1:1" ht="46.5" customHeight="1" x14ac:dyDescent="0.25">
      <c r="A13516" s="1"/>
    </row>
    <row r="13517" spans="1:1" ht="46.5" customHeight="1" x14ac:dyDescent="0.25">
      <c r="A13517" s="1"/>
    </row>
    <row r="13518" spans="1:1" ht="46.5" customHeight="1" x14ac:dyDescent="0.25">
      <c r="A13518" s="1"/>
    </row>
    <row r="13519" spans="1:1" ht="46.5" customHeight="1" x14ac:dyDescent="0.25">
      <c r="A13519" s="1"/>
    </row>
    <row r="13520" spans="1:1" ht="46.5" customHeight="1" x14ac:dyDescent="0.25">
      <c r="A13520" s="1"/>
    </row>
    <row r="13521" spans="1:1" ht="46.5" customHeight="1" x14ac:dyDescent="0.25">
      <c r="A13521" s="1"/>
    </row>
    <row r="13522" spans="1:1" ht="46.5" customHeight="1" x14ac:dyDescent="0.25">
      <c r="A13522" s="1"/>
    </row>
    <row r="13523" spans="1:1" ht="46.5" customHeight="1" x14ac:dyDescent="0.25">
      <c r="A13523" s="1"/>
    </row>
    <row r="13524" spans="1:1" ht="46.5" customHeight="1" x14ac:dyDescent="0.25">
      <c r="A13524" s="1"/>
    </row>
    <row r="13525" spans="1:1" ht="46.5" customHeight="1" x14ac:dyDescent="0.25">
      <c r="A13525" s="1"/>
    </row>
    <row r="13526" spans="1:1" ht="46.5" customHeight="1" x14ac:dyDescent="0.25">
      <c r="A13526" s="1"/>
    </row>
    <row r="13527" spans="1:1" ht="46.5" customHeight="1" x14ac:dyDescent="0.25">
      <c r="A13527" s="1"/>
    </row>
    <row r="13528" spans="1:1" ht="46.5" customHeight="1" x14ac:dyDescent="0.25">
      <c r="A13528" s="1"/>
    </row>
    <row r="13529" spans="1:1" ht="46.5" customHeight="1" x14ac:dyDescent="0.25">
      <c r="A13529" s="1"/>
    </row>
    <row r="13530" spans="1:1" ht="46.5" customHeight="1" x14ac:dyDescent="0.25">
      <c r="A13530" s="1"/>
    </row>
    <row r="13531" spans="1:1" ht="46.5" customHeight="1" x14ac:dyDescent="0.25">
      <c r="A13531" s="1"/>
    </row>
    <row r="13532" spans="1:1" ht="46.5" customHeight="1" x14ac:dyDescent="0.25">
      <c r="A13532" s="1"/>
    </row>
    <row r="13533" spans="1:1" ht="46.5" customHeight="1" x14ac:dyDescent="0.25">
      <c r="A13533" s="1"/>
    </row>
    <row r="13534" spans="1:1" ht="46.5" customHeight="1" x14ac:dyDescent="0.25">
      <c r="A13534" s="1"/>
    </row>
    <row r="13535" spans="1:1" ht="46.5" customHeight="1" x14ac:dyDescent="0.25">
      <c r="A13535" s="1"/>
    </row>
    <row r="13536" spans="1:1" ht="46.5" customHeight="1" x14ac:dyDescent="0.25">
      <c r="A13536" s="1"/>
    </row>
    <row r="13537" spans="1:1" ht="46.5" customHeight="1" x14ac:dyDescent="0.25">
      <c r="A13537" s="1"/>
    </row>
    <row r="13538" spans="1:1" ht="46.5" customHeight="1" x14ac:dyDescent="0.25">
      <c r="A13538" s="1"/>
    </row>
    <row r="13539" spans="1:1" ht="46.5" customHeight="1" x14ac:dyDescent="0.25">
      <c r="A13539" s="1"/>
    </row>
    <row r="13540" spans="1:1" ht="46.5" customHeight="1" x14ac:dyDescent="0.25">
      <c r="A13540" s="1"/>
    </row>
    <row r="13541" spans="1:1" ht="46.5" customHeight="1" x14ac:dyDescent="0.25">
      <c r="A13541" s="1"/>
    </row>
    <row r="13542" spans="1:1" ht="46.5" customHeight="1" x14ac:dyDescent="0.25">
      <c r="A13542" s="1"/>
    </row>
    <row r="13543" spans="1:1" ht="46.5" customHeight="1" x14ac:dyDescent="0.25">
      <c r="A13543" s="1"/>
    </row>
    <row r="13544" spans="1:1" ht="46.5" customHeight="1" x14ac:dyDescent="0.25">
      <c r="A13544" s="1"/>
    </row>
    <row r="13545" spans="1:1" ht="46.5" customHeight="1" x14ac:dyDescent="0.25">
      <c r="A13545" s="1"/>
    </row>
    <row r="13546" spans="1:1" ht="46.5" customHeight="1" x14ac:dyDescent="0.25">
      <c r="A13546" s="1"/>
    </row>
    <row r="13547" spans="1:1" ht="46.5" customHeight="1" x14ac:dyDescent="0.25">
      <c r="A13547" s="1"/>
    </row>
    <row r="13548" spans="1:1" ht="46.5" customHeight="1" x14ac:dyDescent="0.25">
      <c r="A13548" s="1"/>
    </row>
    <row r="13549" spans="1:1" ht="46.5" customHeight="1" x14ac:dyDescent="0.25">
      <c r="A13549" s="1"/>
    </row>
    <row r="13550" spans="1:1" ht="46.5" customHeight="1" x14ac:dyDescent="0.25">
      <c r="A13550" s="1"/>
    </row>
    <row r="13551" spans="1:1" ht="46.5" customHeight="1" x14ac:dyDescent="0.25">
      <c r="A13551" s="1"/>
    </row>
    <row r="13552" spans="1:1" ht="46.5" customHeight="1" x14ac:dyDescent="0.25">
      <c r="A13552" s="1"/>
    </row>
    <row r="13553" spans="1:1" ht="46.5" customHeight="1" x14ac:dyDescent="0.25">
      <c r="A13553" s="1"/>
    </row>
    <row r="13554" spans="1:1" ht="46.5" customHeight="1" x14ac:dyDescent="0.25">
      <c r="A13554" s="1"/>
    </row>
    <row r="13555" spans="1:1" ht="46.5" customHeight="1" x14ac:dyDescent="0.25">
      <c r="A13555" s="1"/>
    </row>
    <row r="13556" spans="1:1" ht="46.5" customHeight="1" x14ac:dyDescent="0.25">
      <c r="A13556" s="1"/>
    </row>
    <row r="13557" spans="1:1" ht="46.5" customHeight="1" x14ac:dyDescent="0.25">
      <c r="A13557" s="1"/>
    </row>
    <row r="13558" spans="1:1" ht="46.5" customHeight="1" x14ac:dyDescent="0.25">
      <c r="A13558" s="1"/>
    </row>
    <row r="13559" spans="1:1" ht="46.5" customHeight="1" x14ac:dyDescent="0.25">
      <c r="A13559" s="1"/>
    </row>
    <row r="13560" spans="1:1" ht="46.5" customHeight="1" x14ac:dyDescent="0.25">
      <c r="A13560" s="1"/>
    </row>
    <row r="13561" spans="1:1" ht="46.5" customHeight="1" x14ac:dyDescent="0.25">
      <c r="A13561" s="1"/>
    </row>
    <row r="13562" spans="1:1" ht="46.5" customHeight="1" x14ac:dyDescent="0.25">
      <c r="A13562" s="1"/>
    </row>
    <row r="13563" spans="1:1" ht="46.5" customHeight="1" x14ac:dyDescent="0.25">
      <c r="A13563" s="1"/>
    </row>
    <row r="13564" spans="1:1" ht="46.5" customHeight="1" x14ac:dyDescent="0.25">
      <c r="A13564" s="1"/>
    </row>
    <row r="13565" spans="1:1" ht="46.5" customHeight="1" x14ac:dyDescent="0.25">
      <c r="A13565" s="1"/>
    </row>
    <row r="13566" spans="1:1" ht="46.5" customHeight="1" x14ac:dyDescent="0.25">
      <c r="A13566" s="1"/>
    </row>
    <row r="13567" spans="1:1" ht="46.5" customHeight="1" x14ac:dyDescent="0.25">
      <c r="A13567" s="1"/>
    </row>
    <row r="13568" spans="1:1" ht="46.5" customHeight="1" x14ac:dyDescent="0.25">
      <c r="A13568" s="1"/>
    </row>
    <row r="13569" spans="1:1" ht="46.5" customHeight="1" x14ac:dyDescent="0.25">
      <c r="A13569" s="1"/>
    </row>
    <row r="13570" spans="1:1" ht="46.5" customHeight="1" x14ac:dyDescent="0.25">
      <c r="A13570" s="1"/>
    </row>
    <row r="13571" spans="1:1" ht="46.5" customHeight="1" x14ac:dyDescent="0.25">
      <c r="A13571" s="1"/>
    </row>
    <row r="13572" spans="1:1" ht="46.5" customHeight="1" x14ac:dyDescent="0.25">
      <c r="A13572" s="1"/>
    </row>
    <row r="13573" spans="1:1" ht="46.5" customHeight="1" x14ac:dyDescent="0.25">
      <c r="A13573" s="1"/>
    </row>
    <row r="13574" spans="1:1" ht="46.5" customHeight="1" x14ac:dyDescent="0.25">
      <c r="A13574" s="1"/>
    </row>
    <row r="13575" spans="1:1" ht="46.5" customHeight="1" x14ac:dyDescent="0.25">
      <c r="A13575" s="1"/>
    </row>
    <row r="13576" spans="1:1" ht="46.5" customHeight="1" x14ac:dyDescent="0.25">
      <c r="A13576" s="1"/>
    </row>
    <row r="13577" spans="1:1" ht="46.5" customHeight="1" x14ac:dyDescent="0.25">
      <c r="A13577" s="1"/>
    </row>
    <row r="13578" spans="1:1" ht="46.5" customHeight="1" x14ac:dyDescent="0.25">
      <c r="A13578" s="1"/>
    </row>
    <row r="13579" spans="1:1" ht="46.5" customHeight="1" x14ac:dyDescent="0.25">
      <c r="A13579" s="1"/>
    </row>
    <row r="13580" spans="1:1" ht="46.5" customHeight="1" x14ac:dyDescent="0.25">
      <c r="A13580" s="1"/>
    </row>
    <row r="13581" spans="1:1" ht="46.5" customHeight="1" x14ac:dyDescent="0.25">
      <c r="A13581" s="1"/>
    </row>
    <row r="13582" spans="1:1" ht="46.5" customHeight="1" x14ac:dyDescent="0.25">
      <c r="A13582" s="1"/>
    </row>
    <row r="13583" spans="1:1" ht="46.5" customHeight="1" x14ac:dyDescent="0.25">
      <c r="A13583" s="1"/>
    </row>
    <row r="13584" spans="1:1" ht="46.5" customHeight="1" x14ac:dyDescent="0.25">
      <c r="A13584" s="1"/>
    </row>
    <row r="13585" spans="1:1" ht="46.5" customHeight="1" x14ac:dyDescent="0.25">
      <c r="A13585" s="1"/>
    </row>
    <row r="13586" spans="1:1" ht="46.5" customHeight="1" x14ac:dyDescent="0.25">
      <c r="A13586" s="1"/>
    </row>
    <row r="13587" spans="1:1" ht="46.5" customHeight="1" x14ac:dyDescent="0.25">
      <c r="A13587" s="1"/>
    </row>
    <row r="13588" spans="1:1" ht="46.5" customHeight="1" x14ac:dyDescent="0.25">
      <c r="A13588" s="1"/>
    </row>
    <row r="13589" spans="1:1" ht="46.5" customHeight="1" x14ac:dyDescent="0.25">
      <c r="A13589" s="1"/>
    </row>
    <row r="13590" spans="1:1" ht="46.5" customHeight="1" x14ac:dyDescent="0.25">
      <c r="A13590" s="1"/>
    </row>
    <row r="13591" spans="1:1" ht="46.5" customHeight="1" x14ac:dyDescent="0.25">
      <c r="A13591" s="1"/>
    </row>
    <row r="13592" spans="1:1" ht="46.5" customHeight="1" x14ac:dyDescent="0.25">
      <c r="A13592" s="1"/>
    </row>
    <row r="13593" spans="1:1" ht="46.5" customHeight="1" x14ac:dyDescent="0.25">
      <c r="A13593" s="1"/>
    </row>
    <row r="13594" spans="1:1" ht="46.5" customHeight="1" x14ac:dyDescent="0.25">
      <c r="A13594" s="1"/>
    </row>
    <row r="13595" spans="1:1" ht="46.5" customHeight="1" x14ac:dyDescent="0.25">
      <c r="A13595" s="1"/>
    </row>
    <row r="13596" spans="1:1" ht="46.5" customHeight="1" x14ac:dyDescent="0.25">
      <c r="A13596" s="1"/>
    </row>
    <row r="13597" spans="1:1" ht="46.5" customHeight="1" x14ac:dyDescent="0.25">
      <c r="A13597" s="1"/>
    </row>
    <row r="13598" spans="1:1" ht="46.5" customHeight="1" x14ac:dyDescent="0.25">
      <c r="A13598" s="1"/>
    </row>
    <row r="13599" spans="1:1" ht="46.5" customHeight="1" x14ac:dyDescent="0.25">
      <c r="A13599" s="1"/>
    </row>
    <row r="13600" spans="1:1" ht="46.5" customHeight="1" x14ac:dyDescent="0.25">
      <c r="A13600" s="1"/>
    </row>
    <row r="13601" spans="1:1" ht="46.5" customHeight="1" x14ac:dyDescent="0.25">
      <c r="A13601" s="1"/>
    </row>
    <row r="13602" spans="1:1" ht="46.5" customHeight="1" x14ac:dyDescent="0.25">
      <c r="A13602" s="1"/>
    </row>
    <row r="13603" spans="1:1" ht="46.5" customHeight="1" x14ac:dyDescent="0.25">
      <c r="A13603" s="1"/>
    </row>
    <row r="13604" spans="1:1" ht="46.5" customHeight="1" x14ac:dyDescent="0.25">
      <c r="A13604" s="1"/>
    </row>
    <row r="13605" spans="1:1" ht="46.5" customHeight="1" x14ac:dyDescent="0.25">
      <c r="A13605" s="1"/>
    </row>
    <row r="13606" spans="1:1" ht="46.5" customHeight="1" x14ac:dyDescent="0.25">
      <c r="A13606" s="1"/>
    </row>
    <row r="13607" spans="1:1" ht="46.5" customHeight="1" x14ac:dyDescent="0.25">
      <c r="A13607" s="1"/>
    </row>
    <row r="13608" spans="1:1" ht="46.5" customHeight="1" x14ac:dyDescent="0.25">
      <c r="A13608" s="1"/>
    </row>
    <row r="13609" spans="1:1" ht="46.5" customHeight="1" x14ac:dyDescent="0.25">
      <c r="A13609" s="1"/>
    </row>
    <row r="13610" spans="1:1" ht="46.5" customHeight="1" x14ac:dyDescent="0.25">
      <c r="A13610" s="1"/>
    </row>
    <row r="13611" spans="1:1" ht="46.5" customHeight="1" x14ac:dyDescent="0.25">
      <c r="A13611" s="1"/>
    </row>
    <row r="13612" spans="1:1" ht="46.5" customHeight="1" x14ac:dyDescent="0.25">
      <c r="A13612" s="1"/>
    </row>
    <row r="13613" spans="1:1" ht="46.5" customHeight="1" x14ac:dyDescent="0.25">
      <c r="A13613" s="1"/>
    </row>
    <row r="13614" spans="1:1" ht="46.5" customHeight="1" x14ac:dyDescent="0.25">
      <c r="A13614" s="1"/>
    </row>
    <row r="13615" spans="1:1" ht="46.5" customHeight="1" x14ac:dyDescent="0.25">
      <c r="A13615" s="1"/>
    </row>
    <row r="13616" spans="1:1" ht="46.5" customHeight="1" x14ac:dyDescent="0.25">
      <c r="A13616" s="1"/>
    </row>
    <row r="13617" spans="1:1" ht="46.5" customHeight="1" x14ac:dyDescent="0.25">
      <c r="A13617" s="1"/>
    </row>
    <row r="13618" spans="1:1" ht="46.5" customHeight="1" x14ac:dyDescent="0.25">
      <c r="A13618" s="1"/>
    </row>
    <row r="13619" spans="1:1" ht="46.5" customHeight="1" x14ac:dyDescent="0.25">
      <c r="A13619" s="1"/>
    </row>
    <row r="13620" spans="1:1" ht="46.5" customHeight="1" x14ac:dyDescent="0.25">
      <c r="A13620" s="1"/>
    </row>
    <row r="13621" spans="1:1" ht="46.5" customHeight="1" x14ac:dyDescent="0.25">
      <c r="A13621" s="1"/>
    </row>
    <row r="13622" spans="1:1" ht="46.5" customHeight="1" x14ac:dyDescent="0.25">
      <c r="A13622" s="1"/>
    </row>
    <row r="13623" spans="1:1" ht="46.5" customHeight="1" x14ac:dyDescent="0.25">
      <c r="A13623" s="1"/>
    </row>
    <row r="13624" spans="1:1" ht="46.5" customHeight="1" x14ac:dyDescent="0.25">
      <c r="A13624" s="1"/>
    </row>
    <row r="13625" spans="1:1" ht="46.5" customHeight="1" x14ac:dyDescent="0.25">
      <c r="A13625" s="1"/>
    </row>
    <row r="13626" spans="1:1" ht="46.5" customHeight="1" x14ac:dyDescent="0.25">
      <c r="A13626" s="1"/>
    </row>
    <row r="13627" spans="1:1" ht="46.5" customHeight="1" x14ac:dyDescent="0.25">
      <c r="A13627" s="1"/>
    </row>
    <row r="13628" spans="1:1" ht="46.5" customHeight="1" x14ac:dyDescent="0.25">
      <c r="A13628" s="1"/>
    </row>
    <row r="13629" spans="1:1" ht="46.5" customHeight="1" x14ac:dyDescent="0.25">
      <c r="A13629" s="1"/>
    </row>
    <row r="13630" spans="1:1" ht="46.5" customHeight="1" x14ac:dyDescent="0.25">
      <c r="A13630" s="1"/>
    </row>
    <row r="13631" spans="1:1" ht="46.5" customHeight="1" x14ac:dyDescent="0.25">
      <c r="A13631" s="1"/>
    </row>
    <row r="13632" spans="1:1" ht="46.5" customHeight="1" x14ac:dyDescent="0.25">
      <c r="A13632" s="1"/>
    </row>
    <row r="13633" spans="1:1" ht="46.5" customHeight="1" x14ac:dyDescent="0.25">
      <c r="A13633" s="1"/>
    </row>
    <row r="13634" spans="1:1" ht="46.5" customHeight="1" x14ac:dyDescent="0.25">
      <c r="A13634" s="1"/>
    </row>
    <row r="13635" spans="1:1" ht="46.5" customHeight="1" x14ac:dyDescent="0.25">
      <c r="A13635" s="1"/>
    </row>
    <row r="13636" spans="1:1" ht="46.5" customHeight="1" x14ac:dyDescent="0.25">
      <c r="A13636" s="1"/>
    </row>
    <row r="13637" spans="1:1" ht="46.5" customHeight="1" x14ac:dyDescent="0.25">
      <c r="A13637" s="1"/>
    </row>
    <row r="13638" spans="1:1" ht="46.5" customHeight="1" x14ac:dyDescent="0.25">
      <c r="A13638" s="1"/>
    </row>
    <row r="13639" spans="1:1" ht="46.5" customHeight="1" x14ac:dyDescent="0.25">
      <c r="A13639" s="1"/>
    </row>
    <row r="13640" spans="1:1" ht="46.5" customHeight="1" x14ac:dyDescent="0.25">
      <c r="A13640" s="1"/>
    </row>
    <row r="13641" spans="1:1" ht="46.5" customHeight="1" x14ac:dyDescent="0.25">
      <c r="A13641" s="1"/>
    </row>
    <row r="13642" spans="1:1" ht="46.5" customHeight="1" x14ac:dyDescent="0.25">
      <c r="A13642" s="1"/>
    </row>
    <row r="13643" spans="1:1" ht="46.5" customHeight="1" x14ac:dyDescent="0.25">
      <c r="A13643" s="1"/>
    </row>
    <row r="13644" spans="1:1" ht="46.5" customHeight="1" x14ac:dyDescent="0.25">
      <c r="A13644" s="1"/>
    </row>
    <row r="13645" spans="1:1" ht="46.5" customHeight="1" x14ac:dyDescent="0.25">
      <c r="A13645" s="1"/>
    </row>
    <row r="13646" spans="1:1" ht="46.5" customHeight="1" x14ac:dyDescent="0.25">
      <c r="A13646" s="1"/>
    </row>
    <row r="13647" spans="1:1" ht="46.5" customHeight="1" x14ac:dyDescent="0.25">
      <c r="A13647" s="1"/>
    </row>
    <row r="13648" spans="1:1" ht="46.5" customHeight="1" x14ac:dyDescent="0.25">
      <c r="A13648" s="1"/>
    </row>
    <row r="13649" spans="1:1" ht="46.5" customHeight="1" x14ac:dyDescent="0.25">
      <c r="A13649" s="1"/>
    </row>
    <row r="13650" spans="1:1" ht="46.5" customHeight="1" x14ac:dyDescent="0.25">
      <c r="A13650" s="1"/>
    </row>
    <row r="13651" spans="1:1" ht="46.5" customHeight="1" x14ac:dyDescent="0.25">
      <c r="A13651" s="1"/>
    </row>
    <row r="13652" spans="1:1" ht="46.5" customHeight="1" x14ac:dyDescent="0.25">
      <c r="A13652" s="1"/>
    </row>
    <row r="13653" spans="1:1" ht="46.5" customHeight="1" x14ac:dyDescent="0.25">
      <c r="A13653" s="1"/>
    </row>
    <row r="13654" spans="1:1" ht="46.5" customHeight="1" x14ac:dyDescent="0.25">
      <c r="A13654" s="1"/>
    </row>
    <row r="13655" spans="1:1" ht="46.5" customHeight="1" x14ac:dyDescent="0.25">
      <c r="A13655" s="1"/>
    </row>
    <row r="13656" spans="1:1" ht="46.5" customHeight="1" x14ac:dyDescent="0.25">
      <c r="A13656" s="1"/>
    </row>
    <row r="13657" spans="1:1" ht="46.5" customHeight="1" x14ac:dyDescent="0.25">
      <c r="A13657" s="1"/>
    </row>
    <row r="13658" spans="1:1" ht="46.5" customHeight="1" x14ac:dyDescent="0.25">
      <c r="A13658" s="1"/>
    </row>
    <row r="13659" spans="1:1" ht="46.5" customHeight="1" x14ac:dyDescent="0.25">
      <c r="A13659" s="1"/>
    </row>
    <row r="13660" spans="1:1" ht="46.5" customHeight="1" x14ac:dyDescent="0.25">
      <c r="A13660" s="1"/>
    </row>
    <row r="13661" spans="1:1" ht="46.5" customHeight="1" x14ac:dyDescent="0.25">
      <c r="A13661" s="1"/>
    </row>
    <row r="13662" spans="1:1" ht="46.5" customHeight="1" x14ac:dyDescent="0.25">
      <c r="A13662" s="1"/>
    </row>
    <row r="13663" spans="1:1" ht="46.5" customHeight="1" x14ac:dyDescent="0.25">
      <c r="A13663" s="1"/>
    </row>
    <row r="13664" spans="1:1" ht="46.5" customHeight="1" x14ac:dyDescent="0.25">
      <c r="A13664" s="1"/>
    </row>
    <row r="13665" spans="1:1" ht="46.5" customHeight="1" x14ac:dyDescent="0.25">
      <c r="A13665" s="1"/>
    </row>
    <row r="13666" spans="1:1" ht="46.5" customHeight="1" x14ac:dyDescent="0.25">
      <c r="A13666" s="1"/>
    </row>
    <row r="13667" spans="1:1" ht="46.5" customHeight="1" x14ac:dyDescent="0.25">
      <c r="A13667" s="1"/>
    </row>
    <row r="13668" spans="1:1" ht="46.5" customHeight="1" x14ac:dyDescent="0.25">
      <c r="A13668" s="1"/>
    </row>
    <row r="13669" spans="1:1" ht="46.5" customHeight="1" x14ac:dyDescent="0.25">
      <c r="A13669" s="1"/>
    </row>
    <row r="13670" spans="1:1" ht="46.5" customHeight="1" x14ac:dyDescent="0.25">
      <c r="A13670" s="1"/>
    </row>
    <row r="13671" spans="1:1" ht="46.5" customHeight="1" x14ac:dyDescent="0.25">
      <c r="A13671" s="1"/>
    </row>
    <row r="13672" spans="1:1" ht="46.5" customHeight="1" x14ac:dyDescent="0.25">
      <c r="A13672" s="1"/>
    </row>
    <row r="13673" spans="1:1" ht="46.5" customHeight="1" x14ac:dyDescent="0.25">
      <c r="A13673" s="1"/>
    </row>
    <row r="13674" spans="1:1" ht="46.5" customHeight="1" x14ac:dyDescent="0.25">
      <c r="A13674" s="1"/>
    </row>
    <row r="13675" spans="1:1" ht="46.5" customHeight="1" x14ac:dyDescent="0.25">
      <c r="A13675" s="1"/>
    </row>
    <row r="13676" spans="1:1" ht="46.5" customHeight="1" x14ac:dyDescent="0.25">
      <c r="A13676" s="1"/>
    </row>
    <row r="13677" spans="1:1" ht="46.5" customHeight="1" x14ac:dyDescent="0.25">
      <c r="A13677" s="1"/>
    </row>
    <row r="13678" spans="1:1" ht="46.5" customHeight="1" x14ac:dyDescent="0.25">
      <c r="A13678" s="1"/>
    </row>
    <row r="13679" spans="1:1" ht="46.5" customHeight="1" x14ac:dyDescent="0.25">
      <c r="A13679" s="1"/>
    </row>
    <row r="13680" spans="1:1" ht="46.5" customHeight="1" x14ac:dyDescent="0.25">
      <c r="A13680" s="1"/>
    </row>
    <row r="13681" spans="1:1" ht="46.5" customHeight="1" x14ac:dyDescent="0.25">
      <c r="A13681" s="1"/>
    </row>
    <row r="13682" spans="1:1" ht="46.5" customHeight="1" x14ac:dyDescent="0.25">
      <c r="A13682" s="1"/>
    </row>
    <row r="13683" spans="1:1" ht="46.5" customHeight="1" x14ac:dyDescent="0.25">
      <c r="A13683" s="1"/>
    </row>
    <row r="13684" spans="1:1" ht="46.5" customHeight="1" x14ac:dyDescent="0.25">
      <c r="A13684" s="1"/>
    </row>
    <row r="13685" spans="1:1" ht="46.5" customHeight="1" x14ac:dyDescent="0.25">
      <c r="A13685" s="1"/>
    </row>
    <row r="13686" spans="1:1" ht="46.5" customHeight="1" x14ac:dyDescent="0.25">
      <c r="A13686" s="1"/>
    </row>
    <row r="13687" spans="1:1" ht="46.5" customHeight="1" x14ac:dyDescent="0.25">
      <c r="A13687" s="1"/>
    </row>
    <row r="13688" spans="1:1" ht="46.5" customHeight="1" x14ac:dyDescent="0.25">
      <c r="A13688" s="1"/>
    </row>
    <row r="13689" spans="1:1" ht="46.5" customHeight="1" x14ac:dyDescent="0.25">
      <c r="A13689" s="1"/>
    </row>
    <row r="13690" spans="1:1" ht="46.5" customHeight="1" x14ac:dyDescent="0.25">
      <c r="A13690" s="1"/>
    </row>
    <row r="13691" spans="1:1" ht="46.5" customHeight="1" x14ac:dyDescent="0.25">
      <c r="A13691" s="1"/>
    </row>
    <row r="13692" spans="1:1" ht="46.5" customHeight="1" x14ac:dyDescent="0.25">
      <c r="A13692" s="1"/>
    </row>
    <row r="13693" spans="1:1" ht="46.5" customHeight="1" x14ac:dyDescent="0.25">
      <c r="A13693" s="1"/>
    </row>
    <row r="13694" spans="1:1" ht="46.5" customHeight="1" x14ac:dyDescent="0.25">
      <c r="A13694" s="1"/>
    </row>
    <row r="13695" spans="1:1" ht="46.5" customHeight="1" x14ac:dyDescent="0.25">
      <c r="A13695" s="1"/>
    </row>
    <row r="13696" spans="1:1" ht="46.5" customHeight="1" x14ac:dyDescent="0.25">
      <c r="A13696" s="1"/>
    </row>
    <row r="13697" spans="1:1" ht="46.5" customHeight="1" x14ac:dyDescent="0.25">
      <c r="A13697" s="1"/>
    </row>
    <row r="13698" spans="1:1" ht="46.5" customHeight="1" x14ac:dyDescent="0.25">
      <c r="A13698" s="1"/>
    </row>
    <row r="13699" spans="1:1" ht="46.5" customHeight="1" x14ac:dyDescent="0.25">
      <c r="A13699" s="1"/>
    </row>
    <row r="13700" spans="1:1" ht="46.5" customHeight="1" x14ac:dyDescent="0.25">
      <c r="A13700" s="1"/>
    </row>
    <row r="13701" spans="1:1" ht="46.5" customHeight="1" x14ac:dyDescent="0.25">
      <c r="A13701" s="1"/>
    </row>
    <row r="13702" spans="1:1" ht="46.5" customHeight="1" x14ac:dyDescent="0.25">
      <c r="A13702" s="1"/>
    </row>
    <row r="13703" spans="1:1" ht="46.5" customHeight="1" x14ac:dyDescent="0.25">
      <c r="A13703" s="1"/>
    </row>
    <row r="13704" spans="1:1" ht="46.5" customHeight="1" x14ac:dyDescent="0.25">
      <c r="A13704" s="1"/>
    </row>
    <row r="13705" spans="1:1" ht="46.5" customHeight="1" x14ac:dyDescent="0.25">
      <c r="A13705" s="1"/>
    </row>
    <row r="13706" spans="1:1" ht="46.5" customHeight="1" x14ac:dyDescent="0.25">
      <c r="A13706" s="1"/>
    </row>
    <row r="13707" spans="1:1" ht="46.5" customHeight="1" x14ac:dyDescent="0.25">
      <c r="A13707" s="1"/>
    </row>
    <row r="13708" spans="1:1" ht="46.5" customHeight="1" x14ac:dyDescent="0.25">
      <c r="A13708" s="1"/>
    </row>
    <row r="13709" spans="1:1" ht="46.5" customHeight="1" x14ac:dyDescent="0.25">
      <c r="A13709" s="1"/>
    </row>
    <row r="13710" spans="1:1" ht="46.5" customHeight="1" x14ac:dyDescent="0.25">
      <c r="A13710" s="1"/>
    </row>
    <row r="13711" spans="1:1" ht="46.5" customHeight="1" x14ac:dyDescent="0.25">
      <c r="A13711" s="1"/>
    </row>
    <row r="13712" spans="1:1" ht="46.5" customHeight="1" x14ac:dyDescent="0.25">
      <c r="A13712" s="1"/>
    </row>
    <row r="13713" spans="1:1" ht="46.5" customHeight="1" x14ac:dyDescent="0.25">
      <c r="A13713" s="1"/>
    </row>
    <row r="13714" spans="1:1" ht="46.5" customHeight="1" x14ac:dyDescent="0.25">
      <c r="A13714" s="1"/>
    </row>
    <row r="13715" spans="1:1" ht="46.5" customHeight="1" x14ac:dyDescent="0.25">
      <c r="A13715" s="1"/>
    </row>
    <row r="13716" spans="1:1" ht="46.5" customHeight="1" x14ac:dyDescent="0.25">
      <c r="A13716" s="1"/>
    </row>
    <row r="13717" spans="1:1" ht="46.5" customHeight="1" x14ac:dyDescent="0.25">
      <c r="A13717" s="1"/>
    </row>
    <row r="13718" spans="1:1" ht="46.5" customHeight="1" x14ac:dyDescent="0.25">
      <c r="A13718" s="1"/>
    </row>
    <row r="13719" spans="1:1" ht="46.5" customHeight="1" x14ac:dyDescent="0.25">
      <c r="A13719" s="1"/>
    </row>
    <row r="13720" spans="1:1" ht="46.5" customHeight="1" x14ac:dyDescent="0.25">
      <c r="A13720" s="1"/>
    </row>
    <row r="13721" spans="1:1" ht="46.5" customHeight="1" x14ac:dyDescent="0.25">
      <c r="A13721" s="1"/>
    </row>
    <row r="13722" spans="1:1" ht="46.5" customHeight="1" x14ac:dyDescent="0.25">
      <c r="A13722" s="1"/>
    </row>
    <row r="13723" spans="1:1" ht="46.5" customHeight="1" x14ac:dyDescent="0.25">
      <c r="A13723" s="1"/>
    </row>
    <row r="13724" spans="1:1" ht="46.5" customHeight="1" x14ac:dyDescent="0.25">
      <c r="A13724" s="1"/>
    </row>
    <row r="13725" spans="1:1" ht="46.5" customHeight="1" x14ac:dyDescent="0.25">
      <c r="A13725" s="1"/>
    </row>
    <row r="13726" spans="1:1" ht="46.5" customHeight="1" x14ac:dyDescent="0.25">
      <c r="A13726" s="1"/>
    </row>
    <row r="13727" spans="1:1" ht="46.5" customHeight="1" x14ac:dyDescent="0.25">
      <c r="A13727" s="1"/>
    </row>
    <row r="13728" spans="1:1" ht="46.5" customHeight="1" x14ac:dyDescent="0.25">
      <c r="A13728" s="1"/>
    </row>
    <row r="13729" spans="1:1" ht="46.5" customHeight="1" x14ac:dyDescent="0.25">
      <c r="A13729" s="1"/>
    </row>
    <row r="13730" spans="1:1" ht="46.5" customHeight="1" x14ac:dyDescent="0.25">
      <c r="A13730" s="1"/>
    </row>
    <row r="13731" spans="1:1" ht="46.5" customHeight="1" x14ac:dyDescent="0.25">
      <c r="A13731" s="1"/>
    </row>
    <row r="13732" spans="1:1" ht="46.5" customHeight="1" x14ac:dyDescent="0.25">
      <c r="A13732" s="1"/>
    </row>
    <row r="13733" spans="1:1" ht="46.5" customHeight="1" x14ac:dyDescent="0.25">
      <c r="A13733" s="1"/>
    </row>
    <row r="13734" spans="1:1" ht="46.5" customHeight="1" x14ac:dyDescent="0.25">
      <c r="A13734" s="1"/>
    </row>
    <row r="13735" spans="1:1" ht="46.5" customHeight="1" x14ac:dyDescent="0.25">
      <c r="A13735" s="1"/>
    </row>
    <row r="13736" spans="1:1" ht="46.5" customHeight="1" x14ac:dyDescent="0.25">
      <c r="A13736" s="1"/>
    </row>
    <row r="13737" spans="1:1" ht="46.5" customHeight="1" x14ac:dyDescent="0.25">
      <c r="A13737" s="1"/>
    </row>
    <row r="13738" spans="1:1" ht="46.5" customHeight="1" x14ac:dyDescent="0.25">
      <c r="A13738" s="1"/>
    </row>
    <row r="13739" spans="1:1" ht="46.5" customHeight="1" x14ac:dyDescent="0.25">
      <c r="A13739" s="1"/>
    </row>
    <row r="13740" spans="1:1" ht="46.5" customHeight="1" x14ac:dyDescent="0.25">
      <c r="A13740" s="1"/>
    </row>
    <row r="13741" spans="1:1" ht="46.5" customHeight="1" x14ac:dyDescent="0.25">
      <c r="A13741" s="1"/>
    </row>
    <row r="13742" spans="1:1" ht="46.5" customHeight="1" x14ac:dyDescent="0.25">
      <c r="A13742" s="1"/>
    </row>
    <row r="13743" spans="1:1" ht="46.5" customHeight="1" x14ac:dyDescent="0.25">
      <c r="A13743" s="1"/>
    </row>
    <row r="13744" spans="1:1" ht="46.5" customHeight="1" x14ac:dyDescent="0.25">
      <c r="A13744" s="1"/>
    </row>
    <row r="13745" spans="1:1" ht="46.5" customHeight="1" x14ac:dyDescent="0.25">
      <c r="A13745" s="1"/>
    </row>
    <row r="13746" spans="1:1" ht="46.5" customHeight="1" x14ac:dyDescent="0.25">
      <c r="A13746" s="1"/>
    </row>
    <row r="13747" spans="1:1" ht="46.5" customHeight="1" x14ac:dyDescent="0.25">
      <c r="A13747" s="1"/>
    </row>
    <row r="13748" spans="1:1" ht="46.5" customHeight="1" x14ac:dyDescent="0.25">
      <c r="A13748" s="1"/>
    </row>
    <row r="13749" spans="1:1" ht="46.5" customHeight="1" x14ac:dyDescent="0.25">
      <c r="A13749" s="1"/>
    </row>
    <row r="13750" spans="1:1" ht="46.5" customHeight="1" x14ac:dyDescent="0.25">
      <c r="A13750" s="1"/>
    </row>
    <row r="13751" spans="1:1" ht="46.5" customHeight="1" x14ac:dyDescent="0.25">
      <c r="A13751" s="1"/>
    </row>
    <row r="13752" spans="1:1" ht="46.5" customHeight="1" x14ac:dyDescent="0.25">
      <c r="A13752" s="1"/>
    </row>
    <row r="13753" spans="1:1" ht="46.5" customHeight="1" x14ac:dyDescent="0.25">
      <c r="A13753" s="1"/>
    </row>
    <row r="13754" spans="1:1" ht="46.5" customHeight="1" x14ac:dyDescent="0.25">
      <c r="A13754" s="1"/>
    </row>
    <row r="13755" spans="1:1" ht="46.5" customHeight="1" x14ac:dyDescent="0.25">
      <c r="A13755" s="1"/>
    </row>
    <row r="13756" spans="1:1" ht="46.5" customHeight="1" x14ac:dyDescent="0.25">
      <c r="A13756" s="1"/>
    </row>
    <row r="13757" spans="1:1" ht="46.5" customHeight="1" x14ac:dyDescent="0.25">
      <c r="A13757" s="1"/>
    </row>
    <row r="13758" spans="1:1" ht="46.5" customHeight="1" x14ac:dyDescent="0.25">
      <c r="A13758" s="1"/>
    </row>
    <row r="13759" spans="1:1" ht="46.5" customHeight="1" x14ac:dyDescent="0.25">
      <c r="A13759" s="1"/>
    </row>
    <row r="13760" spans="1:1" ht="46.5" customHeight="1" x14ac:dyDescent="0.25">
      <c r="A13760" s="1"/>
    </row>
    <row r="13761" spans="1:1" ht="46.5" customHeight="1" x14ac:dyDescent="0.25">
      <c r="A13761" s="1"/>
    </row>
    <row r="13762" spans="1:1" ht="46.5" customHeight="1" x14ac:dyDescent="0.25">
      <c r="A13762" s="1"/>
    </row>
    <row r="13763" spans="1:1" ht="46.5" customHeight="1" x14ac:dyDescent="0.25">
      <c r="A13763" s="1"/>
    </row>
    <row r="13764" spans="1:1" ht="46.5" customHeight="1" x14ac:dyDescent="0.25">
      <c r="A13764" s="1"/>
    </row>
    <row r="13765" spans="1:1" ht="46.5" customHeight="1" x14ac:dyDescent="0.25">
      <c r="A13765" s="1"/>
    </row>
    <row r="13766" spans="1:1" ht="46.5" customHeight="1" x14ac:dyDescent="0.25">
      <c r="A13766" s="1"/>
    </row>
    <row r="13767" spans="1:1" ht="46.5" customHeight="1" x14ac:dyDescent="0.25">
      <c r="A13767" s="1"/>
    </row>
    <row r="13768" spans="1:1" ht="46.5" customHeight="1" x14ac:dyDescent="0.25">
      <c r="A13768" s="1"/>
    </row>
    <row r="13769" spans="1:1" ht="46.5" customHeight="1" x14ac:dyDescent="0.25">
      <c r="A13769" s="1"/>
    </row>
    <row r="13770" spans="1:1" ht="46.5" customHeight="1" x14ac:dyDescent="0.25">
      <c r="A13770" s="1"/>
    </row>
    <row r="13771" spans="1:1" ht="46.5" customHeight="1" x14ac:dyDescent="0.25">
      <c r="A13771" s="1"/>
    </row>
    <row r="13772" spans="1:1" ht="46.5" customHeight="1" x14ac:dyDescent="0.25">
      <c r="A13772" s="1"/>
    </row>
    <row r="13773" spans="1:1" ht="46.5" customHeight="1" x14ac:dyDescent="0.25">
      <c r="A13773" s="1"/>
    </row>
    <row r="13774" spans="1:1" ht="46.5" customHeight="1" x14ac:dyDescent="0.25">
      <c r="A13774" s="1"/>
    </row>
    <row r="13775" spans="1:1" ht="46.5" customHeight="1" x14ac:dyDescent="0.25">
      <c r="A13775" s="1"/>
    </row>
    <row r="13776" spans="1:1" ht="46.5" customHeight="1" x14ac:dyDescent="0.25">
      <c r="A13776" s="1"/>
    </row>
    <row r="13777" spans="1:1" ht="46.5" customHeight="1" x14ac:dyDescent="0.25">
      <c r="A13777" s="1"/>
    </row>
    <row r="13778" spans="1:1" ht="46.5" customHeight="1" x14ac:dyDescent="0.25">
      <c r="A13778" s="1"/>
    </row>
    <row r="13779" spans="1:1" ht="46.5" customHeight="1" x14ac:dyDescent="0.25">
      <c r="A13779" s="1"/>
    </row>
    <row r="13780" spans="1:1" ht="46.5" customHeight="1" x14ac:dyDescent="0.25">
      <c r="A13780" s="1"/>
    </row>
    <row r="13781" spans="1:1" ht="46.5" customHeight="1" x14ac:dyDescent="0.25">
      <c r="A13781" s="1"/>
    </row>
    <row r="13782" spans="1:1" ht="46.5" customHeight="1" x14ac:dyDescent="0.25">
      <c r="A13782" s="1"/>
    </row>
    <row r="13783" spans="1:1" ht="46.5" customHeight="1" x14ac:dyDescent="0.25">
      <c r="A13783" s="1"/>
    </row>
    <row r="13784" spans="1:1" ht="46.5" customHeight="1" x14ac:dyDescent="0.25">
      <c r="A13784" s="1"/>
    </row>
    <row r="13785" spans="1:1" ht="46.5" customHeight="1" x14ac:dyDescent="0.25">
      <c r="A13785" s="1"/>
    </row>
    <row r="13786" spans="1:1" ht="46.5" customHeight="1" x14ac:dyDescent="0.25">
      <c r="A13786" s="1"/>
    </row>
    <row r="13787" spans="1:1" ht="46.5" customHeight="1" x14ac:dyDescent="0.25">
      <c r="A13787" s="1"/>
    </row>
    <row r="13788" spans="1:1" ht="46.5" customHeight="1" x14ac:dyDescent="0.25">
      <c r="A13788" s="1"/>
    </row>
    <row r="13789" spans="1:1" ht="46.5" customHeight="1" x14ac:dyDescent="0.25">
      <c r="A13789" s="1"/>
    </row>
    <row r="13790" spans="1:1" ht="46.5" customHeight="1" x14ac:dyDescent="0.25">
      <c r="A13790" s="1"/>
    </row>
    <row r="13791" spans="1:1" ht="46.5" customHeight="1" x14ac:dyDescent="0.25">
      <c r="A13791" s="1"/>
    </row>
    <row r="13792" spans="1:1" ht="46.5" customHeight="1" x14ac:dyDescent="0.25">
      <c r="A13792" s="1"/>
    </row>
    <row r="13793" spans="1:1" ht="46.5" customHeight="1" x14ac:dyDescent="0.25">
      <c r="A13793" s="1"/>
    </row>
    <row r="13794" spans="1:1" ht="46.5" customHeight="1" x14ac:dyDescent="0.25">
      <c r="A13794" s="1"/>
    </row>
    <row r="13795" spans="1:1" ht="46.5" customHeight="1" x14ac:dyDescent="0.25">
      <c r="A13795" s="1"/>
    </row>
    <row r="13796" spans="1:1" ht="46.5" customHeight="1" x14ac:dyDescent="0.25">
      <c r="A13796" s="1"/>
    </row>
    <row r="13797" spans="1:1" ht="46.5" customHeight="1" x14ac:dyDescent="0.25">
      <c r="A13797" s="1"/>
    </row>
    <row r="13798" spans="1:1" ht="46.5" customHeight="1" x14ac:dyDescent="0.25">
      <c r="A13798" s="1"/>
    </row>
    <row r="13799" spans="1:1" ht="46.5" customHeight="1" x14ac:dyDescent="0.25">
      <c r="A13799" s="1"/>
    </row>
    <row r="13800" spans="1:1" ht="46.5" customHeight="1" x14ac:dyDescent="0.25">
      <c r="A13800" s="1"/>
    </row>
    <row r="13801" spans="1:1" ht="46.5" customHeight="1" x14ac:dyDescent="0.25">
      <c r="A13801" s="1"/>
    </row>
    <row r="13802" spans="1:1" ht="46.5" customHeight="1" x14ac:dyDescent="0.25">
      <c r="A13802" s="1"/>
    </row>
    <row r="13803" spans="1:1" ht="46.5" customHeight="1" x14ac:dyDescent="0.25">
      <c r="A13803" s="1"/>
    </row>
    <row r="13804" spans="1:1" ht="46.5" customHeight="1" x14ac:dyDescent="0.25">
      <c r="A13804" s="1"/>
    </row>
    <row r="13805" spans="1:1" ht="46.5" customHeight="1" x14ac:dyDescent="0.25">
      <c r="A13805" s="1"/>
    </row>
    <row r="13806" spans="1:1" ht="46.5" customHeight="1" x14ac:dyDescent="0.25">
      <c r="A13806" s="1"/>
    </row>
    <row r="13807" spans="1:1" ht="46.5" customHeight="1" x14ac:dyDescent="0.25">
      <c r="A13807" s="1"/>
    </row>
    <row r="13808" spans="1:1" ht="46.5" customHeight="1" x14ac:dyDescent="0.25">
      <c r="A13808" s="1"/>
    </row>
    <row r="13809" spans="1:1" ht="46.5" customHeight="1" x14ac:dyDescent="0.25">
      <c r="A13809" s="1"/>
    </row>
    <row r="13810" spans="1:1" ht="46.5" customHeight="1" x14ac:dyDescent="0.25">
      <c r="A13810" s="1"/>
    </row>
    <row r="13811" spans="1:1" ht="46.5" customHeight="1" x14ac:dyDescent="0.25">
      <c r="A13811" s="1"/>
    </row>
    <row r="13812" spans="1:1" ht="46.5" customHeight="1" x14ac:dyDescent="0.25">
      <c r="A13812" s="1"/>
    </row>
    <row r="13813" spans="1:1" ht="46.5" customHeight="1" x14ac:dyDescent="0.25">
      <c r="A13813" s="1"/>
    </row>
    <row r="13814" spans="1:1" ht="46.5" customHeight="1" x14ac:dyDescent="0.25">
      <c r="A13814" s="1"/>
    </row>
    <row r="13815" spans="1:1" ht="46.5" customHeight="1" x14ac:dyDescent="0.25">
      <c r="A13815" s="1"/>
    </row>
    <row r="13816" spans="1:1" ht="46.5" customHeight="1" x14ac:dyDescent="0.25">
      <c r="A13816" s="1"/>
    </row>
    <row r="13817" spans="1:1" ht="46.5" customHeight="1" x14ac:dyDescent="0.25">
      <c r="A13817" s="1"/>
    </row>
    <row r="13818" spans="1:1" ht="46.5" customHeight="1" x14ac:dyDescent="0.25">
      <c r="A13818" s="1"/>
    </row>
    <row r="13819" spans="1:1" ht="46.5" customHeight="1" x14ac:dyDescent="0.25">
      <c r="A13819" s="1"/>
    </row>
    <row r="13820" spans="1:1" ht="46.5" customHeight="1" x14ac:dyDescent="0.25">
      <c r="A13820" s="1"/>
    </row>
    <row r="13821" spans="1:1" ht="46.5" customHeight="1" x14ac:dyDescent="0.25">
      <c r="A13821" s="1"/>
    </row>
    <row r="13822" spans="1:1" ht="46.5" customHeight="1" x14ac:dyDescent="0.25">
      <c r="A13822" s="1"/>
    </row>
    <row r="13823" spans="1:1" ht="46.5" customHeight="1" x14ac:dyDescent="0.25">
      <c r="A13823" s="1"/>
    </row>
    <row r="13824" spans="1:1" ht="46.5" customHeight="1" x14ac:dyDescent="0.25">
      <c r="A13824" s="1"/>
    </row>
    <row r="13825" spans="1:1" ht="46.5" customHeight="1" x14ac:dyDescent="0.25">
      <c r="A13825" s="1"/>
    </row>
    <row r="13826" spans="1:1" ht="46.5" customHeight="1" x14ac:dyDescent="0.25">
      <c r="A13826" s="1"/>
    </row>
    <row r="13827" spans="1:1" ht="46.5" customHeight="1" x14ac:dyDescent="0.25">
      <c r="A13827" s="1"/>
    </row>
    <row r="13828" spans="1:1" ht="46.5" customHeight="1" x14ac:dyDescent="0.25">
      <c r="A13828" s="1"/>
    </row>
    <row r="13829" spans="1:1" ht="46.5" customHeight="1" x14ac:dyDescent="0.25">
      <c r="A13829" s="1"/>
    </row>
    <row r="13830" spans="1:1" ht="46.5" customHeight="1" x14ac:dyDescent="0.25">
      <c r="A13830" s="1"/>
    </row>
    <row r="13831" spans="1:1" ht="46.5" customHeight="1" x14ac:dyDescent="0.25">
      <c r="A13831" s="1"/>
    </row>
    <row r="13832" spans="1:1" ht="46.5" customHeight="1" x14ac:dyDescent="0.25">
      <c r="A13832" s="1"/>
    </row>
    <row r="13833" spans="1:1" ht="46.5" customHeight="1" x14ac:dyDescent="0.25">
      <c r="A13833" s="1"/>
    </row>
    <row r="13834" spans="1:1" ht="46.5" customHeight="1" x14ac:dyDescent="0.25">
      <c r="A13834" s="1"/>
    </row>
    <row r="13835" spans="1:1" ht="46.5" customHeight="1" x14ac:dyDescent="0.25">
      <c r="A13835" s="1"/>
    </row>
    <row r="13836" spans="1:1" ht="46.5" customHeight="1" x14ac:dyDescent="0.25">
      <c r="A13836" s="1"/>
    </row>
    <row r="13837" spans="1:1" ht="46.5" customHeight="1" x14ac:dyDescent="0.25">
      <c r="A13837" s="1"/>
    </row>
    <row r="13838" spans="1:1" ht="46.5" customHeight="1" x14ac:dyDescent="0.25">
      <c r="A13838" s="1"/>
    </row>
    <row r="13839" spans="1:1" ht="46.5" customHeight="1" x14ac:dyDescent="0.25">
      <c r="A13839" s="1"/>
    </row>
    <row r="13840" spans="1:1" ht="46.5" customHeight="1" x14ac:dyDescent="0.25">
      <c r="A13840" s="1"/>
    </row>
    <row r="13841" spans="1:1" ht="46.5" customHeight="1" x14ac:dyDescent="0.25">
      <c r="A13841" s="1"/>
    </row>
    <row r="13842" spans="1:1" ht="46.5" customHeight="1" x14ac:dyDescent="0.25">
      <c r="A13842" s="1"/>
    </row>
    <row r="13843" spans="1:1" ht="46.5" customHeight="1" x14ac:dyDescent="0.25">
      <c r="A13843" s="1"/>
    </row>
    <row r="13844" spans="1:1" ht="46.5" customHeight="1" x14ac:dyDescent="0.25">
      <c r="A13844" s="1"/>
    </row>
    <row r="13845" spans="1:1" ht="46.5" customHeight="1" x14ac:dyDescent="0.25">
      <c r="A13845" s="1"/>
    </row>
    <row r="13846" spans="1:1" ht="46.5" customHeight="1" x14ac:dyDescent="0.25">
      <c r="A13846" s="1"/>
    </row>
    <row r="13847" spans="1:1" ht="46.5" customHeight="1" x14ac:dyDescent="0.25">
      <c r="A13847" s="1"/>
    </row>
    <row r="13848" spans="1:1" ht="46.5" customHeight="1" x14ac:dyDescent="0.25">
      <c r="A13848" s="1"/>
    </row>
    <row r="13849" spans="1:1" ht="46.5" customHeight="1" x14ac:dyDescent="0.25">
      <c r="A13849" s="1"/>
    </row>
    <row r="13850" spans="1:1" ht="46.5" customHeight="1" x14ac:dyDescent="0.25">
      <c r="A13850" s="1"/>
    </row>
    <row r="13851" spans="1:1" ht="46.5" customHeight="1" x14ac:dyDescent="0.25">
      <c r="A13851" s="1"/>
    </row>
    <row r="13852" spans="1:1" ht="46.5" customHeight="1" x14ac:dyDescent="0.25">
      <c r="A13852" s="1"/>
    </row>
    <row r="13853" spans="1:1" ht="46.5" customHeight="1" x14ac:dyDescent="0.25">
      <c r="A13853" s="1"/>
    </row>
    <row r="13854" spans="1:1" ht="46.5" customHeight="1" x14ac:dyDescent="0.25">
      <c r="A13854" s="1"/>
    </row>
    <row r="13855" spans="1:1" ht="46.5" customHeight="1" x14ac:dyDescent="0.25">
      <c r="A13855" s="1"/>
    </row>
    <row r="13856" spans="1:1" ht="46.5" customHeight="1" x14ac:dyDescent="0.25">
      <c r="A13856" s="1"/>
    </row>
    <row r="13857" spans="1:1" ht="46.5" customHeight="1" x14ac:dyDescent="0.25">
      <c r="A13857" s="1"/>
    </row>
    <row r="13858" spans="1:1" ht="46.5" customHeight="1" x14ac:dyDescent="0.25">
      <c r="A13858" s="1"/>
    </row>
    <row r="13859" spans="1:1" ht="46.5" customHeight="1" x14ac:dyDescent="0.25">
      <c r="A13859" s="1"/>
    </row>
    <row r="13860" spans="1:1" ht="46.5" customHeight="1" x14ac:dyDescent="0.25">
      <c r="A13860" s="1"/>
    </row>
    <row r="13861" spans="1:1" ht="46.5" customHeight="1" x14ac:dyDescent="0.25">
      <c r="A13861" s="1"/>
    </row>
    <row r="13862" spans="1:1" ht="46.5" customHeight="1" x14ac:dyDescent="0.25">
      <c r="A13862" s="1"/>
    </row>
    <row r="13863" spans="1:1" ht="46.5" customHeight="1" x14ac:dyDescent="0.25">
      <c r="A13863" s="1"/>
    </row>
    <row r="13864" spans="1:1" ht="46.5" customHeight="1" x14ac:dyDescent="0.25">
      <c r="A13864" s="1"/>
    </row>
    <row r="13865" spans="1:1" ht="46.5" customHeight="1" x14ac:dyDescent="0.25">
      <c r="A13865" s="1"/>
    </row>
    <row r="13866" spans="1:1" ht="46.5" customHeight="1" x14ac:dyDescent="0.25">
      <c r="A13866" s="1"/>
    </row>
    <row r="13867" spans="1:1" ht="46.5" customHeight="1" x14ac:dyDescent="0.25">
      <c r="A13867" s="1"/>
    </row>
    <row r="13868" spans="1:1" ht="46.5" customHeight="1" x14ac:dyDescent="0.25">
      <c r="A13868" s="1"/>
    </row>
    <row r="13869" spans="1:1" ht="46.5" customHeight="1" x14ac:dyDescent="0.25">
      <c r="A13869" s="1"/>
    </row>
    <row r="13870" spans="1:1" ht="46.5" customHeight="1" x14ac:dyDescent="0.25">
      <c r="A13870" s="1"/>
    </row>
    <row r="13871" spans="1:1" ht="46.5" customHeight="1" x14ac:dyDescent="0.25">
      <c r="A13871" s="1"/>
    </row>
    <row r="13872" spans="1:1" ht="46.5" customHeight="1" x14ac:dyDescent="0.25">
      <c r="A13872" s="1"/>
    </row>
    <row r="13873" spans="1:1" ht="46.5" customHeight="1" x14ac:dyDescent="0.25">
      <c r="A13873" s="1"/>
    </row>
    <row r="13874" spans="1:1" ht="46.5" customHeight="1" x14ac:dyDescent="0.25">
      <c r="A13874" s="1"/>
    </row>
    <row r="13875" spans="1:1" ht="46.5" customHeight="1" x14ac:dyDescent="0.25">
      <c r="A13875" s="1"/>
    </row>
    <row r="13876" spans="1:1" ht="46.5" customHeight="1" x14ac:dyDescent="0.25">
      <c r="A13876" s="1"/>
    </row>
    <row r="13877" spans="1:1" ht="46.5" customHeight="1" x14ac:dyDescent="0.25">
      <c r="A13877" s="1"/>
    </row>
    <row r="13878" spans="1:1" ht="46.5" customHeight="1" x14ac:dyDescent="0.25">
      <c r="A13878" s="1"/>
    </row>
    <row r="13879" spans="1:1" ht="46.5" customHeight="1" x14ac:dyDescent="0.25">
      <c r="A13879" s="1"/>
    </row>
    <row r="13880" spans="1:1" ht="46.5" customHeight="1" x14ac:dyDescent="0.25">
      <c r="A13880" s="1"/>
    </row>
    <row r="13881" spans="1:1" ht="46.5" customHeight="1" x14ac:dyDescent="0.25">
      <c r="A13881" s="1"/>
    </row>
    <row r="13882" spans="1:1" ht="46.5" customHeight="1" x14ac:dyDescent="0.25">
      <c r="A13882" s="1"/>
    </row>
    <row r="13883" spans="1:1" ht="46.5" customHeight="1" x14ac:dyDescent="0.25">
      <c r="A13883" s="1"/>
    </row>
    <row r="13884" spans="1:1" ht="46.5" customHeight="1" x14ac:dyDescent="0.25">
      <c r="A13884" s="1"/>
    </row>
    <row r="13885" spans="1:1" ht="46.5" customHeight="1" x14ac:dyDescent="0.25">
      <c r="A13885" s="1"/>
    </row>
    <row r="13886" spans="1:1" ht="46.5" customHeight="1" x14ac:dyDescent="0.25">
      <c r="A13886" s="1"/>
    </row>
    <row r="13887" spans="1:1" ht="46.5" customHeight="1" x14ac:dyDescent="0.25">
      <c r="A13887" s="1"/>
    </row>
    <row r="13888" spans="1:1" ht="46.5" customHeight="1" x14ac:dyDescent="0.25">
      <c r="A13888" s="1"/>
    </row>
    <row r="13889" spans="1:1" ht="46.5" customHeight="1" x14ac:dyDescent="0.25">
      <c r="A13889" s="1"/>
    </row>
    <row r="13890" spans="1:1" ht="46.5" customHeight="1" x14ac:dyDescent="0.25">
      <c r="A13890" s="1"/>
    </row>
    <row r="13891" spans="1:1" ht="46.5" customHeight="1" x14ac:dyDescent="0.25">
      <c r="A13891" s="1"/>
    </row>
    <row r="13892" spans="1:1" ht="46.5" customHeight="1" x14ac:dyDescent="0.25">
      <c r="A13892" s="1"/>
    </row>
    <row r="13893" spans="1:1" ht="46.5" customHeight="1" x14ac:dyDescent="0.25">
      <c r="A13893" s="1"/>
    </row>
    <row r="13894" spans="1:1" ht="46.5" customHeight="1" x14ac:dyDescent="0.25">
      <c r="A13894" s="1"/>
    </row>
    <row r="13895" spans="1:1" ht="46.5" customHeight="1" x14ac:dyDescent="0.25">
      <c r="A13895" s="1"/>
    </row>
    <row r="13896" spans="1:1" ht="46.5" customHeight="1" x14ac:dyDescent="0.25">
      <c r="A13896" s="1"/>
    </row>
    <row r="13897" spans="1:1" ht="46.5" customHeight="1" x14ac:dyDescent="0.25">
      <c r="A13897" s="1"/>
    </row>
    <row r="13898" spans="1:1" ht="46.5" customHeight="1" x14ac:dyDescent="0.25">
      <c r="A13898" s="1"/>
    </row>
    <row r="13899" spans="1:1" ht="46.5" customHeight="1" x14ac:dyDescent="0.25">
      <c r="A13899" s="1"/>
    </row>
    <row r="13900" spans="1:1" ht="46.5" customHeight="1" x14ac:dyDescent="0.25">
      <c r="A13900" s="1"/>
    </row>
    <row r="13901" spans="1:1" ht="46.5" customHeight="1" x14ac:dyDescent="0.25">
      <c r="A13901" s="1"/>
    </row>
    <row r="13902" spans="1:1" ht="46.5" customHeight="1" x14ac:dyDescent="0.25">
      <c r="A13902" s="1"/>
    </row>
    <row r="13903" spans="1:1" ht="46.5" customHeight="1" x14ac:dyDescent="0.25">
      <c r="A13903" s="1"/>
    </row>
    <row r="13904" spans="1:1" ht="46.5" customHeight="1" x14ac:dyDescent="0.25">
      <c r="A13904" s="1"/>
    </row>
    <row r="13905" spans="1:1" ht="46.5" customHeight="1" x14ac:dyDescent="0.25">
      <c r="A13905" s="1"/>
    </row>
    <row r="13906" spans="1:1" ht="46.5" customHeight="1" x14ac:dyDescent="0.25">
      <c r="A13906" s="1"/>
    </row>
    <row r="13907" spans="1:1" ht="46.5" customHeight="1" x14ac:dyDescent="0.25">
      <c r="A13907" s="1"/>
    </row>
    <row r="13908" spans="1:1" ht="46.5" customHeight="1" x14ac:dyDescent="0.25">
      <c r="A13908" s="1"/>
    </row>
    <row r="13909" spans="1:1" ht="46.5" customHeight="1" x14ac:dyDescent="0.25">
      <c r="A13909" s="1"/>
    </row>
    <row r="13910" spans="1:1" ht="46.5" customHeight="1" x14ac:dyDescent="0.25">
      <c r="A13910" s="1"/>
    </row>
    <row r="13911" spans="1:1" ht="46.5" customHeight="1" x14ac:dyDescent="0.25">
      <c r="A13911" s="1"/>
    </row>
    <row r="13912" spans="1:1" ht="46.5" customHeight="1" x14ac:dyDescent="0.25">
      <c r="A13912" s="1"/>
    </row>
    <row r="13913" spans="1:1" ht="46.5" customHeight="1" x14ac:dyDescent="0.25">
      <c r="A13913" s="1"/>
    </row>
    <row r="13914" spans="1:1" ht="46.5" customHeight="1" x14ac:dyDescent="0.25">
      <c r="A13914" s="1"/>
    </row>
    <row r="13915" spans="1:1" ht="46.5" customHeight="1" x14ac:dyDescent="0.25">
      <c r="A13915" s="1"/>
    </row>
    <row r="13916" spans="1:1" ht="46.5" customHeight="1" x14ac:dyDescent="0.25">
      <c r="A13916" s="1"/>
    </row>
    <row r="13917" spans="1:1" ht="46.5" customHeight="1" x14ac:dyDescent="0.25">
      <c r="A13917" s="1"/>
    </row>
    <row r="13918" spans="1:1" ht="46.5" customHeight="1" x14ac:dyDescent="0.25">
      <c r="A13918" s="1"/>
    </row>
    <row r="13919" spans="1:1" ht="46.5" customHeight="1" x14ac:dyDescent="0.25">
      <c r="A13919" s="1"/>
    </row>
    <row r="13920" spans="1:1" ht="46.5" customHeight="1" x14ac:dyDescent="0.25">
      <c r="A13920" s="1"/>
    </row>
    <row r="13921" spans="1:1" ht="46.5" customHeight="1" x14ac:dyDescent="0.25">
      <c r="A13921" s="1"/>
    </row>
    <row r="13922" spans="1:1" ht="46.5" customHeight="1" x14ac:dyDescent="0.25">
      <c r="A13922" s="1"/>
    </row>
    <row r="13923" spans="1:1" ht="46.5" customHeight="1" x14ac:dyDescent="0.25">
      <c r="A13923" s="1"/>
    </row>
    <row r="13924" spans="1:1" ht="46.5" customHeight="1" x14ac:dyDescent="0.25">
      <c r="A13924" s="1"/>
    </row>
    <row r="13925" spans="1:1" ht="46.5" customHeight="1" x14ac:dyDescent="0.25">
      <c r="A13925" s="1"/>
    </row>
    <row r="13926" spans="1:1" ht="46.5" customHeight="1" x14ac:dyDescent="0.25">
      <c r="A13926" s="1"/>
    </row>
    <row r="13927" spans="1:1" ht="46.5" customHeight="1" x14ac:dyDescent="0.25">
      <c r="A13927" s="1"/>
    </row>
    <row r="13928" spans="1:1" ht="46.5" customHeight="1" x14ac:dyDescent="0.25">
      <c r="A13928" s="1"/>
    </row>
    <row r="13929" spans="1:1" ht="46.5" customHeight="1" x14ac:dyDescent="0.25">
      <c r="A13929" s="1"/>
    </row>
    <row r="13930" spans="1:1" ht="46.5" customHeight="1" x14ac:dyDescent="0.25">
      <c r="A13930" s="1"/>
    </row>
    <row r="13931" spans="1:1" ht="46.5" customHeight="1" x14ac:dyDescent="0.25">
      <c r="A13931" s="1"/>
    </row>
    <row r="13932" spans="1:1" ht="46.5" customHeight="1" x14ac:dyDescent="0.25">
      <c r="A13932" s="1"/>
    </row>
    <row r="13933" spans="1:1" ht="46.5" customHeight="1" x14ac:dyDescent="0.25">
      <c r="A13933" s="1"/>
    </row>
    <row r="13934" spans="1:1" ht="46.5" customHeight="1" x14ac:dyDescent="0.25">
      <c r="A13934" s="1"/>
    </row>
    <row r="13935" spans="1:1" ht="46.5" customHeight="1" x14ac:dyDescent="0.25">
      <c r="A13935" s="1"/>
    </row>
    <row r="13936" spans="1:1" ht="46.5" customHeight="1" x14ac:dyDescent="0.25">
      <c r="A13936" s="1"/>
    </row>
    <row r="13937" spans="1:1" ht="46.5" customHeight="1" x14ac:dyDescent="0.25">
      <c r="A13937" s="1"/>
    </row>
    <row r="13938" spans="1:1" ht="46.5" customHeight="1" x14ac:dyDescent="0.25">
      <c r="A13938" s="1"/>
    </row>
    <row r="13939" spans="1:1" ht="46.5" customHeight="1" x14ac:dyDescent="0.25">
      <c r="A13939" s="1"/>
    </row>
    <row r="13940" spans="1:1" ht="46.5" customHeight="1" x14ac:dyDescent="0.25">
      <c r="A13940" s="1"/>
    </row>
    <row r="13941" spans="1:1" ht="46.5" customHeight="1" x14ac:dyDescent="0.25">
      <c r="A13941" s="1"/>
    </row>
    <row r="13942" spans="1:1" ht="46.5" customHeight="1" x14ac:dyDescent="0.25">
      <c r="A13942" s="1"/>
    </row>
    <row r="13943" spans="1:1" ht="46.5" customHeight="1" x14ac:dyDescent="0.25">
      <c r="A13943" s="1"/>
    </row>
    <row r="13944" spans="1:1" ht="46.5" customHeight="1" x14ac:dyDescent="0.25">
      <c r="A13944" s="1"/>
    </row>
    <row r="13945" spans="1:1" ht="46.5" customHeight="1" x14ac:dyDescent="0.25">
      <c r="A13945" s="1"/>
    </row>
    <row r="13946" spans="1:1" ht="46.5" customHeight="1" x14ac:dyDescent="0.25">
      <c r="A13946" s="1"/>
    </row>
    <row r="13947" spans="1:1" ht="46.5" customHeight="1" x14ac:dyDescent="0.25">
      <c r="A13947" s="1"/>
    </row>
    <row r="13948" spans="1:1" ht="46.5" customHeight="1" x14ac:dyDescent="0.25">
      <c r="A13948" s="1"/>
    </row>
    <row r="13949" spans="1:1" ht="46.5" customHeight="1" x14ac:dyDescent="0.25">
      <c r="A13949" s="1"/>
    </row>
    <row r="13950" spans="1:1" ht="46.5" customHeight="1" x14ac:dyDescent="0.25">
      <c r="A13950" s="1"/>
    </row>
    <row r="13951" spans="1:1" ht="46.5" customHeight="1" x14ac:dyDescent="0.25">
      <c r="A13951" s="1"/>
    </row>
    <row r="13952" spans="1:1" ht="46.5" customHeight="1" x14ac:dyDescent="0.25">
      <c r="A13952" s="1"/>
    </row>
    <row r="13953" spans="1:1" ht="46.5" customHeight="1" x14ac:dyDescent="0.25">
      <c r="A13953" s="1"/>
    </row>
    <row r="13954" spans="1:1" ht="46.5" customHeight="1" x14ac:dyDescent="0.25">
      <c r="A13954" s="1"/>
    </row>
    <row r="13955" spans="1:1" ht="46.5" customHeight="1" x14ac:dyDescent="0.25">
      <c r="A13955" s="1"/>
    </row>
    <row r="13956" spans="1:1" ht="46.5" customHeight="1" x14ac:dyDescent="0.25">
      <c r="A13956" s="1"/>
    </row>
    <row r="13957" spans="1:1" ht="46.5" customHeight="1" x14ac:dyDescent="0.25">
      <c r="A13957" s="1"/>
    </row>
    <row r="13958" spans="1:1" ht="46.5" customHeight="1" x14ac:dyDescent="0.25">
      <c r="A13958" s="1"/>
    </row>
    <row r="13959" spans="1:1" ht="46.5" customHeight="1" x14ac:dyDescent="0.25">
      <c r="A13959" s="1"/>
    </row>
    <row r="13960" spans="1:1" ht="46.5" customHeight="1" x14ac:dyDescent="0.25">
      <c r="A13960" s="1"/>
    </row>
    <row r="13961" spans="1:1" ht="46.5" customHeight="1" x14ac:dyDescent="0.25">
      <c r="A13961" s="1"/>
    </row>
    <row r="13962" spans="1:1" ht="46.5" customHeight="1" x14ac:dyDescent="0.25">
      <c r="A13962" s="1"/>
    </row>
    <row r="13963" spans="1:1" ht="46.5" customHeight="1" x14ac:dyDescent="0.25">
      <c r="A13963" s="1"/>
    </row>
    <row r="13964" spans="1:1" ht="46.5" customHeight="1" x14ac:dyDescent="0.25">
      <c r="A13964" s="1"/>
    </row>
    <row r="13965" spans="1:1" ht="46.5" customHeight="1" x14ac:dyDescent="0.25">
      <c r="A13965" s="1"/>
    </row>
    <row r="13966" spans="1:1" ht="46.5" customHeight="1" x14ac:dyDescent="0.25">
      <c r="A13966" s="1"/>
    </row>
    <row r="13967" spans="1:1" ht="46.5" customHeight="1" x14ac:dyDescent="0.25">
      <c r="A13967" s="1"/>
    </row>
    <row r="13968" spans="1:1" ht="46.5" customHeight="1" x14ac:dyDescent="0.25">
      <c r="A13968" s="1"/>
    </row>
    <row r="13969" spans="1:1" ht="46.5" customHeight="1" x14ac:dyDescent="0.25">
      <c r="A13969" s="1"/>
    </row>
    <row r="13970" spans="1:1" ht="46.5" customHeight="1" x14ac:dyDescent="0.25">
      <c r="A13970" s="1"/>
    </row>
    <row r="13971" spans="1:1" ht="46.5" customHeight="1" x14ac:dyDescent="0.25">
      <c r="A13971" s="1"/>
    </row>
    <row r="13972" spans="1:1" ht="46.5" customHeight="1" x14ac:dyDescent="0.25">
      <c r="A13972" s="1"/>
    </row>
    <row r="13973" spans="1:1" ht="46.5" customHeight="1" x14ac:dyDescent="0.25">
      <c r="A13973" s="1"/>
    </row>
    <row r="13974" spans="1:1" ht="46.5" customHeight="1" x14ac:dyDescent="0.25">
      <c r="A13974" s="1"/>
    </row>
    <row r="13975" spans="1:1" ht="46.5" customHeight="1" x14ac:dyDescent="0.25">
      <c r="A13975" s="1"/>
    </row>
    <row r="13976" spans="1:1" ht="46.5" customHeight="1" x14ac:dyDescent="0.25">
      <c r="A13976" s="1"/>
    </row>
    <row r="13977" spans="1:1" ht="46.5" customHeight="1" x14ac:dyDescent="0.25">
      <c r="A13977" s="1"/>
    </row>
    <row r="13978" spans="1:1" ht="46.5" customHeight="1" x14ac:dyDescent="0.25">
      <c r="A13978" s="1"/>
    </row>
    <row r="13979" spans="1:1" ht="46.5" customHeight="1" x14ac:dyDescent="0.25">
      <c r="A13979" s="1"/>
    </row>
    <row r="13980" spans="1:1" ht="46.5" customHeight="1" x14ac:dyDescent="0.25">
      <c r="A13980" s="1"/>
    </row>
    <row r="13981" spans="1:1" ht="46.5" customHeight="1" x14ac:dyDescent="0.25">
      <c r="A13981" s="1"/>
    </row>
    <row r="13982" spans="1:1" ht="46.5" customHeight="1" x14ac:dyDescent="0.25">
      <c r="A13982" s="1"/>
    </row>
    <row r="13983" spans="1:1" ht="46.5" customHeight="1" x14ac:dyDescent="0.25">
      <c r="A13983" s="1"/>
    </row>
    <row r="13984" spans="1:1" ht="46.5" customHeight="1" x14ac:dyDescent="0.25">
      <c r="A13984" s="1"/>
    </row>
    <row r="13985" spans="1:1" ht="46.5" customHeight="1" x14ac:dyDescent="0.25">
      <c r="A13985" s="1"/>
    </row>
    <row r="13986" spans="1:1" ht="46.5" customHeight="1" x14ac:dyDescent="0.25">
      <c r="A13986" s="1"/>
    </row>
    <row r="13987" spans="1:1" ht="46.5" customHeight="1" x14ac:dyDescent="0.25">
      <c r="A13987" s="1"/>
    </row>
    <row r="13988" spans="1:1" ht="46.5" customHeight="1" x14ac:dyDescent="0.25">
      <c r="A13988" s="1"/>
    </row>
    <row r="13989" spans="1:1" ht="46.5" customHeight="1" x14ac:dyDescent="0.25">
      <c r="A13989" s="1"/>
    </row>
    <row r="13990" spans="1:1" ht="46.5" customHeight="1" x14ac:dyDescent="0.25">
      <c r="A13990" s="1"/>
    </row>
    <row r="13991" spans="1:1" ht="46.5" customHeight="1" x14ac:dyDescent="0.25">
      <c r="A13991" s="1"/>
    </row>
    <row r="13992" spans="1:1" ht="46.5" customHeight="1" x14ac:dyDescent="0.25">
      <c r="A13992" s="1"/>
    </row>
    <row r="13993" spans="1:1" ht="46.5" customHeight="1" x14ac:dyDescent="0.25">
      <c r="A13993" s="1"/>
    </row>
    <row r="13994" spans="1:1" ht="46.5" customHeight="1" x14ac:dyDescent="0.25">
      <c r="A13994" s="1"/>
    </row>
    <row r="13995" spans="1:1" ht="46.5" customHeight="1" x14ac:dyDescent="0.25">
      <c r="A13995" s="1"/>
    </row>
    <row r="13996" spans="1:1" ht="46.5" customHeight="1" x14ac:dyDescent="0.25">
      <c r="A13996" s="1"/>
    </row>
    <row r="13997" spans="1:1" ht="46.5" customHeight="1" x14ac:dyDescent="0.25">
      <c r="A13997" s="1"/>
    </row>
    <row r="13998" spans="1:1" ht="46.5" customHeight="1" x14ac:dyDescent="0.25">
      <c r="A13998" s="1"/>
    </row>
    <row r="13999" spans="1:1" ht="46.5" customHeight="1" x14ac:dyDescent="0.25">
      <c r="A13999" s="1"/>
    </row>
    <row r="14000" spans="1:1" ht="46.5" customHeight="1" x14ac:dyDescent="0.25">
      <c r="A14000" s="1"/>
    </row>
    <row r="14001" spans="1:1" ht="46.5" customHeight="1" x14ac:dyDescent="0.25">
      <c r="A14001" s="1"/>
    </row>
    <row r="14002" spans="1:1" ht="46.5" customHeight="1" x14ac:dyDescent="0.25">
      <c r="A14002" s="1"/>
    </row>
    <row r="14003" spans="1:1" ht="46.5" customHeight="1" x14ac:dyDescent="0.25">
      <c r="A14003" s="1"/>
    </row>
    <row r="14004" spans="1:1" ht="46.5" customHeight="1" x14ac:dyDescent="0.25">
      <c r="A14004" s="1"/>
    </row>
    <row r="14005" spans="1:1" ht="46.5" customHeight="1" x14ac:dyDescent="0.25">
      <c r="A14005" s="1"/>
    </row>
    <row r="14006" spans="1:1" ht="46.5" customHeight="1" x14ac:dyDescent="0.25">
      <c r="A14006" s="1"/>
    </row>
    <row r="14007" spans="1:1" ht="46.5" customHeight="1" x14ac:dyDescent="0.25">
      <c r="A14007" s="1"/>
    </row>
    <row r="14008" spans="1:1" ht="46.5" customHeight="1" x14ac:dyDescent="0.25">
      <c r="A14008" s="1"/>
    </row>
    <row r="14009" spans="1:1" ht="46.5" customHeight="1" x14ac:dyDescent="0.25">
      <c r="A14009" s="1"/>
    </row>
    <row r="14010" spans="1:1" ht="46.5" customHeight="1" x14ac:dyDescent="0.25">
      <c r="A14010" s="1"/>
    </row>
    <row r="14011" spans="1:1" ht="46.5" customHeight="1" x14ac:dyDescent="0.25">
      <c r="A14011" s="1"/>
    </row>
    <row r="14012" spans="1:1" ht="46.5" customHeight="1" x14ac:dyDescent="0.25">
      <c r="A14012" s="1"/>
    </row>
    <row r="14013" spans="1:1" ht="46.5" customHeight="1" x14ac:dyDescent="0.25">
      <c r="A14013" s="1"/>
    </row>
    <row r="14014" spans="1:1" ht="46.5" customHeight="1" x14ac:dyDescent="0.25">
      <c r="A14014" s="1"/>
    </row>
    <row r="14015" spans="1:1" ht="46.5" customHeight="1" x14ac:dyDescent="0.25">
      <c r="A14015" s="1"/>
    </row>
    <row r="14016" spans="1:1" ht="46.5" customHeight="1" x14ac:dyDescent="0.25">
      <c r="A14016" s="1"/>
    </row>
    <row r="14017" spans="1:1" ht="46.5" customHeight="1" x14ac:dyDescent="0.25">
      <c r="A14017" s="1"/>
    </row>
    <row r="14018" spans="1:1" ht="46.5" customHeight="1" x14ac:dyDescent="0.25">
      <c r="A14018" s="1"/>
    </row>
    <row r="14019" spans="1:1" ht="46.5" customHeight="1" x14ac:dyDescent="0.25">
      <c r="A14019" s="1"/>
    </row>
    <row r="14020" spans="1:1" ht="46.5" customHeight="1" x14ac:dyDescent="0.25">
      <c r="A14020" s="1"/>
    </row>
    <row r="14021" spans="1:1" ht="46.5" customHeight="1" x14ac:dyDescent="0.25">
      <c r="A14021" s="1"/>
    </row>
    <row r="14022" spans="1:1" ht="46.5" customHeight="1" x14ac:dyDescent="0.25">
      <c r="A14022" s="1"/>
    </row>
    <row r="14023" spans="1:1" ht="46.5" customHeight="1" x14ac:dyDescent="0.25">
      <c r="A14023" s="1"/>
    </row>
    <row r="14024" spans="1:1" ht="46.5" customHeight="1" x14ac:dyDescent="0.25">
      <c r="A14024" s="1"/>
    </row>
    <row r="14025" spans="1:1" ht="46.5" customHeight="1" x14ac:dyDescent="0.25">
      <c r="A14025" s="1"/>
    </row>
    <row r="14026" spans="1:1" ht="46.5" customHeight="1" x14ac:dyDescent="0.25">
      <c r="A14026" s="1"/>
    </row>
    <row r="14027" spans="1:1" ht="46.5" customHeight="1" x14ac:dyDescent="0.25">
      <c r="A14027" s="1"/>
    </row>
    <row r="14028" spans="1:1" ht="46.5" customHeight="1" x14ac:dyDescent="0.25">
      <c r="A14028" s="1"/>
    </row>
    <row r="14029" spans="1:1" ht="46.5" customHeight="1" x14ac:dyDescent="0.25">
      <c r="A14029" s="1"/>
    </row>
    <row r="14030" spans="1:1" ht="46.5" customHeight="1" x14ac:dyDescent="0.25">
      <c r="A14030" s="1"/>
    </row>
    <row r="14031" spans="1:1" ht="46.5" customHeight="1" x14ac:dyDescent="0.25">
      <c r="A14031" s="1"/>
    </row>
    <row r="14032" spans="1:1" ht="46.5" customHeight="1" x14ac:dyDescent="0.25">
      <c r="A14032" s="1"/>
    </row>
    <row r="14033" spans="1:1" ht="46.5" customHeight="1" x14ac:dyDescent="0.25">
      <c r="A14033" s="1"/>
    </row>
    <row r="14034" spans="1:1" ht="46.5" customHeight="1" x14ac:dyDescent="0.25">
      <c r="A14034" s="1"/>
    </row>
    <row r="14035" spans="1:1" ht="46.5" customHeight="1" x14ac:dyDescent="0.25">
      <c r="A14035" s="1"/>
    </row>
    <row r="14036" spans="1:1" ht="46.5" customHeight="1" x14ac:dyDescent="0.25">
      <c r="A14036" s="1"/>
    </row>
    <row r="14037" spans="1:1" ht="46.5" customHeight="1" x14ac:dyDescent="0.25">
      <c r="A14037" s="1"/>
    </row>
    <row r="14038" spans="1:1" ht="46.5" customHeight="1" x14ac:dyDescent="0.25">
      <c r="A14038" s="1"/>
    </row>
    <row r="14039" spans="1:1" ht="46.5" customHeight="1" x14ac:dyDescent="0.25">
      <c r="A14039" s="1"/>
    </row>
    <row r="14040" spans="1:1" ht="46.5" customHeight="1" x14ac:dyDescent="0.25">
      <c r="A14040" s="1"/>
    </row>
    <row r="14041" spans="1:1" ht="46.5" customHeight="1" x14ac:dyDescent="0.25">
      <c r="A14041" s="1"/>
    </row>
    <row r="14042" spans="1:1" ht="46.5" customHeight="1" x14ac:dyDescent="0.25">
      <c r="A14042" s="1"/>
    </row>
    <row r="14043" spans="1:1" ht="46.5" customHeight="1" x14ac:dyDescent="0.25">
      <c r="A14043" s="1"/>
    </row>
    <row r="14044" spans="1:1" ht="46.5" customHeight="1" x14ac:dyDescent="0.25">
      <c r="A14044" s="1"/>
    </row>
    <row r="14045" spans="1:1" ht="46.5" customHeight="1" x14ac:dyDescent="0.25">
      <c r="A14045" s="1"/>
    </row>
    <row r="14046" spans="1:1" ht="46.5" customHeight="1" x14ac:dyDescent="0.25">
      <c r="A14046" s="1"/>
    </row>
    <row r="14047" spans="1:1" ht="46.5" customHeight="1" x14ac:dyDescent="0.25">
      <c r="A14047" s="1"/>
    </row>
    <row r="14048" spans="1:1" ht="46.5" customHeight="1" x14ac:dyDescent="0.25">
      <c r="A14048" s="1"/>
    </row>
    <row r="14049" spans="1:1" ht="46.5" customHeight="1" x14ac:dyDescent="0.25">
      <c r="A14049" s="1"/>
    </row>
    <row r="14050" spans="1:1" ht="46.5" customHeight="1" x14ac:dyDescent="0.25">
      <c r="A14050" s="1"/>
    </row>
    <row r="14051" spans="1:1" ht="46.5" customHeight="1" x14ac:dyDescent="0.25">
      <c r="A14051" s="1"/>
    </row>
    <row r="14052" spans="1:1" ht="46.5" customHeight="1" x14ac:dyDescent="0.25">
      <c r="A14052" s="1"/>
    </row>
    <row r="14053" spans="1:1" ht="46.5" customHeight="1" x14ac:dyDescent="0.25">
      <c r="A14053" s="1"/>
    </row>
    <row r="14054" spans="1:1" ht="46.5" customHeight="1" x14ac:dyDescent="0.25">
      <c r="A14054" s="1"/>
    </row>
    <row r="14055" spans="1:1" ht="46.5" customHeight="1" x14ac:dyDescent="0.25">
      <c r="A14055" s="1"/>
    </row>
    <row r="14056" spans="1:1" ht="46.5" customHeight="1" x14ac:dyDescent="0.25">
      <c r="A14056" s="1"/>
    </row>
    <row r="14057" spans="1:1" ht="46.5" customHeight="1" x14ac:dyDescent="0.25">
      <c r="A14057" s="1"/>
    </row>
    <row r="14058" spans="1:1" ht="46.5" customHeight="1" x14ac:dyDescent="0.25">
      <c r="A14058" s="1"/>
    </row>
    <row r="14059" spans="1:1" ht="46.5" customHeight="1" x14ac:dyDescent="0.25">
      <c r="A14059" s="1"/>
    </row>
    <row r="14060" spans="1:1" ht="46.5" customHeight="1" x14ac:dyDescent="0.25">
      <c r="A14060" s="1"/>
    </row>
    <row r="14061" spans="1:1" ht="46.5" customHeight="1" x14ac:dyDescent="0.25">
      <c r="A14061" s="1"/>
    </row>
    <row r="14062" spans="1:1" ht="46.5" customHeight="1" x14ac:dyDescent="0.25">
      <c r="A14062" s="1"/>
    </row>
    <row r="14063" spans="1:1" ht="46.5" customHeight="1" x14ac:dyDescent="0.25">
      <c r="A14063" s="1"/>
    </row>
    <row r="14064" spans="1:1" ht="46.5" customHeight="1" x14ac:dyDescent="0.25">
      <c r="A14064" s="1"/>
    </row>
    <row r="14065" spans="1:1" ht="46.5" customHeight="1" x14ac:dyDescent="0.25">
      <c r="A14065" s="1"/>
    </row>
    <row r="14066" spans="1:1" ht="46.5" customHeight="1" x14ac:dyDescent="0.25">
      <c r="A14066" s="1"/>
    </row>
    <row r="14067" spans="1:1" ht="46.5" customHeight="1" x14ac:dyDescent="0.25">
      <c r="A14067" s="1"/>
    </row>
    <row r="14068" spans="1:1" ht="46.5" customHeight="1" x14ac:dyDescent="0.25">
      <c r="A14068" s="1"/>
    </row>
    <row r="14069" spans="1:1" ht="46.5" customHeight="1" x14ac:dyDescent="0.25">
      <c r="A14069" s="1"/>
    </row>
    <row r="14070" spans="1:1" ht="46.5" customHeight="1" x14ac:dyDescent="0.25">
      <c r="A14070" s="1"/>
    </row>
    <row r="14071" spans="1:1" ht="46.5" customHeight="1" x14ac:dyDescent="0.25">
      <c r="A14071" s="1"/>
    </row>
    <row r="14072" spans="1:1" ht="46.5" customHeight="1" x14ac:dyDescent="0.25">
      <c r="A14072" s="1"/>
    </row>
    <row r="14073" spans="1:1" ht="46.5" customHeight="1" x14ac:dyDescent="0.25">
      <c r="A14073" s="1"/>
    </row>
    <row r="14074" spans="1:1" ht="46.5" customHeight="1" x14ac:dyDescent="0.25">
      <c r="A14074" s="1"/>
    </row>
    <row r="14075" spans="1:1" ht="46.5" customHeight="1" x14ac:dyDescent="0.25">
      <c r="A14075" s="1"/>
    </row>
    <row r="14076" spans="1:1" ht="46.5" customHeight="1" x14ac:dyDescent="0.25">
      <c r="A14076" s="1"/>
    </row>
    <row r="14077" spans="1:1" ht="46.5" customHeight="1" x14ac:dyDescent="0.25">
      <c r="A14077" s="1"/>
    </row>
    <row r="14078" spans="1:1" ht="46.5" customHeight="1" x14ac:dyDescent="0.25">
      <c r="A14078" s="1"/>
    </row>
    <row r="14079" spans="1:1" ht="46.5" customHeight="1" x14ac:dyDescent="0.25">
      <c r="A14079" s="1"/>
    </row>
    <row r="14080" spans="1:1" ht="46.5" customHeight="1" x14ac:dyDescent="0.25">
      <c r="A14080" s="1"/>
    </row>
    <row r="14081" spans="1:1" ht="46.5" customHeight="1" x14ac:dyDescent="0.25">
      <c r="A14081" s="1"/>
    </row>
    <row r="14082" spans="1:1" ht="46.5" customHeight="1" x14ac:dyDescent="0.25">
      <c r="A14082" s="1"/>
    </row>
    <row r="14083" spans="1:1" ht="46.5" customHeight="1" x14ac:dyDescent="0.25">
      <c r="A14083" s="1"/>
    </row>
    <row r="14084" spans="1:1" ht="46.5" customHeight="1" x14ac:dyDescent="0.25">
      <c r="A14084" s="1"/>
    </row>
    <row r="14085" spans="1:1" ht="46.5" customHeight="1" x14ac:dyDescent="0.25">
      <c r="A14085" s="1"/>
    </row>
    <row r="14086" spans="1:1" ht="46.5" customHeight="1" x14ac:dyDescent="0.25">
      <c r="A14086" s="1"/>
    </row>
    <row r="14087" spans="1:1" ht="46.5" customHeight="1" x14ac:dyDescent="0.25">
      <c r="A14087" s="1"/>
    </row>
    <row r="14088" spans="1:1" ht="46.5" customHeight="1" x14ac:dyDescent="0.25">
      <c r="A14088" s="1"/>
    </row>
    <row r="14089" spans="1:1" ht="46.5" customHeight="1" x14ac:dyDescent="0.25">
      <c r="A14089" s="1"/>
    </row>
    <row r="14090" spans="1:1" ht="46.5" customHeight="1" x14ac:dyDescent="0.25">
      <c r="A14090" s="1"/>
    </row>
    <row r="14091" spans="1:1" ht="46.5" customHeight="1" x14ac:dyDescent="0.25">
      <c r="A14091" s="1"/>
    </row>
    <row r="14092" spans="1:1" ht="46.5" customHeight="1" x14ac:dyDescent="0.25">
      <c r="A14092" s="1"/>
    </row>
    <row r="14093" spans="1:1" ht="46.5" customHeight="1" x14ac:dyDescent="0.25">
      <c r="A14093" s="1"/>
    </row>
    <row r="14094" spans="1:1" ht="46.5" customHeight="1" x14ac:dyDescent="0.25">
      <c r="A14094" s="1"/>
    </row>
    <row r="14095" spans="1:1" ht="46.5" customHeight="1" x14ac:dyDescent="0.25">
      <c r="A14095" s="1"/>
    </row>
    <row r="14096" spans="1:1" ht="46.5" customHeight="1" x14ac:dyDescent="0.25">
      <c r="A14096" s="1"/>
    </row>
    <row r="14097" spans="1:1" ht="46.5" customHeight="1" x14ac:dyDescent="0.25">
      <c r="A14097" s="1"/>
    </row>
    <row r="14098" spans="1:1" ht="46.5" customHeight="1" x14ac:dyDescent="0.25">
      <c r="A14098" s="1"/>
    </row>
    <row r="14099" spans="1:1" ht="46.5" customHeight="1" x14ac:dyDescent="0.25">
      <c r="A14099" s="1"/>
    </row>
    <row r="14100" spans="1:1" ht="46.5" customHeight="1" x14ac:dyDescent="0.25">
      <c r="A14100" s="1"/>
    </row>
    <row r="14101" spans="1:1" ht="46.5" customHeight="1" x14ac:dyDescent="0.25">
      <c r="A14101" s="1"/>
    </row>
    <row r="14102" spans="1:1" ht="46.5" customHeight="1" x14ac:dyDescent="0.25">
      <c r="A14102" s="1"/>
    </row>
    <row r="14103" spans="1:1" ht="46.5" customHeight="1" x14ac:dyDescent="0.25">
      <c r="A14103" s="1"/>
    </row>
    <row r="14104" spans="1:1" ht="46.5" customHeight="1" x14ac:dyDescent="0.25">
      <c r="A14104" s="1"/>
    </row>
    <row r="14105" spans="1:1" ht="46.5" customHeight="1" x14ac:dyDescent="0.25">
      <c r="A14105" s="1"/>
    </row>
    <row r="14106" spans="1:1" ht="46.5" customHeight="1" x14ac:dyDescent="0.25">
      <c r="A14106" s="1"/>
    </row>
    <row r="14107" spans="1:1" ht="46.5" customHeight="1" x14ac:dyDescent="0.25">
      <c r="A14107" s="1"/>
    </row>
    <row r="14108" spans="1:1" ht="46.5" customHeight="1" x14ac:dyDescent="0.25">
      <c r="A14108" s="1"/>
    </row>
    <row r="14109" spans="1:1" ht="46.5" customHeight="1" x14ac:dyDescent="0.25">
      <c r="A14109" s="1"/>
    </row>
    <row r="14110" spans="1:1" ht="46.5" customHeight="1" x14ac:dyDescent="0.25">
      <c r="A14110" s="1"/>
    </row>
    <row r="14111" spans="1:1" ht="46.5" customHeight="1" x14ac:dyDescent="0.25">
      <c r="A14111" s="1"/>
    </row>
    <row r="14112" spans="1:1" ht="46.5" customHeight="1" x14ac:dyDescent="0.25">
      <c r="A14112" s="1"/>
    </row>
    <row r="14113" spans="1:1" ht="46.5" customHeight="1" x14ac:dyDescent="0.25">
      <c r="A14113" s="1"/>
    </row>
    <row r="14114" spans="1:1" ht="46.5" customHeight="1" x14ac:dyDescent="0.25">
      <c r="A14114" s="1"/>
    </row>
    <row r="14115" spans="1:1" ht="46.5" customHeight="1" x14ac:dyDescent="0.25">
      <c r="A14115" s="1"/>
    </row>
    <row r="14116" spans="1:1" ht="46.5" customHeight="1" x14ac:dyDescent="0.25">
      <c r="A14116" s="1"/>
    </row>
    <row r="14117" spans="1:1" ht="46.5" customHeight="1" x14ac:dyDescent="0.25">
      <c r="A14117" s="1"/>
    </row>
    <row r="14118" spans="1:1" ht="46.5" customHeight="1" x14ac:dyDescent="0.25">
      <c r="A14118" s="1"/>
    </row>
    <row r="14119" spans="1:1" ht="46.5" customHeight="1" x14ac:dyDescent="0.25">
      <c r="A14119" s="1"/>
    </row>
    <row r="14120" spans="1:1" ht="46.5" customHeight="1" x14ac:dyDescent="0.25">
      <c r="A14120" s="1"/>
    </row>
    <row r="14121" spans="1:1" ht="46.5" customHeight="1" x14ac:dyDescent="0.25">
      <c r="A14121" s="1"/>
    </row>
    <row r="14122" spans="1:1" ht="46.5" customHeight="1" x14ac:dyDescent="0.25">
      <c r="A14122" s="1"/>
    </row>
    <row r="14123" spans="1:1" ht="46.5" customHeight="1" x14ac:dyDescent="0.25">
      <c r="A14123" s="1"/>
    </row>
    <row r="14124" spans="1:1" ht="46.5" customHeight="1" x14ac:dyDescent="0.25">
      <c r="A14124" s="1"/>
    </row>
    <row r="14125" spans="1:1" ht="46.5" customHeight="1" x14ac:dyDescent="0.25">
      <c r="A14125" s="1"/>
    </row>
    <row r="14126" spans="1:1" ht="46.5" customHeight="1" x14ac:dyDescent="0.25">
      <c r="A14126" s="1"/>
    </row>
    <row r="14127" spans="1:1" ht="46.5" customHeight="1" x14ac:dyDescent="0.25">
      <c r="A14127" s="1"/>
    </row>
    <row r="14128" spans="1:1" ht="46.5" customHeight="1" x14ac:dyDescent="0.25">
      <c r="A14128" s="1"/>
    </row>
    <row r="14129" spans="1:1" ht="46.5" customHeight="1" x14ac:dyDescent="0.25">
      <c r="A14129" s="1"/>
    </row>
    <row r="14130" spans="1:1" ht="46.5" customHeight="1" x14ac:dyDescent="0.25">
      <c r="A14130" s="1"/>
    </row>
    <row r="14131" spans="1:1" ht="46.5" customHeight="1" x14ac:dyDescent="0.25">
      <c r="A14131" s="1"/>
    </row>
    <row r="14132" spans="1:1" ht="46.5" customHeight="1" x14ac:dyDescent="0.25">
      <c r="A14132" s="1"/>
    </row>
    <row r="14133" spans="1:1" ht="46.5" customHeight="1" x14ac:dyDescent="0.25">
      <c r="A14133" s="1"/>
    </row>
    <row r="14134" spans="1:1" ht="46.5" customHeight="1" x14ac:dyDescent="0.25">
      <c r="A14134" s="1"/>
    </row>
    <row r="14135" spans="1:1" ht="46.5" customHeight="1" x14ac:dyDescent="0.25">
      <c r="A14135" s="1"/>
    </row>
    <row r="14136" spans="1:1" ht="46.5" customHeight="1" x14ac:dyDescent="0.25">
      <c r="A14136" s="1"/>
    </row>
    <row r="14137" spans="1:1" ht="46.5" customHeight="1" x14ac:dyDescent="0.25">
      <c r="A14137" s="1"/>
    </row>
    <row r="14138" spans="1:1" ht="46.5" customHeight="1" x14ac:dyDescent="0.25">
      <c r="A14138" s="1"/>
    </row>
    <row r="14139" spans="1:1" ht="46.5" customHeight="1" x14ac:dyDescent="0.25">
      <c r="A14139" s="1"/>
    </row>
    <row r="14140" spans="1:1" ht="46.5" customHeight="1" x14ac:dyDescent="0.25">
      <c r="A14140" s="1"/>
    </row>
    <row r="14141" spans="1:1" ht="46.5" customHeight="1" x14ac:dyDescent="0.25">
      <c r="A14141" s="1"/>
    </row>
    <row r="14142" spans="1:1" ht="46.5" customHeight="1" x14ac:dyDescent="0.25">
      <c r="A14142" s="1"/>
    </row>
    <row r="14143" spans="1:1" ht="46.5" customHeight="1" x14ac:dyDescent="0.25">
      <c r="A14143" s="1"/>
    </row>
    <row r="14144" spans="1:1" ht="46.5" customHeight="1" x14ac:dyDescent="0.25">
      <c r="A14144" s="1"/>
    </row>
    <row r="14145" spans="1:1" ht="46.5" customHeight="1" x14ac:dyDescent="0.25">
      <c r="A14145" s="1"/>
    </row>
    <row r="14146" spans="1:1" ht="46.5" customHeight="1" x14ac:dyDescent="0.25">
      <c r="A14146" s="1"/>
    </row>
    <row r="14147" spans="1:1" ht="46.5" customHeight="1" x14ac:dyDescent="0.25">
      <c r="A14147" s="1"/>
    </row>
    <row r="14148" spans="1:1" ht="46.5" customHeight="1" x14ac:dyDescent="0.25">
      <c r="A14148" s="1"/>
    </row>
    <row r="14149" spans="1:1" ht="46.5" customHeight="1" x14ac:dyDescent="0.25">
      <c r="A14149" s="1"/>
    </row>
    <row r="14150" spans="1:1" ht="46.5" customHeight="1" x14ac:dyDescent="0.25">
      <c r="A14150" s="1"/>
    </row>
    <row r="14151" spans="1:1" ht="46.5" customHeight="1" x14ac:dyDescent="0.25">
      <c r="A14151" s="1"/>
    </row>
    <row r="14152" spans="1:1" ht="46.5" customHeight="1" x14ac:dyDescent="0.25">
      <c r="A14152" s="1"/>
    </row>
    <row r="14153" spans="1:1" ht="46.5" customHeight="1" x14ac:dyDescent="0.25">
      <c r="A14153" s="1"/>
    </row>
    <row r="14154" spans="1:1" ht="46.5" customHeight="1" x14ac:dyDescent="0.25">
      <c r="A14154" s="1"/>
    </row>
    <row r="14155" spans="1:1" ht="46.5" customHeight="1" x14ac:dyDescent="0.25">
      <c r="A14155" s="1"/>
    </row>
    <row r="14156" spans="1:1" ht="46.5" customHeight="1" x14ac:dyDescent="0.25">
      <c r="A14156" s="1"/>
    </row>
    <row r="14157" spans="1:1" ht="46.5" customHeight="1" x14ac:dyDescent="0.25">
      <c r="A14157" s="1"/>
    </row>
    <row r="14158" spans="1:1" ht="46.5" customHeight="1" x14ac:dyDescent="0.25">
      <c r="A14158" s="1"/>
    </row>
    <row r="14159" spans="1:1" ht="46.5" customHeight="1" x14ac:dyDescent="0.25">
      <c r="A14159" s="1"/>
    </row>
    <row r="14160" spans="1:1" ht="46.5" customHeight="1" x14ac:dyDescent="0.25">
      <c r="A14160" s="1"/>
    </row>
    <row r="14161" spans="1:1" ht="46.5" customHeight="1" x14ac:dyDescent="0.25">
      <c r="A14161" s="1"/>
    </row>
    <row r="14162" spans="1:1" ht="46.5" customHeight="1" x14ac:dyDescent="0.25">
      <c r="A14162" s="1"/>
    </row>
    <row r="14163" spans="1:1" ht="46.5" customHeight="1" x14ac:dyDescent="0.25">
      <c r="A14163" s="1"/>
    </row>
    <row r="14164" spans="1:1" ht="46.5" customHeight="1" x14ac:dyDescent="0.25">
      <c r="A14164" s="1"/>
    </row>
    <row r="14165" spans="1:1" ht="46.5" customHeight="1" x14ac:dyDescent="0.25">
      <c r="A14165" s="1"/>
    </row>
    <row r="14166" spans="1:1" ht="46.5" customHeight="1" x14ac:dyDescent="0.25">
      <c r="A14166" s="1"/>
    </row>
    <row r="14167" spans="1:1" ht="46.5" customHeight="1" x14ac:dyDescent="0.25">
      <c r="A14167" s="1"/>
    </row>
    <row r="14168" spans="1:1" ht="46.5" customHeight="1" x14ac:dyDescent="0.25">
      <c r="A14168" s="1"/>
    </row>
    <row r="14169" spans="1:1" ht="46.5" customHeight="1" x14ac:dyDescent="0.25">
      <c r="A14169" s="1"/>
    </row>
    <row r="14170" spans="1:1" ht="46.5" customHeight="1" x14ac:dyDescent="0.25">
      <c r="A14170" s="1"/>
    </row>
    <row r="14171" spans="1:1" ht="46.5" customHeight="1" x14ac:dyDescent="0.25">
      <c r="A14171" s="1"/>
    </row>
    <row r="14172" spans="1:1" ht="46.5" customHeight="1" x14ac:dyDescent="0.25">
      <c r="A14172" s="1"/>
    </row>
    <row r="14173" spans="1:1" ht="46.5" customHeight="1" x14ac:dyDescent="0.25">
      <c r="A14173" s="1"/>
    </row>
    <row r="14174" spans="1:1" ht="46.5" customHeight="1" x14ac:dyDescent="0.25">
      <c r="A14174" s="1"/>
    </row>
    <row r="14175" spans="1:1" ht="46.5" customHeight="1" x14ac:dyDescent="0.25">
      <c r="A14175" s="1"/>
    </row>
    <row r="14176" spans="1:1" ht="46.5" customHeight="1" x14ac:dyDescent="0.25">
      <c r="A14176" s="1"/>
    </row>
    <row r="14177" spans="1:1" ht="46.5" customHeight="1" x14ac:dyDescent="0.25">
      <c r="A14177" s="1"/>
    </row>
    <row r="14178" spans="1:1" ht="46.5" customHeight="1" x14ac:dyDescent="0.25">
      <c r="A14178" s="1"/>
    </row>
    <row r="14179" spans="1:1" ht="46.5" customHeight="1" x14ac:dyDescent="0.25">
      <c r="A14179" s="1"/>
    </row>
    <row r="14180" spans="1:1" ht="46.5" customHeight="1" x14ac:dyDescent="0.25">
      <c r="A14180" s="1"/>
    </row>
    <row r="14181" spans="1:1" ht="46.5" customHeight="1" x14ac:dyDescent="0.25">
      <c r="A14181" s="1"/>
    </row>
    <row r="14182" spans="1:1" ht="46.5" customHeight="1" x14ac:dyDescent="0.25">
      <c r="A14182" s="1"/>
    </row>
    <row r="14183" spans="1:1" ht="46.5" customHeight="1" x14ac:dyDescent="0.25">
      <c r="A14183" s="1"/>
    </row>
    <row r="14184" spans="1:1" ht="46.5" customHeight="1" x14ac:dyDescent="0.25">
      <c r="A14184" s="1"/>
    </row>
    <row r="14185" spans="1:1" ht="46.5" customHeight="1" x14ac:dyDescent="0.25">
      <c r="A14185" s="1"/>
    </row>
    <row r="14186" spans="1:1" ht="46.5" customHeight="1" x14ac:dyDescent="0.25">
      <c r="A14186" s="1"/>
    </row>
    <row r="14187" spans="1:1" ht="46.5" customHeight="1" x14ac:dyDescent="0.25">
      <c r="A14187" s="1"/>
    </row>
    <row r="14188" spans="1:1" ht="46.5" customHeight="1" x14ac:dyDescent="0.25">
      <c r="A14188" s="1"/>
    </row>
    <row r="14189" spans="1:1" ht="46.5" customHeight="1" x14ac:dyDescent="0.25">
      <c r="A14189" s="1"/>
    </row>
    <row r="14190" spans="1:1" ht="46.5" customHeight="1" x14ac:dyDescent="0.25">
      <c r="A14190" s="1"/>
    </row>
    <row r="14191" spans="1:1" ht="46.5" customHeight="1" x14ac:dyDescent="0.25">
      <c r="A14191" s="1"/>
    </row>
    <row r="14192" spans="1:1" ht="46.5" customHeight="1" x14ac:dyDescent="0.25">
      <c r="A14192" s="1"/>
    </row>
    <row r="14193" spans="1:1" ht="46.5" customHeight="1" x14ac:dyDescent="0.25">
      <c r="A14193" s="1"/>
    </row>
    <row r="14194" spans="1:1" ht="46.5" customHeight="1" x14ac:dyDescent="0.25">
      <c r="A14194" s="1"/>
    </row>
    <row r="14195" spans="1:1" ht="46.5" customHeight="1" x14ac:dyDescent="0.25">
      <c r="A14195" s="1"/>
    </row>
    <row r="14196" spans="1:1" ht="46.5" customHeight="1" x14ac:dyDescent="0.25">
      <c r="A14196" s="1"/>
    </row>
    <row r="14197" spans="1:1" ht="46.5" customHeight="1" x14ac:dyDescent="0.25">
      <c r="A14197" s="1"/>
    </row>
    <row r="14198" spans="1:1" ht="46.5" customHeight="1" x14ac:dyDescent="0.25">
      <c r="A14198" s="1"/>
    </row>
    <row r="14199" spans="1:1" ht="46.5" customHeight="1" x14ac:dyDescent="0.25">
      <c r="A14199" s="1"/>
    </row>
    <row r="14200" spans="1:1" ht="46.5" customHeight="1" x14ac:dyDescent="0.25">
      <c r="A14200" s="1"/>
    </row>
    <row r="14201" spans="1:1" ht="46.5" customHeight="1" x14ac:dyDescent="0.25">
      <c r="A14201" s="1"/>
    </row>
    <row r="14202" spans="1:1" ht="46.5" customHeight="1" x14ac:dyDescent="0.25">
      <c r="A14202" s="1"/>
    </row>
    <row r="14203" spans="1:1" ht="46.5" customHeight="1" x14ac:dyDescent="0.25">
      <c r="A14203" s="1"/>
    </row>
    <row r="14204" spans="1:1" ht="46.5" customHeight="1" x14ac:dyDescent="0.25">
      <c r="A14204" s="1"/>
    </row>
    <row r="14205" spans="1:1" ht="46.5" customHeight="1" x14ac:dyDescent="0.25">
      <c r="A14205" s="1"/>
    </row>
    <row r="14206" spans="1:1" ht="46.5" customHeight="1" x14ac:dyDescent="0.25">
      <c r="A14206" s="1"/>
    </row>
    <row r="14207" spans="1:1" ht="46.5" customHeight="1" x14ac:dyDescent="0.25">
      <c r="A14207" s="1"/>
    </row>
    <row r="14208" spans="1:1" ht="46.5" customHeight="1" x14ac:dyDescent="0.25">
      <c r="A14208" s="1"/>
    </row>
    <row r="14209" spans="1:1" ht="46.5" customHeight="1" x14ac:dyDescent="0.25">
      <c r="A14209" s="1"/>
    </row>
    <row r="14210" spans="1:1" ht="46.5" customHeight="1" x14ac:dyDescent="0.25">
      <c r="A14210" s="1"/>
    </row>
    <row r="14211" spans="1:1" ht="46.5" customHeight="1" x14ac:dyDescent="0.25">
      <c r="A14211" s="1"/>
    </row>
    <row r="14212" spans="1:1" ht="46.5" customHeight="1" x14ac:dyDescent="0.25">
      <c r="A14212" s="1"/>
    </row>
    <row r="14213" spans="1:1" ht="46.5" customHeight="1" x14ac:dyDescent="0.25">
      <c r="A14213" s="1"/>
    </row>
    <row r="14214" spans="1:1" ht="46.5" customHeight="1" x14ac:dyDescent="0.25">
      <c r="A14214" s="1"/>
    </row>
    <row r="14215" spans="1:1" ht="46.5" customHeight="1" x14ac:dyDescent="0.25">
      <c r="A14215" s="1"/>
    </row>
    <row r="14216" spans="1:1" ht="46.5" customHeight="1" x14ac:dyDescent="0.25">
      <c r="A14216" s="1"/>
    </row>
    <row r="14217" spans="1:1" ht="46.5" customHeight="1" x14ac:dyDescent="0.25">
      <c r="A14217" s="1"/>
    </row>
    <row r="14218" spans="1:1" ht="46.5" customHeight="1" x14ac:dyDescent="0.25">
      <c r="A14218" s="1"/>
    </row>
    <row r="14219" spans="1:1" ht="46.5" customHeight="1" x14ac:dyDescent="0.25">
      <c r="A14219" s="1"/>
    </row>
    <row r="14220" spans="1:1" ht="46.5" customHeight="1" x14ac:dyDescent="0.25">
      <c r="A14220" s="1"/>
    </row>
    <row r="14221" spans="1:1" ht="46.5" customHeight="1" x14ac:dyDescent="0.25">
      <c r="A14221" s="1"/>
    </row>
    <row r="14222" spans="1:1" ht="46.5" customHeight="1" x14ac:dyDescent="0.25">
      <c r="A14222" s="1"/>
    </row>
    <row r="14223" spans="1:1" ht="46.5" customHeight="1" x14ac:dyDescent="0.25">
      <c r="A14223" s="1"/>
    </row>
    <row r="14224" spans="1:1" ht="46.5" customHeight="1" x14ac:dyDescent="0.25">
      <c r="A14224" s="1"/>
    </row>
    <row r="14225" spans="1:1" ht="46.5" customHeight="1" x14ac:dyDescent="0.25">
      <c r="A14225" s="1"/>
    </row>
    <row r="14226" spans="1:1" ht="46.5" customHeight="1" x14ac:dyDescent="0.25">
      <c r="A14226" s="1"/>
    </row>
    <row r="14227" spans="1:1" ht="46.5" customHeight="1" x14ac:dyDescent="0.25">
      <c r="A14227" s="1"/>
    </row>
    <row r="14228" spans="1:1" ht="46.5" customHeight="1" x14ac:dyDescent="0.25">
      <c r="A14228" s="1"/>
    </row>
    <row r="14229" spans="1:1" ht="46.5" customHeight="1" x14ac:dyDescent="0.25">
      <c r="A14229" s="1"/>
    </row>
    <row r="14230" spans="1:1" ht="46.5" customHeight="1" x14ac:dyDescent="0.25">
      <c r="A14230" s="1"/>
    </row>
    <row r="14231" spans="1:1" ht="46.5" customHeight="1" x14ac:dyDescent="0.25">
      <c r="A14231" s="1"/>
    </row>
    <row r="14232" spans="1:1" ht="46.5" customHeight="1" x14ac:dyDescent="0.25">
      <c r="A14232" s="1"/>
    </row>
    <row r="14233" spans="1:1" ht="46.5" customHeight="1" x14ac:dyDescent="0.25">
      <c r="A14233" s="1"/>
    </row>
    <row r="14234" spans="1:1" ht="46.5" customHeight="1" x14ac:dyDescent="0.25">
      <c r="A14234" s="1"/>
    </row>
    <row r="14235" spans="1:1" ht="46.5" customHeight="1" x14ac:dyDescent="0.25">
      <c r="A14235" s="1"/>
    </row>
    <row r="14236" spans="1:1" ht="46.5" customHeight="1" x14ac:dyDescent="0.25">
      <c r="A14236" s="1"/>
    </row>
    <row r="14237" spans="1:1" ht="46.5" customHeight="1" x14ac:dyDescent="0.25">
      <c r="A14237" s="1"/>
    </row>
    <row r="14238" spans="1:1" ht="46.5" customHeight="1" x14ac:dyDescent="0.25">
      <c r="A14238" s="1"/>
    </row>
    <row r="14239" spans="1:1" ht="46.5" customHeight="1" x14ac:dyDescent="0.25">
      <c r="A14239" s="1"/>
    </row>
    <row r="14240" spans="1:1" ht="46.5" customHeight="1" x14ac:dyDescent="0.25">
      <c r="A14240" s="1"/>
    </row>
    <row r="14241" spans="1:1" ht="46.5" customHeight="1" x14ac:dyDescent="0.25">
      <c r="A14241" s="1"/>
    </row>
    <row r="14242" spans="1:1" ht="46.5" customHeight="1" x14ac:dyDescent="0.25">
      <c r="A14242" s="1"/>
    </row>
    <row r="14243" spans="1:1" ht="46.5" customHeight="1" x14ac:dyDescent="0.25">
      <c r="A14243" s="1"/>
    </row>
    <row r="14244" spans="1:1" ht="46.5" customHeight="1" x14ac:dyDescent="0.25">
      <c r="A14244" s="1"/>
    </row>
    <row r="14245" spans="1:1" ht="46.5" customHeight="1" x14ac:dyDescent="0.25">
      <c r="A14245" s="1"/>
    </row>
    <row r="14246" spans="1:1" ht="46.5" customHeight="1" x14ac:dyDescent="0.25">
      <c r="A14246" s="1"/>
    </row>
    <row r="14247" spans="1:1" ht="46.5" customHeight="1" x14ac:dyDescent="0.25">
      <c r="A14247" s="1"/>
    </row>
    <row r="14248" spans="1:1" ht="46.5" customHeight="1" x14ac:dyDescent="0.25">
      <c r="A14248" s="1"/>
    </row>
    <row r="14249" spans="1:1" ht="46.5" customHeight="1" x14ac:dyDescent="0.25">
      <c r="A14249" s="1"/>
    </row>
    <row r="14250" spans="1:1" ht="46.5" customHeight="1" x14ac:dyDescent="0.25">
      <c r="A14250" s="1"/>
    </row>
    <row r="14251" spans="1:1" ht="46.5" customHeight="1" x14ac:dyDescent="0.25">
      <c r="A14251" s="1"/>
    </row>
    <row r="14252" spans="1:1" ht="46.5" customHeight="1" x14ac:dyDescent="0.25">
      <c r="A14252" s="1"/>
    </row>
    <row r="14253" spans="1:1" ht="46.5" customHeight="1" x14ac:dyDescent="0.25">
      <c r="A14253" s="1"/>
    </row>
    <row r="14254" spans="1:1" ht="46.5" customHeight="1" x14ac:dyDescent="0.25">
      <c r="A14254" s="1"/>
    </row>
    <row r="14255" spans="1:1" ht="46.5" customHeight="1" x14ac:dyDescent="0.25">
      <c r="A14255" s="1"/>
    </row>
    <row r="14256" spans="1:1" ht="46.5" customHeight="1" x14ac:dyDescent="0.25">
      <c r="A14256" s="1"/>
    </row>
    <row r="14257" spans="1:1" ht="46.5" customHeight="1" x14ac:dyDescent="0.25">
      <c r="A14257" s="1"/>
    </row>
    <row r="14258" spans="1:1" ht="46.5" customHeight="1" x14ac:dyDescent="0.25">
      <c r="A14258" s="1"/>
    </row>
    <row r="14259" spans="1:1" ht="46.5" customHeight="1" x14ac:dyDescent="0.25">
      <c r="A14259" s="1"/>
    </row>
    <row r="14260" spans="1:1" ht="46.5" customHeight="1" x14ac:dyDescent="0.25">
      <c r="A14260" s="1"/>
    </row>
    <row r="14261" spans="1:1" ht="46.5" customHeight="1" x14ac:dyDescent="0.25">
      <c r="A14261" s="1"/>
    </row>
    <row r="14262" spans="1:1" ht="46.5" customHeight="1" x14ac:dyDescent="0.25">
      <c r="A14262" s="1"/>
    </row>
    <row r="14263" spans="1:1" ht="46.5" customHeight="1" x14ac:dyDescent="0.25">
      <c r="A14263" s="1"/>
    </row>
    <row r="14264" spans="1:1" ht="46.5" customHeight="1" x14ac:dyDescent="0.25">
      <c r="A14264" s="1"/>
    </row>
    <row r="14265" spans="1:1" ht="46.5" customHeight="1" x14ac:dyDescent="0.25">
      <c r="A14265" s="1"/>
    </row>
    <row r="14266" spans="1:1" ht="46.5" customHeight="1" x14ac:dyDescent="0.25">
      <c r="A14266" s="1"/>
    </row>
    <row r="14267" spans="1:1" ht="46.5" customHeight="1" x14ac:dyDescent="0.25">
      <c r="A14267" s="1"/>
    </row>
    <row r="14268" spans="1:1" ht="46.5" customHeight="1" x14ac:dyDescent="0.25">
      <c r="A14268" s="1"/>
    </row>
    <row r="14269" spans="1:1" ht="46.5" customHeight="1" x14ac:dyDescent="0.25">
      <c r="A14269" s="1"/>
    </row>
    <row r="14270" spans="1:1" ht="46.5" customHeight="1" x14ac:dyDescent="0.25">
      <c r="A14270" s="1"/>
    </row>
    <row r="14271" spans="1:1" ht="46.5" customHeight="1" x14ac:dyDescent="0.25">
      <c r="A14271" s="1"/>
    </row>
    <row r="14272" spans="1:1" ht="46.5" customHeight="1" x14ac:dyDescent="0.25">
      <c r="A14272" s="1"/>
    </row>
    <row r="14273" spans="1:1" ht="46.5" customHeight="1" x14ac:dyDescent="0.25">
      <c r="A14273" s="1"/>
    </row>
    <row r="14274" spans="1:1" ht="46.5" customHeight="1" x14ac:dyDescent="0.25">
      <c r="A14274" s="1"/>
    </row>
    <row r="14275" spans="1:1" ht="46.5" customHeight="1" x14ac:dyDescent="0.25">
      <c r="A14275" s="1"/>
    </row>
    <row r="14276" spans="1:1" ht="46.5" customHeight="1" x14ac:dyDescent="0.25">
      <c r="A14276" s="1"/>
    </row>
    <row r="14277" spans="1:1" ht="46.5" customHeight="1" x14ac:dyDescent="0.25">
      <c r="A14277" s="1"/>
    </row>
    <row r="14278" spans="1:1" ht="46.5" customHeight="1" x14ac:dyDescent="0.25">
      <c r="A14278" s="1"/>
    </row>
    <row r="14279" spans="1:1" ht="46.5" customHeight="1" x14ac:dyDescent="0.25">
      <c r="A14279" s="1"/>
    </row>
    <row r="14280" spans="1:1" ht="46.5" customHeight="1" x14ac:dyDescent="0.25">
      <c r="A14280" s="1"/>
    </row>
    <row r="14281" spans="1:1" ht="46.5" customHeight="1" x14ac:dyDescent="0.25">
      <c r="A14281" s="1"/>
    </row>
    <row r="14282" spans="1:1" ht="46.5" customHeight="1" x14ac:dyDescent="0.25">
      <c r="A14282" s="1"/>
    </row>
    <row r="14283" spans="1:1" ht="46.5" customHeight="1" x14ac:dyDescent="0.25">
      <c r="A14283" s="1"/>
    </row>
    <row r="14284" spans="1:1" ht="46.5" customHeight="1" x14ac:dyDescent="0.25">
      <c r="A14284" s="1"/>
    </row>
    <row r="14285" spans="1:1" ht="46.5" customHeight="1" x14ac:dyDescent="0.25">
      <c r="A14285" s="1"/>
    </row>
    <row r="14286" spans="1:1" ht="46.5" customHeight="1" x14ac:dyDescent="0.25">
      <c r="A14286" s="1"/>
    </row>
    <row r="14287" spans="1:1" ht="46.5" customHeight="1" x14ac:dyDescent="0.25">
      <c r="A14287" s="1"/>
    </row>
    <row r="14288" spans="1:1" ht="46.5" customHeight="1" x14ac:dyDescent="0.25">
      <c r="A14288" s="1"/>
    </row>
    <row r="14289" spans="1:1" ht="46.5" customHeight="1" x14ac:dyDescent="0.25">
      <c r="A14289" s="1"/>
    </row>
    <row r="14290" spans="1:1" ht="46.5" customHeight="1" x14ac:dyDescent="0.25">
      <c r="A14290" s="1"/>
    </row>
    <row r="14291" spans="1:1" ht="46.5" customHeight="1" x14ac:dyDescent="0.25">
      <c r="A14291" s="1"/>
    </row>
    <row r="14292" spans="1:1" ht="46.5" customHeight="1" x14ac:dyDescent="0.25">
      <c r="A14292" s="1"/>
    </row>
    <row r="14293" spans="1:1" ht="46.5" customHeight="1" x14ac:dyDescent="0.25">
      <c r="A14293" s="1"/>
    </row>
    <row r="14294" spans="1:1" ht="46.5" customHeight="1" x14ac:dyDescent="0.25">
      <c r="A14294" s="1"/>
    </row>
    <row r="14295" spans="1:1" ht="46.5" customHeight="1" x14ac:dyDescent="0.25">
      <c r="A14295" s="1"/>
    </row>
    <row r="14296" spans="1:1" ht="46.5" customHeight="1" x14ac:dyDescent="0.25">
      <c r="A14296" s="1"/>
    </row>
    <row r="14297" spans="1:1" ht="46.5" customHeight="1" x14ac:dyDescent="0.25">
      <c r="A14297" s="1"/>
    </row>
    <row r="14298" spans="1:1" ht="46.5" customHeight="1" x14ac:dyDescent="0.25">
      <c r="A14298" s="1"/>
    </row>
    <row r="14299" spans="1:1" ht="46.5" customHeight="1" x14ac:dyDescent="0.25">
      <c r="A14299" s="1"/>
    </row>
    <row r="14300" spans="1:1" ht="46.5" customHeight="1" x14ac:dyDescent="0.25">
      <c r="A14300" s="1"/>
    </row>
    <row r="14301" spans="1:1" ht="46.5" customHeight="1" x14ac:dyDescent="0.25">
      <c r="A14301" s="1"/>
    </row>
    <row r="14302" spans="1:1" ht="46.5" customHeight="1" x14ac:dyDescent="0.25">
      <c r="A14302" s="1"/>
    </row>
    <row r="14303" spans="1:1" ht="46.5" customHeight="1" x14ac:dyDescent="0.25">
      <c r="A14303" s="1"/>
    </row>
    <row r="14304" spans="1:1" ht="46.5" customHeight="1" x14ac:dyDescent="0.25">
      <c r="A14304" s="1"/>
    </row>
    <row r="14305" spans="1:1" ht="46.5" customHeight="1" x14ac:dyDescent="0.25">
      <c r="A14305" s="1"/>
    </row>
    <row r="14306" spans="1:1" ht="46.5" customHeight="1" x14ac:dyDescent="0.25">
      <c r="A14306" s="1"/>
    </row>
    <row r="14307" spans="1:1" ht="46.5" customHeight="1" x14ac:dyDescent="0.25">
      <c r="A14307" s="1"/>
    </row>
    <row r="14308" spans="1:1" ht="46.5" customHeight="1" x14ac:dyDescent="0.25">
      <c r="A14308" s="1"/>
    </row>
    <row r="14309" spans="1:1" ht="46.5" customHeight="1" x14ac:dyDescent="0.25">
      <c r="A14309" s="1"/>
    </row>
    <row r="14310" spans="1:1" ht="46.5" customHeight="1" x14ac:dyDescent="0.25">
      <c r="A14310" s="1"/>
    </row>
    <row r="14311" spans="1:1" ht="46.5" customHeight="1" x14ac:dyDescent="0.25">
      <c r="A14311" s="1"/>
    </row>
    <row r="14312" spans="1:1" ht="46.5" customHeight="1" x14ac:dyDescent="0.25">
      <c r="A14312" s="1"/>
    </row>
    <row r="14313" spans="1:1" ht="46.5" customHeight="1" x14ac:dyDescent="0.25">
      <c r="A14313" s="1"/>
    </row>
    <row r="14314" spans="1:1" ht="46.5" customHeight="1" x14ac:dyDescent="0.25">
      <c r="A14314" s="1"/>
    </row>
    <row r="14315" spans="1:1" ht="46.5" customHeight="1" x14ac:dyDescent="0.25">
      <c r="A14315" s="1"/>
    </row>
    <row r="14316" spans="1:1" ht="46.5" customHeight="1" x14ac:dyDescent="0.25">
      <c r="A14316" s="1"/>
    </row>
    <row r="14317" spans="1:1" ht="46.5" customHeight="1" x14ac:dyDescent="0.25">
      <c r="A14317" s="1"/>
    </row>
    <row r="14318" spans="1:1" ht="46.5" customHeight="1" x14ac:dyDescent="0.25">
      <c r="A14318" s="1"/>
    </row>
    <row r="14319" spans="1:1" ht="46.5" customHeight="1" x14ac:dyDescent="0.25">
      <c r="A14319" s="1"/>
    </row>
    <row r="14320" spans="1:1" ht="46.5" customHeight="1" x14ac:dyDescent="0.25">
      <c r="A14320" s="1"/>
    </row>
    <row r="14321" spans="1:1" ht="46.5" customHeight="1" x14ac:dyDescent="0.25">
      <c r="A14321" s="1"/>
    </row>
    <row r="14322" spans="1:1" ht="46.5" customHeight="1" x14ac:dyDescent="0.25">
      <c r="A14322" s="1"/>
    </row>
    <row r="14323" spans="1:1" ht="46.5" customHeight="1" x14ac:dyDescent="0.25">
      <c r="A14323" s="1"/>
    </row>
    <row r="14324" spans="1:1" ht="46.5" customHeight="1" x14ac:dyDescent="0.25">
      <c r="A14324" s="1"/>
    </row>
    <row r="14325" spans="1:1" ht="46.5" customHeight="1" x14ac:dyDescent="0.25">
      <c r="A14325" s="1"/>
    </row>
    <row r="14326" spans="1:1" ht="46.5" customHeight="1" x14ac:dyDescent="0.25">
      <c r="A14326" s="1"/>
    </row>
    <row r="14327" spans="1:1" ht="46.5" customHeight="1" x14ac:dyDescent="0.25">
      <c r="A14327" s="1"/>
    </row>
    <row r="14328" spans="1:1" ht="46.5" customHeight="1" x14ac:dyDescent="0.25">
      <c r="A14328" s="1"/>
    </row>
    <row r="14329" spans="1:1" ht="46.5" customHeight="1" x14ac:dyDescent="0.25">
      <c r="A14329" s="1"/>
    </row>
    <row r="14330" spans="1:1" ht="46.5" customHeight="1" x14ac:dyDescent="0.25">
      <c r="A14330" s="1"/>
    </row>
    <row r="14331" spans="1:1" ht="46.5" customHeight="1" x14ac:dyDescent="0.25">
      <c r="A14331" s="1"/>
    </row>
    <row r="14332" spans="1:1" ht="46.5" customHeight="1" x14ac:dyDescent="0.25">
      <c r="A14332" s="1"/>
    </row>
    <row r="14333" spans="1:1" ht="46.5" customHeight="1" x14ac:dyDescent="0.25">
      <c r="A14333" s="1"/>
    </row>
    <row r="14334" spans="1:1" ht="46.5" customHeight="1" x14ac:dyDescent="0.25">
      <c r="A14334" s="1"/>
    </row>
    <row r="14335" spans="1:1" ht="46.5" customHeight="1" x14ac:dyDescent="0.25">
      <c r="A14335" s="1"/>
    </row>
    <row r="14336" spans="1:1" ht="46.5" customHeight="1" x14ac:dyDescent="0.25">
      <c r="A14336" s="1"/>
    </row>
    <row r="14337" spans="1:1" ht="46.5" customHeight="1" x14ac:dyDescent="0.25">
      <c r="A14337" s="1"/>
    </row>
    <row r="14338" spans="1:1" ht="46.5" customHeight="1" x14ac:dyDescent="0.25">
      <c r="A14338" s="1"/>
    </row>
    <row r="14339" spans="1:1" ht="46.5" customHeight="1" x14ac:dyDescent="0.25">
      <c r="A14339" s="1"/>
    </row>
    <row r="14340" spans="1:1" ht="46.5" customHeight="1" x14ac:dyDescent="0.25">
      <c r="A14340" s="1"/>
    </row>
    <row r="14341" spans="1:1" ht="46.5" customHeight="1" x14ac:dyDescent="0.25">
      <c r="A14341" s="1"/>
    </row>
    <row r="14342" spans="1:1" ht="46.5" customHeight="1" x14ac:dyDescent="0.25">
      <c r="A14342" s="1"/>
    </row>
    <row r="14343" spans="1:1" ht="46.5" customHeight="1" x14ac:dyDescent="0.25">
      <c r="A14343" s="1"/>
    </row>
    <row r="14344" spans="1:1" ht="46.5" customHeight="1" x14ac:dyDescent="0.25">
      <c r="A14344" s="1"/>
    </row>
    <row r="14345" spans="1:1" ht="46.5" customHeight="1" x14ac:dyDescent="0.25">
      <c r="A14345" s="1"/>
    </row>
    <row r="14346" spans="1:1" ht="46.5" customHeight="1" x14ac:dyDescent="0.25">
      <c r="A14346" s="1"/>
    </row>
    <row r="14347" spans="1:1" ht="46.5" customHeight="1" x14ac:dyDescent="0.25">
      <c r="A14347" s="1"/>
    </row>
    <row r="14348" spans="1:1" ht="46.5" customHeight="1" x14ac:dyDescent="0.25">
      <c r="A14348" s="1"/>
    </row>
    <row r="14349" spans="1:1" ht="46.5" customHeight="1" x14ac:dyDescent="0.25">
      <c r="A14349" s="1"/>
    </row>
    <row r="14350" spans="1:1" ht="46.5" customHeight="1" x14ac:dyDescent="0.25">
      <c r="A14350" s="1"/>
    </row>
    <row r="14351" spans="1:1" ht="46.5" customHeight="1" x14ac:dyDescent="0.25">
      <c r="A14351" s="1"/>
    </row>
    <row r="14352" spans="1:1" ht="46.5" customHeight="1" x14ac:dyDescent="0.25">
      <c r="A14352" s="1"/>
    </row>
    <row r="14353" spans="1:1" ht="46.5" customHeight="1" x14ac:dyDescent="0.25">
      <c r="A14353" s="1"/>
    </row>
    <row r="14354" spans="1:1" ht="46.5" customHeight="1" x14ac:dyDescent="0.25">
      <c r="A14354" s="1"/>
    </row>
    <row r="14355" spans="1:1" ht="46.5" customHeight="1" x14ac:dyDescent="0.25">
      <c r="A14355" s="1"/>
    </row>
    <row r="14356" spans="1:1" ht="46.5" customHeight="1" x14ac:dyDescent="0.25">
      <c r="A14356" s="1"/>
    </row>
    <row r="14357" spans="1:1" ht="46.5" customHeight="1" x14ac:dyDescent="0.25">
      <c r="A14357" s="1"/>
    </row>
    <row r="14358" spans="1:1" ht="46.5" customHeight="1" x14ac:dyDescent="0.25">
      <c r="A14358" s="1"/>
    </row>
    <row r="14359" spans="1:1" ht="46.5" customHeight="1" x14ac:dyDescent="0.25">
      <c r="A14359" s="1"/>
    </row>
    <row r="14360" spans="1:1" ht="46.5" customHeight="1" x14ac:dyDescent="0.25">
      <c r="A14360" s="1"/>
    </row>
    <row r="14361" spans="1:1" ht="46.5" customHeight="1" x14ac:dyDescent="0.25">
      <c r="A14361" s="1"/>
    </row>
    <row r="14362" spans="1:1" ht="46.5" customHeight="1" x14ac:dyDescent="0.25">
      <c r="A14362" s="1"/>
    </row>
    <row r="14363" spans="1:1" ht="46.5" customHeight="1" x14ac:dyDescent="0.25">
      <c r="A14363" s="1"/>
    </row>
    <row r="14364" spans="1:1" ht="46.5" customHeight="1" x14ac:dyDescent="0.25">
      <c r="A14364" s="1"/>
    </row>
    <row r="14365" spans="1:1" ht="46.5" customHeight="1" x14ac:dyDescent="0.25">
      <c r="A14365" s="1"/>
    </row>
    <row r="14366" spans="1:1" ht="46.5" customHeight="1" x14ac:dyDescent="0.25">
      <c r="A14366" s="1"/>
    </row>
    <row r="14367" spans="1:1" ht="46.5" customHeight="1" x14ac:dyDescent="0.25">
      <c r="A14367" s="1"/>
    </row>
    <row r="14368" spans="1:1" ht="46.5" customHeight="1" x14ac:dyDescent="0.25">
      <c r="A14368" s="1"/>
    </row>
    <row r="14369" spans="1:1" ht="46.5" customHeight="1" x14ac:dyDescent="0.25">
      <c r="A14369" s="1"/>
    </row>
    <row r="14370" spans="1:1" ht="46.5" customHeight="1" x14ac:dyDescent="0.25">
      <c r="A14370" s="1"/>
    </row>
    <row r="14371" spans="1:1" ht="46.5" customHeight="1" x14ac:dyDescent="0.25">
      <c r="A14371" s="1"/>
    </row>
    <row r="14372" spans="1:1" ht="46.5" customHeight="1" x14ac:dyDescent="0.25">
      <c r="A14372" s="1"/>
    </row>
    <row r="14373" spans="1:1" ht="46.5" customHeight="1" x14ac:dyDescent="0.25">
      <c r="A14373" s="1"/>
    </row>
    <row r="14374" spans="1:1" ht="46.5" customHeight="1" x14ac:dyDescent="0.25">
      <c r="A14374" s="1"/>
    </row>
    <row r="14375" spans="1:1" ht="46.5" customHeight="1" x14ac:dyDescent="0.25">
      <c r="A14375" s="1"/>
    </row>
    <row r="14376" spans="1:1" ht="46.5" customHeight="1" x14ac:dyDescent="0.25">
      <c r="A14376" s="1"/>
    </row>
    <row r="14377" spans="1:1" ht="46.5" customHeight="1" x14ac:dyDescent="0.25">
      <c r="A14377" s="1"/>
    </row>
    <row r="14378" spans="1:1" ht="46.5" customHeight="1" x14ac:dyDescent="0.25">
      <c r="A14378" s="1"/>
    </row>
    <row r="14379" spans="1:1" ht="46.5" customHeight="1" x14ac:dyDescent="0.25">
      <c r="A14379" s="1"/>
    </row>
    <row r="14380" spans="1:1" ht="46.5" customHeight="1" x14ac:dyDescent="0.25">
      <c r="A14380" s="1"/>
    </row>
    <row r="14381" spans="1:1" ht="46.5" customHeight="1" x14ac:dyDescent="0.25">
      <c r="A14381" s="1"/>
    </row>
    <row r="14382" spans="1:1" ht="46.5" customHeight="1" x14ac:dyDescent="0.25">
      <c r="A14382" s="1"/>
    </row>
    <row r="14383" spans="1:1" ht="46.5" customHeight="1" x14ac:dyDescent="0.25">
      <c r="A14383" s="1"/>
    </row>
    <row r="14384" spans="1:1" ht="46.5" customHeight="1" x14ac:dyDescent="0.25">
      <c r="A14384" s="1"/>
    </row>
    <row r="14385" spans="1:1" ht="46.5" customHeight="1" x14ac:dyDescent="0.25">
      <c r="A14385" s="1"/>
    </row>
    <row r="14386" spans="1:1" ht="46.5" customHeight="1" x14ac:dyDescent="0.25">
      <c r="A14386" s="1"/>
    </row>
    <row r="14387" spans="1:1" ht="46.5" customHeight="1" x14ac:dyDescent="0.25">
      <c r="A14387" s="1"/>
    </row>
    <row r="14388" spans="1:1" ht="46.5" customHeight="1" x14ac:dyDescent="0.25">
      <c r="A14388" s="1"/>
    </row>
    <row r="14389" spans="1:1" ht="46.5" customHeight="1" x14ac:dyDescent="0.25">
      <c r="A14389" s="1"/>
    </row>
    <row r="14390" spans="1:1" ht="46.5" customHeight="1" x14ac:dyDescent="0.25">
      <c r="A14390" s="1"/>
    </row>
    <row r="14391" spans="1:1" ht="46.5" customHeight="1" x14ac:dyDescent="0.25">
      <c r="A14391" s="1"/>
    </row>
    <row r="14392" spans="1:1" ht="46.5" customHeight="1" x14ac:dyDescent="0.25">
      <c r="A14392" s="1"/>
    </row>
    <row r="14393" spans="1:1" ht="46.5" customHeight="1" x14ac:dyDescent="0.25">
      <c r="A14393" s="1"/>
    </row>
    <row r="14394" spans="1:1" ht="46.5" customHeight="1" x14ac:dyDescent="0.25">
      <c r="A14394" s="1"/>
    </row>
    <row r="14395" spans="1:1" ht="46.5" customHeight="1" x14ac:dyDescent="0.25">
      <c r="A14395" s="1"/>
    </row>
    <row r="14396" spans="1:1" ht="46.5" customHeight="1" x14ac:dyDescent="0.25">
      <c r="A14396" s="1"/>
    </row>
    <row r="14397" spans="1:1" ht="46.5" customHeight="1" x14ac:dyDescent="0.25">
      <c r="A14397" s="1"/>
    </row>
    <row r="14398" spans="1:1" ht="46.5" customHeight="1" x14ac:dyDescent="0.25">
      <c r="A14398" s="1"/>
    </row>
    <row r="14399" spans="1:1" ht="46.5" customHeight="1" x14ac:dyDescent="0.25">
      <c r="A14399" s="1"/>
    </row>
    <row r="14400" spans="1:1" ht="46.5" customHeight="1" x14ac:dyDescent="0.25">
      <c r="A14400" s="1"/>
    </row>
    <row r="14401" spans="1:1" ht="46.5" customHeight="1" x14ac:dyDescent="0.25">
      <c r="A14401" s="1"/>
    </row>
    <row r="14402" spans="1:1" ht="46.5" customHeight="1" x14ac:dyDescent="0.25">
      <c r="A14402" s="1"/>
    </row>
    <row r="14403" spans="1:1" ht="46.5" customHeight="1" x14ac:dyDescent="0.25">
      <c r="A14403" s="1"/>
    </row>
    <row r="14404" spans="1:1" ht="46.5" customHeight="1" x14ac:dyDescent="0.25">
      <c r="A14404" s="1"/>
    </row>
    <row r="14405" spans="1:1" ht="46.5" customHeight="1" x14ac:dyDescent="0.25">
      <c r="A14405" s="1"/>
    </row>
    <row r="14406" spans="1:1" ht="46.5" customHeight="1" x14ac:dyDescent="0.25">
      <c r="A14406" s="1"/>
    </row>
    <row r="14407" spans="1:1" ht="46.5" customHeight="1" x14ac:dyDescent="0.25">
      <c r="A14407" s="1"/>
    </row>
    <row r="14408" spans="1:1" ht="46.5" customHeight="1" x14ac:dyDescent="0.25">
      <c r="A14408" s="1"/>
    </row>
    <row r="14409" spans="1:1" ht="46.5" customHeight="1" x14ac:dyDescent="0.25">
      <c r="A14409" s="1"/>
    </row>
    <row r="14410" spans="1:1" ht="46.5" customHeight="1" x14ac:dyDescent="0.25">
      <c r="A14410" s="1"/>
    </row>
    <row r="14411" spans="1:1" ht="46.5" customHeight="1" x14ac:dyDescent="0.25">
      <c r="A14411" s="1"/>
    </row>
    <row r="14412" spans="1:1" ht="46.5" customHeight="1" x14ac:dyDescent="0.25">
      <c r="A14412" s="1"/>
    </row>
    <row r="14413" spans="1:1" ht="46.5" customHeight="1" x14ac:dyDescent="0.25">
      <c r="A14413" s="1"/>
    </row>
    <row r="14414" spans="1:1" ht="46.5" customHeight="1" x14ac:dyDescent="0.25">
      <c r="A14414" s="1"/>
    </row>
    <row r="14415" spans="1:1" ht="46.5" customHeight="1" x14ac:dyDescent="0.25">
      <c r="A14415" s="1"/>
    </row>
    <row r="14416" spans="1:1" ht="46.5" customHeight="1" x14ac:dyDescent="0.25">
      <c r="A14416" s="1"/>
    </row>
    <row r="14417" spans="1:1" ht="46.5" customHeight="1" x14ac:dyDescent="0.25">
      <c r="A14417" s="1"/>
    </row>
    <row r="14418" spans="1:1" ht="46.5" customHeight="1" x14ac:dyDescent="0.25">
      <c r="A14418" s="1"/>
    </row>
    <row r="14419" spans="1:1" ht="46.5" customHeight="1" x14ac:dyDescent="0.25">
      <c r="A14419" s="1"/>
    </row>
    <row r="14420" spans="1:1" ht="46.5" customHeight="1" x14ac:dyDescent="0.25">
      <c r="A14420" s="1"/>
    </row>
    <row r="14421" spans="1:1" ht="46.5" customHeight="1" x14ac:dyDescent="0.25">
      <c r="A14421" s="1"/>
    </row>
    <row r="14422" spans="1:1" ht="46.5" customHeight="1" x14ac:dyDescent="0.25">
      <c r="A14422" s="1"/>
    </row>
    <row r="14423" spans="1:1" ht="46.5" customHeight="1" x14ac:dyDescent="0.25">
      <c r="A14423" s="1"/>
    </row>
    <row r="14424" spans="1:1" ht="46.5" customHeight="1" x14ac:dyDescent="0.25">
      <c r="A14424" s="1"/>
    </row>
    <row r="14425" spans="1:1" ht="46.5" customHeight="1" x14ac:dyDescent="0.25">
      <c r="A14425" s="1"/>
    </row>
    <row r="14426" spans="1:1" ht="46.5" customHeight="1" x14ac:dyDescent="0.25">
      <c r="A14426" s="1"/>
    </row>
    <row r="14427" spans="1:1" ht="46.5" customHeight="1" x14ac:dyDescent="0.25">
      <c r="A14427" s="1"/>
    </row>
    <row r="14428" spans="1:1" ht="46.5" customHeight="1" x14ac:dyDescent="0.25">
      <c r="A14428" s="1"/>
    </row>
    <row r="14429" spans="1:1" ht="46.5" customHeight="1" x14ac:dyDescent="0.25">
      <c r="A14429" s="1"/>
    </row>
    <row r="14430" spans="1:1" ht="46.5" customHeight="1" x14ac:dyDescent="0.25">
      <c r="A14430" s="1"/>
    </row>
    <row r="14431" spans="1:1" ht="46.5" customHeight="1" x14ac:dyDescent="0.25">
      <c r="A14431" s="1"/>
    </row>
    <row r="14432" spans="1:1" ht="46.5" customHeight="1" x14ac:dyDescent="0.25">
      <c r="A14432" s="1"/>
    </row>
    <row r="14433" spans="1:1" ht="46.5" customHeight="1" x14ac:dyDescent="0.25">
      <c r="A14433" s="1"/>
    </row>
    <row r="14434" spans="1:1" ht="46.5" customHeight="1" x14ac:dyDescent="0.25">
      <c r="A14434" s="1"/>
    </row>
    <row r="14435" spans="1:1" ht="46.5" customHeight="1" x14ac:dyDescent="0.25">
      <c r="A14435" s="1"/>
    </row>
    <row r="14436" spans="1:1" ht="46.5" customHeight="1" x14ac:dyDescent="0.25">
      <c r="A14436" s="1"/>
    </row>
    <row r="14437" spans="1:1" ht="46.5" customHeight="1" x14ac:dyDescent="0.25">
      <c r="A14437" s="1"/>
    </row>
    <row r="14438" spans="1:1" ht="46.5" customHeight="1" x14ac:dyDescent="0.25">
      <c r="A14438" s="1"/>
    </row>
    <row r="14439" spans="1:1" ht="46.5" customHeight="1" x14ac:dyDescent="0.25">
      <c r="A14439" s="1"/>
    </row>
    <row r="14440" spans="1:1" ht="46.5" customHeight="1" x14ac:dyDescent="0.25">
      <c r="A14440" s="1"/>
    </row>
    <row r="14441" spans="1:1" ht="46.5" customHeight="1" x14ac:dyDescent="0.25">
      <c r="A14441" s="1"/>
    </row>
    <row r="14442" spans="1:1" ht="46.5" customHeight="1" x14ac:dyDescent="0.25">
      <c r="A14442" s="1"/>
    </row>
    <row r="14443" spans="1:1" ht="46.5" customHeight="1" x14ac:dyDescent="0.25">
      <c r="A14443" s="1"/>
    </row>
    <row r="14444" spans="1:1" ht="46.5" customHeight="1" x14ac:dyDescent="0.25">
      <c r="A14444" s="1"/>
    </row>
    <row r="14445" spans="1:1" ht="46.5" customHeight="1" x14ac:dyDescent="0.25">
      <c r="A14445" s="1"/>
    </row>
    <row r="14446" spans="1:1" ht="46.5" customHeight="1" x14ac:dyDescent="0.25">
      <c r="A14446" s="1"/>
    </row>
    <row r="14447" spans="1:1" ht="46.5" customHeight="1" x14ac:dyDescent="0.25">
      <c r="A14447" s="1"/>
    </row>
    <row r="14448" spans="1:1" ht="46.5" customHeight="1" x14ac:dyDescent="0.25">
      <c r="A14448" s="1"/>
    </row>
    <row r="14449" spans="1:1" ht="46.5" customHeight="1" x14ac:dyDescent="0.25">
      <c r="A14449" s="1"/>
    </row>
    <row r="14450" spans="1:1" ht="46.5" customHeight="1" x14ac:dyDescent="0.25">
      <c r="A14450" s="1"/>
    </row>
    <row r="14451" spans="1:1" ht="46.5" customHeight="1" x14ac:dyDescent="0.25">
      <c r="A14451" s="1"/>
    </row>
    <row r="14452" spans="1:1" ht="46.5" customHeight="1" x14ac:dyDescent="0.25">
      <c r="A14452" s="1"/>
    </row>
    <row r="14453" spans="1:1" ht="46.5" customHeight="1" x14ac:dyDescent="0.25">
      <c r="A14453" s="1"/>
    </row>
    <row r="14454" spans="1:1" ht="46.5" customHeight="1" x14ac:dyDescent="0.25">
      <c r="A14454" s="1"/>
    </row>
    <row r="14455" spans="1:1" ht="46.5" customHeight="1" x14ac:dyDescent="0.25">
      <c r="A14455" s="1"/>
    </row>
    <row r="14456" spans="1:1" ht="46.5" customHeight="1" x14ac:dyDescent="0.25">
      <c r="A14456" s="1"/>
    </row>
    <row r="14457" spans="1:1" ht="46.5" customHeight="1" x14ac:dyDescent="0.25">
      <c r="A14457" s="1"/>
    </row>
    <row r="14458" spans="1:1" ht="46.5" customHeight="1" x14ac:dyDescent="0.25">
      <c r="A14458" s="1"/>
    </row>
    <row r="14459" spans="1:1" ht="46.5" customHeight="1" x14ac:dyDescent="0.25">
      <c r="A14459" s="1"/>
    </row>
    <row r="14460" spans="1:1" ht="46.5" customHeight="1" x14ac:dyDescent="0.25">
      <c r="A14460" s="1"/>
    </row>
    <row r="14461" spans="1:1" ht="46.5" customHeight="1" x14ac:dyDescent="0.25">
      <c r="A14461" s="1"/>
    </row>
    <row r="14462" spans="1:1" ht="46.5" customHeight="1" x14ac:dyDescent="0.25">
      <c r="A14462" s="1"/>
    </row>
    <row r="14463" spans="1:1" ht="46.5" customHeight="1" x14ac:dyDescent="0.25">
      <c r="A14463" s="1"/>
    </row>
    <row r="14464" spans="1:1" ht="46.5" customHeight="1" x14ac:dyDescent="0.25">
      <c r="A14464" s="1"/>
    </row>
    <row r="14465" spans="1:1" ht="46.5" customHeight="1" x14ac:dyDescent="0.25">
      <c r="A14465" s="1"/>
    </row>
    <row r="14466" spans="1:1" ht="46.5" customHeight="1" x14ac:dyDescent="0.25">
      <c r="A14466" s="1"/>
    </row>
    <row r="14467" spans="1:1" ht="46.5" customHeight="1" x14ac:dyDescent="0.25">
      <c r="A14467" s="1"/>
    </row>
    <row r="14468" spans="1:1" ht="46.5" customHeight="1" x14ac:dyDescent="0.25">
      <c r="A14468" s="1"/>
    </row>
    <row r="14469" spans="1:1" ht="46.5" customHeight="1" x14ac:dyDescent="0.25">
      <c r="A14469" s="1"/>
    </row>
    <row r="14470" spans="1:1" ht="46.5" customHeight="1" x14ac:dyDescent="0.25">
      <c r="A14470" s="1"/>
    </row>
    <row r="14471" spans="1:1" ht="46.5" customHeight="1" x14ac:dyDescent="0.25">
      <c r="A14471" s="1"/>
    </row>
    <row r="14472" spans="1:1" ht="46.5" customHeight="1" x14ac:dyDescent="0.25">
      <c r="A14472" s="1"/>
    </row>
    <row r="14473" spans="1:1" ht="46.5" customHeight="1" x14ac:dyDescent="0.25">
      <c r="A14473" s="1"/>
    </row>
    <row r="14474" spans="1:1" ht="46.5" customHeight="1" x14ac:dyDescent="0.25">
      <c r="A14474" s="1"/>
    </row>
    <row r="14475" spans="1:1" ht="46.5" customHeight="1" x14ac:dyDescent="0.25">
      <c r="A14475" s="1"/>
    </row>
    <row r="14476" spans="1:1" ht="46.5" customHeight="1" x14ac:dyDescent="0.25">
      <c r="A14476" s="1"/>
    </row>
    <row r="14477" spans="1:1" ht="46.5" customHeight="1" x14ac:dyDescent="0.25">
      <c r="A14477" s="1"/>
    </row>
    <row r="14478" spans="1:1" ht="46.5" customHeight="1" x14ac:dyDescent="0.25">
      <c r="A14478" s="1"/>
    </row>
    <row r="14479" spans="1:1" ht="46.5" customHeight="1" x14ac:dyDescent="0.25">
      <c r="A14479" s="1"/>
    </row>
    <row r="14480" spans="1:1" ht="46.5" customHeight="1" x14ac:dyDescent="0.25">
      <c r="A14480" s="1"/>
    </row>
    <row r="14481" spans="1:1" ht="46.5" customHeight="1" x14ac:dyDescent="0.25">
      <c r="A14481" s="1"/>
    </row>
    <row r="14482" spans="1:1" ht="46.5" customHeight="1" x14ac:dyDescent="0.25">
      <c r="A14482" s="1"/>
    </row>
    <row r="14483" spans="1:1" ht="46.5" customHeight="1" x14ac:dyDescent="0.25">
      <c r="A14483" s="1"/>
    </row>
    <row r="14484" spans="1:1" ht="46.5" customHeight="1" x14ac:dyDescent="0.25">
      <c r="A14484" s="1"/>
    </row>
    <row r="14485" spans="1:1" ht="46.5" customHeight="1" x14ac:dyDescent="0.25">
      <c r="A14485" s="1"/>
    </row>
    <row r="14486" spans="1:1" ht="46.5" customHeight="1" x14ac:dyDescent="0.25">
      <c r="A14486" s="1"/>
    </row>
    <row r="14487" spans="1:1" ht="46.5" customHeight="1" x14ac:dyDescent="0.25">
      <c r="A14487" s="1"/>
    </row>
    <row r="14488" spans="1:1" ht="46.5" customHeight="1" x14ac:dyDescent="0.25">
      <c r="A14488" s="1"/>
    </row>
    <row r="14489" spans="1:1" ht="46.5" customHeight="1" x14ac:dyDescent="0.25">
      <c r="A14489" s="1"/>
    </row>
    <row r="14490" spans="1:1" ht="46.5" customHeight="1" x14ac:dyDescent="0.25">
      <c r="A14490" s="1"/>
    </row>
    <row r="14491" spans="1:1" ht="46.5" customHeight="1" x14ac:dyDescent="0.25">
      <c r="A14491" s="1"/>
    </row>
    <row r="14492" spans="1:1" ht="46.5" customHeight="1" x14ac:dyDescent="0.25">
      <c r="A14492" s="1"/>
    </row>
    <row r="14493" spans="1:1" ht="46.5" customHeight="1" x14ac:dyDescent="0.25">
      <c r="A14493" s="1"/>
    </row>
    <row r="14494" spans="1:1" ht="46.5" customHeight="1" x14ac:dyDescent="0.25">
      <c r="A14494" s="1"/>
    </row>
    <row r="14495" spans="1:1" ht="46.5" customHeight="1" x14ac:dyDescent="0.25">
      <c r="A14495" s="1"/>
    </row>
    <row r="14496" spans="1:1" ht="46.5" customHeight="1" x14ac:dyDescent="0.25">
      <c r="A14496" s="1"/>
    </row>
    <row r="14497" spans="1:1" ht="46.5" customHeight="1" x14ac:dyDescent="0.25">
      <c r="A14497" s="1"/>
    </row>
    <row r="14498" spans="1:1" ht="46.5" customHeight="1" x14ac:dyDescent="0.25">
      <c r="A14498" s="1"/>
    </row>
    <row r="14499" spans="1:1" ht="46.5" customHeight="1" x14ac:dyDescent="0.25">
      <c r="A14499" s="1"/>
    </row>
    <row r="14500" spans="1:1" ht="46.5" customHeight="1" x14ac:dyDescent="0.25">
      <c r="A14500" s="1"/>
    </row>
    <row r="14501" spans="1:1" ht="46.5" customHeight="1" x14ac:dyDescent="0.25">
      <c r="A14501" s="1"/>
    </row>
    <row r="14502" spans="1:1" ht="46.5" customHeight="1" x14ac:dyDescent="0.25">
      <c r="A14502" s="1"/>
    </row>
    <row r="14503" spans="1:1" ht="46.5" customHeight="1" x14ac:dyDescent="0.25">
      <c r="A14503" s="1"/>
    </row>
    <row r="14504" spans="1:1" ht="46.5" customHeight="1" x14ac:dyDescent="0.25">
      <c r="A14504" s="1"/>
    </row>
    <row r="14505" spans="1:1" ht="46.5" customHeight="1" x14ac:dyDescent="0.25">
      <c r="A14505" s="1"/>
    </row>
    <row r="14506" spans="1:1" ht="46.5" customHeight="1" x14ac:dyDescent="0.25">
      <c r="A14506" s="1"/>
    </row>
    <row r="14507" spans="1:1" ht="46.5" customHeight="1" x14ac:dyDescent="0.25">
      <c r="A14507" s="1"/>
    </row>
    <row r="14508" spans="1:1" ht="46.5" customHeight="1" x14ac:dyDescent="0.25">
      <c r="A14508" s="1"/>
    </row>
    <row r="14509" spans="1:1" ht="46.5" customHeight="1" x14ac:dyDescent="0.25">
      <c r="A14509" s="1"/>
    </row>
    <row r="14510" spans="1:1" ht="46.5" customHeight="1" x14ac:dyDescent="0.25">
      <c r="A14510" s="1"/>
    </row>
    <row r="14511" spans="1:1" ht="46.5" customHeight="1" x14ac:dyDescent="0.25">
      <c r="A14511" s="1"/>
    </row>
    <row r="14512" spans="1:1" ht="46.5" customHeight="1" x14ac:dyDescent="0.25">
      <c r="A14512" s="1"/>
    </row>
    <row r="14513" spans="1:1" ht="46.5" customHeight="1" x14ac:dyDescent="0.25">
      <c r="A14513" s="1"/>
    </row>
    <row r="14514" spans="1:1" ht="46.5" customHeight="1" x14ac:dyDescent="0.25">
      <c r="A14514" s="1"/>
    </row>
    <row r="14515" spans="1:1" ht="46.5" customHeight="1" x14ac:dyDescent="0.25">
      <c r="A14515" s="1"/>
    </row>
    <row r="14516" spans="1:1" ht="46.5" customHeight="1" x14ac:dyDescent="0.25">
      <c r="A14516" s="1"/>
    </row>
    <row r="14517" spans="1:1" ht="46.5" customHeight="1" x14ac:dyDescent="0.25">
      <c r="A14517" s="1"/>
    </row>
    <row r="14518" spans="1:1" ht="46.5" customHeight="1" x14ac:dyDescent="0.25">
      <c r="A14518" s="1"/>
    </row>
    <row r="14519" spans="1:1" ht="46.5" customHeight="1" x14ac:dyDescent="0.25">
      <c r="A14519" s="1"/>
    </row>
    <row r="14520" spans="1:1" ht="46.5" customHeight="1" x14ac:dyDescent="0.25">
      <c r="A14520" s="1"/>
    </row>
    <row r="14521" spans="1:1" ht="46.5" customHeight="1" x14ac:dyDescent="0.25">
      <c r="A14521" s="1"/>
    </row>
    <row r="14522" spans="1:1" ht="46.5" customHeight="1" x14ac:dyDescent="0.25">
      <c r="A14522" s="1"/>
    </row>
    <row r="14523" spans="1:1" ht="46.5" customHeight="1" x14ac:dyDescent="0.25">
      <c r="A14523" s="1"/>
    </row>
    <row r="14524" spans="1:1" ht="46.5" customHeight="1" x14ac:dyDescent="0.25">
      <c r="A14524" s="1"/>
    </row>
    <row r="14525" spans="1:1" ht="46.5" customHeight="1" x14ac:dyDescent="0.25">
      <c r="A14525" s="1"/>
    </row>
    <row r="14526" spans="1:1" ht="46.5" customHeight="1" x14ac:dyDescent="0.25">
      <c r="A14526" s="1"/>
    </row>
    <row r="14527" spans="1:1" ht="46.5" customHeight="1" x14ac:dyDescent="0.25">
      <c r="A14527" s="1"/>
    </row>
    <row r="14528" spans="1:1" ht="46.5" customHeight="1" x14ac:dyDescent="0.25">
      <c r="A14528" s="1"/>
    </row>
    <row r="14529" spans="1:1" ht="46.5" customHeight="1" x14ac:dyDescent="0.25">
      <c r="A14529" s="1"/>
    </row>
    <row r="14530" spans="1:1" ht="46.5" customHeight="1" x14ac:dyDescent="0.25">
      <c r="A14530" s="1"/>
    </row>
    <row r="14531" spans="1:1" ht="46.5" customHeight="1" x14ac:dyDescent="0.25">
      <c r="A14531" s="1"/>
    </row>
    <row r="14532" spans="1:1" ht="46.5" customHeight="1" x14ac:dyDescent="0.25">
      <c r="A14532" s="1"/>
    </row>
    <row r="14533" spans="1:1" ht="46.5" customHeight="1" x14ac:dyDescent="0.25">
      <c r="A14533" s="1"/>
    </row>
    <row r="14534" spans="1:1" ht="46.5" customHeight="1" x14ac:dyDescent="0.25">
      <c r="A14534" s="1"/>
    </row>
    <row r="14535" spans="1:1" ht="46.5" customHeight="1" x14ac:dyDescent="0.25">
      <c r="A14535" s="1"/>
    </row>
    <row r="14536" spans="1:1" ht="46.5" customHeight="1" x14ac:dyDescent="0.25">
      <c r="A14536" s="1"/>
    </row>
    <row r="14537" spans="1:1" ht="46.5" customHeight="1" x14ac:dyDescent="0.25">
      <c r="A14537" s="1"/>
    </row>
    <row r="14538" spans="1:1" ht="46.5" customHeight="1" x14ac:dyDescent="0.25">
      <c r="A14538" s="1"/>
    </row>
    <row r="14539" spans="1:1" ht="46.5" customHeight="1" x14ac:dyDescent="0.25">
      <c r="A14539" s="1"/>
    </row>
    <row r="14540" spans="1:1" ht="46.5" customHeight="1" x14ac:dyDescent="0.25">
      <c r="A14540" s="1"/>
    </row>
    <row r="14541" spans="1:1" ht="46.5" customHeight="1" x14ac:dyDescent="0.25">
      <c r="A14541" s="1"/>
    </row>
    <row r="14542" spans="1:1" ht="46.5" customHeight="1" x14ac:dyDescent="0.25">
      <c r="A14542" s="1"/>
    </row>
    <row r="14543" spans="1:1" ht="46.5" customHeight="1" x14ac:dyDescent="0.25">
      <c r="A14543" s="1"/>
    </row>
    <row r="14544" spans="1:1" ht="46.5" customHeight="1" x14ac:dyDescent="0.25">
      <c r="A14544" s="1"/>
    </row>
    <row r="14545" spans="1:1" ht="46.5" customHeight="1" x14ac:dyDescent="0.25">
      <c r="A14545" s="1"/>
    </row>
    <row r="14546" spans="1:1" ht="46.5" customHeight="1" x14ac:dyDescent="0.25">
      <c r="A14546" s="1"/>
    </row>
    <row r="14547" spans="1:1" ht="46.5" customHeight="1" x14ac:dyDescent="0.25">
      <c r="A14547" s="1"/>
    </row>
    <row r="14548" spans="1:1" ht="46.5" customHeight="1" x14ac:dyDescent="0.25">
      <c r="A14548" s="1"/>
    </row>
    <row r="14549" spans="1:1" ht="46.5" customHeight="1" x14ac:dyDescent="0.25">
      <c r="A14549" s="1"/>
    </row>
    <row r="14550" spans="1:1" ht="46.5" customHeight="1" x14ac:dyDescent="0.25">
      <c r="A14550" s="1"/>
    </row>
    <row r="14551" spans="1:1" ht="46.5" customHeight="1" x14ac:dyDescent="0.25">
      <c r="A14551" s="1"/>
    </row>
    <row r="14552" spans="1:1" ht="46.5" customHeight="1" x14ac:dyDescent="0.25">
      <c r="A14552" s="1"/>
    </row>
    <row r="14553" spans="1:1" ht="46.5" customHeight="1" x14ac:dyDescent="0.25">
      <c r="A14553" s="1"/>
    </row>
    <row r="14554" spans="1:1" ht="46.5" customHeight="1" x14ac:dyDescent="0.25">
      <c r="A14554" s="1"/>
    </row>
    <row r="14555" spans="1:1" ht="46.5" customHeight="1" x14ac:dyDescent="0.25">
      <c r="A14555" s="1"/>
    </row>
    <row r="14556" spans="1:1" ht="46.5" customHeight="1" x14ac:dyDescent="0.25">
      <c r="A14556" s="1"/>
    </row>
    <row r="14557" spans="1:1" ht="46.5" customHeight="1" x14ac:dyDescent="0.25">
      <c r="A14557" s="1"/>
    </row>
    <row r="14558" spans="1:1" ht="46.5" customHeight="1" x14ac:dyDescent="0.25">
      <c r="A14558" s="1"/>
    </row>
    <row r="14559" spans="1:1" ht="46.5" customHeight="1" x14ac:dyDescent="0.25">
      <c r="A14559" s="1"/>
    </row>
    <row r="14560" spans="1:1" ht="46.5" customHeight="1" x14ac:dyDescent="0.25">
      <c r="A14560" s="1"/>
    </row>
    <row r="14561" spans="1:1" ht="46.5" customHeight="1" x14ac:dyDescent="0.25">
      <c r="A14561" s="1"/>
    </row>
    <row r="14562" spans="1:1" ht="46.5" customHeight="1" x14ac:dyDescent="0.25">
      <c r="A14562" s="1"/>
    </row>
    <row r="14563" spans="1:1" ht="46.5" customHeight="1" x14ac:dyDescent="0.25">
      <c r="A14563" s="1"/>
    </row>
    <row r="14564" spans="1:1" ht="46.5" customHeight="1" x14ac:dyDescent="0.25">
      <c r="A14564" s="1"/>
    </row>
    <row r="14565" spans="1:1" ht="46.5" customHeight="1" x14ac:dyDescent="0.25">
      <c r="A14565" s="1"/>
    </row>
    <row r="14566" spans="1:1" ht="46.5" customHeight="1" x14ac:dyDescent="0.25">
      <c r="A14566" s="1"/>
    </row>
    <row r="14567" spans="1:1" ht="46.5" customHeight="1" x14ac:dyDescent="0.25">
      <c r="A14567" s="1"/>
    </row>
    <row r="14568" spans="1:1" ht="46.5" customHeight="1" x14ac:dyDescent="0.25">
      <c r="A14568" s="1"/>
    </row>
    <row r="14569" spans="1:1" ht="46.5" customHeight="1" x14ac:dyDescent="0.25">
      <c r="A14569" s="1"/>
    </row>
    <row r="14570" spans="1:1" ht="46.5" customHeight="1" x14ac:dyDescent="0.25">
      <c r="A14570" s="1"/>
    </row>
    <row r="14571" spans="1:1" ht="46.5" customHeight="1" x14ac:dyDescent="0.25">
      <c r="A14571" s="1"/>
    </row>
    <row r="14572" spans="1:1" ht="46.5" customHeight="1" x14ac:dyDescent="0.25">
      <c r="A14572" s="1"/>
    </row>
    <row r="14573" spans="1:1" ht="46.5" customHeight="1" x14ac:dyDescent="0.25">
      <c r="A14573" s="1"/>
    </row>
    <row r="14574" spans="1:1" ht="46.5" customHeight="1" x14ac:dyDescent="0.25">
      <c r="A14574" s="1"/>
    </row>
    <row r="14575" spans="1:1" ht="46.5" customHeight="1" x14ac:dyDescent="0.25">
      <c r="A14575" s="1"/>
    </row>
    <row r="14576" spans="1:1" ht="46.5" customHeight="1" x14ac:dyDescent="0.25">
      <c r="A14576" s="1"/>
    </row>
    <row r="14577" spans="1:1" ht="46.5" customHeight="1" x14ac:dyDescent="0.25">
      <c r="A14577" s="1"/>
    </row>
    <row r="14578" spans="1:1" ht="46.5" customHeight="1" x14ac:dyDescent="0.25">
      <c r="A14578" s="1"/>
    </row>
    <row r="14579" spans="1:1" ht="46.5" customHeight="1" x14ac:dyDescent="0.25">
      <c r="A14579" s="1"/>
    </row>
    <row r="14580" spans="1:1" ht="46.5" customHeight="1" x14ac:dyDescent="0.25">
      <c r="A14580" s="1"/>
    </row>
    <row r="14581" spans="1:1" ht="46.5" customHeight="1" x14ac:dyDescent="0.25">
      <c r="A14581" s="1"/>
    </row>
    <row r="14582" spans="1:1" ht="46.5" customHeight="1" x14ac:dyDescent="0.25">
      <c r="A14582" s="1"/>
    </row>
    <row r="14583" spans="1:1" ht="46.5" customHeight="1" x14ac:dyDescent="0.25">
      <c r="A14583" s="1"/>
    </row>
    <row r="14584" spans="1:1" ht="46.5" customHeight="1" x14ac:dyDescent="0.25">
      <c r="A14584" s="1"/>
    </row>
    <row r="14585" spans="1:1" ht="46.5" customHeight="1" x14ac:dyDescent="0.25">
      <c r="A14585" s="1"/>
    </row>
    <row r="14586" spans="1:1" ht="46.5" customHeight="1" x14ac:dyDescent="0.25">
      <c r="A14586" s="1"/>
    </row>
    <row r="14587" spans="1:1" ht="46.5" customHeight="1" x14ac:dyDescent="0.25">
      <c r="A14587" s="1"/>
    </row>
    <row r="14588" spans="1:1" ht="46.5" customHeight="1" x14ac:dyDescent="0.25">
      <c r="A14588" s="1"/>
    </row>
    <row r="14589" spans="1:1" ht="46.5" customHeight="1" x14ac:dyDescent="0.25">
      <c r="A14589" s="1"/>
    </row>
    <row r="14590" spans="1:1" ht="46.5" customHeight="1" x14ac:dyDescent="0.25">
      <c r="A14590" s="1"/>
    </row>
    <row r="14591" spans="1:1" ht="46.5" customHeight="1" x14ac:dyDescent="0.25">
      <c r="A14591" s="1"/>
    </row>
    <row r="14592" spans="1:1" ht="46.5" customHeight="1" x14ac:dyDescent="0.25">
      <c r="A14592" s="1"/>
    </row>
    <row r="14593" spans="1:1" ht="46.5" customHeight="1" x14ac:dyDescent="0.25">
      <c r="A14593" s="1"/>
    </row>
    <row r="14594" spans="1:1" ht="46.5" customHeight="1" x14ac:dyDescent="0.25">
      <c r="A14594" s="1"/>
    </row>
    <row r="14595" spans="1:1" ht="46.5" customHeight="1" x14ac:dyDescent="0.25">
      <c r="A14595" s="1"/>
    </row>
    <row r="14596" spans="1:1" ht="46.5" customHeight="1" x14ac:dyDescent="0.25">
      <c r="A14596" s="1"/>
    </row>
    <row r="14597" spans="1:1" ht="46.5" customHeight="1" x14ac:dyDescent="0.25">
      <c r="A14597" s="1"/>
    </row>
    <row r="14598" spans="1:1" ht="46.5" customHeight="1" x14ac:dyDescent="0.25">
      <c r="A14598" s="1"/>
    </row>
    <row r="14599" spans="1:1" ht="46.5" customHeight="1" x14ac:dyDescent="0.25">
      <c r="A14599" s="1"/>
    </row>
    <row r="14600" spans="1:1" ht="46.5" customHeight="1" x14ac:dyDescent="0.25">
      <c r="A14600" s="1"/>
    </row>
    <row r="14601" spans="1:1" ht="46.5" customHeight="1" x14ac:dyDescent="0.25">
      <c r="A14601" s="1"/>
    </row>
    <row r="14602" spans="1:1" ht="46.5" customHeight="1" x14ac:dyDescent="0.25">
      <c r="A14602" s="1"/>
    </row>
    <row r="14603" spans="1:1" ht="46.5" customHeight="1" x14ac:dyDescent="0.25">
      <c r="A14603" s="1"/>
    </row>
    <row r="14604" spans="1:1" ht="46.5" customHeight="1" x14ac:dyDescent="0.25">
      <c r="A14604" s="1"/>
    </row>
    <row r="14605" spans="1:1" ht="46.5" customHeight="1" x14ac:dyDescent="0.25">
      <c r="A14605" s="1"/>
    </row>
    <row r="14606" spans="1:1" ht="46.5" customHeight="1" x14ac:dyDescent="0.25">
      <c r="A14606" s="1"/>
    </row>
    <row r="14607" spans="1:1" ht="46.5" customHeight="1" x14ac:dyDescent="0.25">
      <c r="A14607" s="1"/>
    </row>
    <row r="14608" spans="1:1" ht="46.5" customHeight="1" x14ac:dyDescent="0.25">
      <c r="A14608" s="1"/>
    </row>
    <row r="14609" spans="1:1" ht="46.5" customHeight="1" x14ac:dyDescent="0.25">
      <c r="A14609" s="1"/>
    </row>
    <row r="14610" spans="1:1" ht="46.5" customHeight="1" x14ac:dyDescent="0.25">
      <c r="A14610" s="1"/>
    </row>
    <row r="14611" spans="1:1" ht="46.5" customHeight="1" x14ac:dyDescent="0.25">
      <c r="A14611" s="1"/>
    </row>
    <row r="14612" spans="1:1" ht="46.5" customHeight="1" x14ac:dyDescent="0.25">
      <c r="A14612" s="1"/>
    </row>
    <row r="14613" spans="1:1" ht="46.5" customHeight="1" x14ac:dyDescent="0.25">
      <c r="A14613" s="1"/>
    </row>
    <row r="14614" spans="1:1" ht="46.5" customHeight="1" x14ac:dyDescent="0.25">
      <c r="A14614" s="1"/>
    </row>
    <row r="14615" spans="1:1" ht="46.5" customHeight="1" x14ac:dyDescent="0.25">
      <c r="A14615" s="1"/>
    </row>
    <row r="14616" spans="1:1" ht="46.5" customHeight="1" x14ac:dyDescent="0.25">
      <c r="A14616" s="1"/>
    </row>
    <row r="14617" spans="1:1" ht="46.5" customHeight="1" x14ac:dyDescent="0.25">
      <c r="A14617" s="1"/>
    </row>
    <row r="14618" spans="1:1" ht="46.5" customHeight="1" x14ac:dyDescent="0.25">
      <c r="A14618" s="1"/>
    </row>
    <row r="14619" spans="1:1" ht="46.5" customHeight="1" x14ac:dyDescent="0.25">
      <c r="A14619" s="1"/>
    </row>
    <row r="14620" spans="1:1" ht="46.5" customHeight="1" x14ac:dyDescent="0.25">
      <c r="A14620" s="1"/>
    </row>
    <row r="14621" spans="1:1" ht="46.5" customHeight="1" x14ac:dyDescent="0.25">
      <c r="A14621" s="1"/>
    </row>
    <row r="14622" spans="1:1" ht="46.5" customHeight="1" x14ac:dyDescent="0.25">
      <c r="A14622" s="1"/>
    </row>
    <row r="14623" spans="1:1" ht="46.5" customHeight="1" x14ac:dyDescent="0.25">
      <c r="A14623" s="1"/>
    </row>
    <row r="14624" spans="1:1" ht="46.5" customHeight="1" x14ac:dyDescent="0.25">
      <c r="A14624" s="1"/>
    </row>
    <row r="14625" spans="1:1" ht="46.5" customHeight="1" x14ac:dyDescent="0.25">
      <c r="A14625" s="1"/>
    </row>
    <row r="14626" spans="1:1" ht="46.5" customHeight="1" x14ac:dyDescent="0.25">
      <c r="A14626" s="1"/>
    </row>
    <row r="14627" spans="1:1" ht="46.5" customHeight="1" x14ac:dyDescent="0.25">
      <c r="A14627" s="1"/>
    </row>
    <row r="14628" spans="1:1" ht="46.5" customHeight="1" x14ac:dyDescent="0.25">
      <c r="A14628" s="1"/>
    </row>
    <row r="14629" spans="1:1" ht="46.5" customHeight="1" x14ac:dyDescent="0.25">
      <c r="A14629" s="1"/>
    </row>
    <row r="14630" spans="1:1" ht="46.5" customHeight="1" x14ac:dyDescent="0.25">
      <c r="A14630" s="1"/>
    </row>
    <row r="14631" spans="1:1" ht="46.5" customHeight="1" x14ac:dyDescent="0.25">
      <c r="A14631" s="1"/>
    </row>
    <row r="14632" spans="1:1" ht="46.5" customHeight="1" x14ac:dyDescent="0.25">
      <c r="A14632" s="1"/>
    </row>
    <row r="14633" spans="1:1" ht="46.5" customHeight="1" x14ac:dyDescent="0.25">
      <c r="A14633" s="1"/>
    </row>
    <row r="14634" spans="1:1" ht="46.5" customHeight="1" x14ac:dyDescent="0.25">
      <c r="A14634" s="1"/>
    </row>
    <row r="14635" spans="1:1" ht="46.5" customHeight="1" x14ac:dyDescent="0.25">
      <c r="A14635" s="1"/>
    </row>
    <row r="14636" spans="1:1" ht="46.5" customHeight="1" x14ac:dyDescent="0.25">
      <c r="A14636" s="1"/>
    </row>
    <row r="14637" spans="1:1" ht="46.5" customHeight="1" x14ac:dyDescent="0.25">
      <c r="A14637" s="1"/>
    </row>
    <row r="14638" spans="1:1" ht="46.5" customHeight="1" x14ac:dyDescent="0.25">
      <c r="A14638" s="1"/>
    </row>
    <row r="14639" spans="1:1" ht="46.5" customHeight="1" x14ac:dyDescent="0.25">
      <c r="A14639" s="1"/>
    </row>
    <row r="14640" spans="1:1" ht="46.5" customHeight="1" x14ac:dyDescent="0.25">
      <c r="A14640" s="1"/>
    </row>
    <row r="14641" spans="1:1" ht="46.5" customHeight="1" x14ac:dyDescent="0.25">
      <c r="A14641" s="1"/>
    </row>
    <row r="14642" spans="1:1" ht="46.5" customHeight="1" x14ac:dyDescent="0.25">
      <c r="A14642" s="1"/>
    </row>
    <row r="14643" spans="1:1" ht="46.5" customHeight="1" x14ac:dyDescent="0.25">
      <c r="A14643" s="1"/>
    </row>
    <row r="14644" spans="1:1" ht="46.5" customHeight="1" x14ac:dyDescent="0.25">
      <c r="A14644" s="1"/>
    </row>
    <row r="14645" spans="1:1" ht="46.5" customHeight="1" x14ac:dyDescent="0.25">
      <c r="A14645" s="1"/>
    </row>
    <row r="14646" spans="1:1" ht="46.5" customHeight="1" x14ac:dyDescent="0.25">
      <c r="A14646" s="1"/>
    </row>
    <row r="14647" spans="1:1" ht="46.5" customHeight="1" x14ac:dyDescent="0.25">
      <c r="A14647" s="1"/>
    </row>
    <row r="14648" spans="1:1" ht="46.5" customHeight="1" x14ac:dyDescent="0.25">
      <c r="A14648" s="1"/>
    </row>
    <row r="14649" spans="1:1" ht="46.5" customHeight="1" x14ac:dyDescent="0.25">
      <c r="A14649" s="1"/>
    </row>
    <row r="14650" spans="1:1" ht="46.5" customHeight="1" x14ac:dyDescent="0.25">
      <c r="A14650" s="1"/>
    </row>
    <row r="14651" spans="1:1" ht="46.5" customHeight="1" x14ac:dyDescent="0.25">
      <c r="A14651" s="1"/>
    </row>
    <row r="14652" spans="1:1" ht="46.5" customHeight="1" x14ac:dyDescent="0.25">
      <c r="A14652" s="1"/>
    </row>
    <row r="14653" spans="1:1" ht="46.5" customHeight="1" x14ac:dyDescent="0.25">
      <c r="A14653" s="1"/>
    </row>
    <row r="14654" spans="1:1" ht="46.5" customHeight="1" x14ac:dyDescent="0.25">
      <c r="A14654" s="1"/>
    </row>
    <row r="14655" spans="1:1" ht="46.5" customHeight="1" x14ac:dyDescent="0.25">
      <c r="A14655" s="1"/>
    </row>
    <row r="14656" spans="1:1" ht="46.5" customHeight="1" x14ac:dyDescent="0.25">
      <c r="A14656" s="1"/>
    </row>
    <row r="14657" spans="1:1" ht="46.5" customHeight="1" x14ac:dyDescent="0.25">
      <c r="A14657" s="1"/>
    </row>
    <row r="14658" spans="1:1" ht="46.5" customHeight="1" x14ac:dyDescent="0.25">
      <c r="A14658" s="1"/>
    </row>
    <row r="14659" spans="1:1" ht="46.5" customHeight="1" x14ac:dyDescent="0.25">
      <c r="A14659" s="1"/>
    </row>
    <row r="14660" spans="1:1" ht="46.5" customHeight="1" x14ac:dyDescent="0.25">
      <c r="A14660" s="1"/>
    </row>
    <row r="14661" spans="1:1" ht="46.5" customHeight="1" x14ac:dyDescent="0.25">
      <c r="A14661" s="1"/>
    </row>
    <row r="14662" spans="1:1" ht="46.5" customHeight="1" x14ac:dyDescent="0.25">
      <c r="A14662" s="1"/>
    </row>
    <row r="14663" spans="1:1" ht="46.5" customHeight="1" x14ac:dyDescent="0.25">
      <c r="A14663" s="1"/>
    </row>
    <row r="14664" spans="1:1" ht="46.5" customHeight="1" x14ac:dyDescent="0.25">
      <c r="A14664" s="1"/>
    </row>
    <row r="14665" spans="1:1" ht="46.5" customHeight="1" x14ac:dyDescent="0.25">
      <c r="A14665" s="1"/>
    </row>
    <row r="14666" spans="1:1" ht="46.5" customHeight="1" x14ac:dyDescent="0.25">
      <c r="A14666" s="1"/>
    </row>
    <row r="14667" spans="1:1" ht="46.5" customHeight="1" x14ac:dyDescent="0.25">
      <c r="A14667" s="1"/>
    </row>
    <row r="14668" spans="1:1" ht="46.5" customHeight="1" x14ac:dyDescent="0.25">
      <c r="A14668" s="1"/>
    </row>
    <row r="14669" spans="1:1" ht="46.5" customHeight="1" x14ac:dyDescent="0.25">
      <c r="A14669" s="1"/>
    </row>
    <row r="14670" spans="1:1" ht="46.5" customHeight="1" x14ac:dyDescent="0.25">
      <c r="A14670" s="1"/>
    </row>
    <row r="14671" spans="1:1" ht="46.5" customHeight="1" x14ac:dyDescent="0.25">
      <c r="A14671" s="1"/>
    </row>
    <row r="14672" spans="1:1" ht="46.5" customHeight="1" x14ac:dyDescent="0.25">
      <c r="A14672" s="1"/>
    </row>
    <row r="14673" spans="1:1" ht="46.5" customHeight="1" x14ac:dyDescent="0.25">
      <c r="A14673" s="1"/>
    </row>
    <row r="14674" spans="1:1" ht="46.5" customHeight="1" x14ac:dyDescent="0.25">
      <c r="A14674" s="1"/>
    </row>
    <row r="14675" spans="1:1" ht="46.5" customHeight="1" x14ac:dyDescent="0.25">
      <c r="A14675" s="1"/>
    </row>
    <row r="14676" spans="1:1" ht="46.5" customHeight="1" x14ac:dyDescent="0.25">
      <c r="A14676" s="1"/>
    </row>
    <row r="14677" spans="1:1" ht="46.5" customHeight="1" x14ac:dyDescent="0.25">
      <c r="A14677" s="1"/>
    </row>
    <row r="14678" spans="1:1" ht="46.5" customHeight="1" x14ac:dyDescent="0.25">
      <c r="A14678" s="1"/>
    </row>
    <row r="14679" spans="1:1" ht="46.5" customHeight="1" x14ac:dyDescent="0.25">
      <c r="A14679" s="1"/>
    </row>
    <row r="14680" spans="1:1" ht="46.5" customHeight="1" x14ac:dyDescent="0.25">
      <c r="A14680" s="1"/>
    </row>
    <row r="14681" spans="1:1" ht="46.5" customHeight="1" x14ac:dyDescent="0.25">
      <c r="A14681" s="1"/>
    </row>
    <row r="14682" spans="1:1" ht="46.5" customHeight="1" x14ac:dyDescent="0.25">
      <c r="A14682" s="1"/>
    </row>
    <row r="14683" spans="1:1" ht="46.5" customHeight="1" x14ac:dyDescent="0.25">
      <c r="A14683" s="1"/>
    </row>
    <row r="14684" spans="1:1" ht="46.5" customHeight="1" x14ac:dyDescent="0.25">
      <c r="A14684" s="1"/>
    </row>
    <row r="14685" spans="1:1" ht="46.5" customHeight="1" x14ac:dyDescent="0.25">
      <c r="A14685" s="1"/>
    </row>
    <row r="14686" spans="1:1" ht="46.5" customHeight="1" x14ac:dyDescent="0.25">
      <c r="A14686" s="1"/>
    </row>
    <row r="14687" spans="1:1" ht="46.5" customHeight="1" x14ac:dyDescent="0.25">
      <c r="A14687" s="1"/>
    </row>
    <row r="14688" spans="1:1" ht="46.5" customHeight="1" x14ac:dyDescent="0.25">
      <c r="A14688" s="1"/>
    </row>
    <row r="14689" spans="1:1" ht="46.5" customHeight="1" x14ac:dyDescent="0.25">
      <c r="A14689" s="1"/>
    </row>
    <row r="14690" spans="1:1" ht="46.5" customHeight="1" x14ac:dyDescent="0.25">
      <c r="A14690" s="1"/>
    </row>
    <row r="14691" spans="1:1" ht="46.5" customHeight="1" x14ac:dyDescent="0.25">
      <c r="A14691" s="1"/>
    </row>
    <row r="14692" spans="1:1" ht="46.5" customHeight="1" x14ac:dyDescent="0.25">
      <c r="A14692" s="1"/>
    </row>
    <row r="14693" spans="1:1" ht="46.5" customHeight="1" x14ac:dyDescent="0.25">
      <c r="A14693" s="1"/>
    </row>
    <row r="14694" spans="1:1" ht="46.5" customHeight="1" x14ac:dyDescent="0.25">
      <c r="A14694" s="1"/>
    </row>
    <row r="14695" spans="1:1" ht="46.5" customHeight="1" x14ac:dyDescent="0.25">
      <c r="A14695" s="1"/>
    </row>
    <row r="14696" spans="1:1" ht="46.5" customHeight="1" x14ac:dyDescent="0.25">
      <c r="A14696" s="1"/>
    </row>
    <row r="14697" spans="1:1" ht="46.5" customHeight="1" x14ac:dyDescent="0.25">
      <c r="A14697" s="1"/>
    </row>
    <row r="14698" spans="1:1" ht="46.5" customHeight="1" x14ac:dyDescent="0.25">
      <c r="A14698" s="1"/>
    </row>
    <row r="14699" spans="1:1" ht="46.5" customHeight="1" x14ac:dyDescent="0.25">
      <c r="A14699" s="1"/>
    </row>
    <row r="14700" spans="1:1" ht="46.5" customHeight="1" x14ac:dyDescent="0.25">
      <c r="A14700" s="1"/>
    </row>
    <row r="14701" spans="1:1" ht="46.5" customHeight="1" x14ac:dyDescent="0.25">
      <c r="A14701" s="1"/>
    </row>
    <row r="14702" spans="1:1" ht="46.5" customHeight="1" x14ac:dyDescent="0.25">
      <c r="A14702" s="1"/>
    </row>
    <row r="14703" spans="1:1" ht="46.5" customHeight="1" x14ac:dyDescent="0.25">
      <c r="A14703" s="1"/>
    </row>
    <row r="14704" spans="1:1" ht="46.5" customHeight="1" x14ac:dyDescent="0.25">
      <c r="A14704" s="1"/>
    </row>
    <row r="14705" spans="1:1" ht="46.5" customHeight="1" x14ac:dyDescent="0.25">
      <c r="A14705" s="1"/>
    </row>
    <row r="14706" spans="1:1" ht="46.5" customHeight="1" x14ac:dyDescent="0.25">
      <c r="A14706" s="1"/>
    </row>
    <row r="14707" spans="1:1" ht="46.5" customHeight="1" x14ac:dyDescent="0.25">
      <c r="A14707" s="1"/>
    </row>
    <row r="14708" spans="1:1" ht="46.5" customHeight="1" x14ac:dyDescent="0.25">
      <c r="A14708" s="1"/>
    </row>
    <row r="14709" spans="1:1" ht="46.5" customHeight="1" x14ac:dyDescent="0.25">
      <c r="A14709" s="1"/>
    </row>
    <row r="14710" spans="1:1" ht="46.5" customHeight="1" x14ac:dyDescent="0.25">
      <c r="A14710" s="1"/>
    </row>
    <row r="14711" spans="1:1" ht="46.5" customHeight="1" x14ac:dyDescent="0.25">
      <c r="A14711" s="1"/>
    </row>
    <row r="14712" spans="1:1" ht="46.5" customHeight="1" x14ac:dyDescent="0.25">
      <c r="A14712" s="1"/>
    </row>
    <row r="14713" spans="1:1" ht="46.5" customHeight="1" x14ac:dyDescent="0.25">
      <c r="A14713" s="1"/>
    </row>
    <row r="14714" spans="1:1" ht="46.5" customHeight="1" x14ac:dyDescent="0.25">
      <c r="A14714" s="1"/>
    </row>
    <row r="14715" spans="1:1" ht="46.5" customHeight="1" x14ac:dyDescent="0.25">
      <c r="A14715" s="1"/>
    </row>
    <row r="14716" spans="1:1" ht="46.5" customHeight="1" x14ac:dyDescent="0.25">
      <c r="A14716" s="1"/>
    </row>
    <row r="14717" spans="1:1" ht="46.5" customHeight="1" x14ac:dyDescent="0.25">
      <c r="A14717" s="1"/>
    </row>
    <row r="14718" spans="1:1" ht="46.5" customHeight="1" x14ac:dyDescent="0.25">
      <c r="A14718" s="1"/>
    </row>
    <row r="14719" spans="1:1" ht="46.5" customHeight="1" x14ac:dyDescent="0.25">
      <c r="A14719" s="1"/>
    </row>
    <row r="14720" spans="1:1" ht="46.5" customHeight="1" x14ac:dyDescent="0.25">
      <c r="A14720" s="1"/>
    </row>
    <row r="14721" spans="1:1" ht="46.5" customHeight="1" x14ac:dyDescent="0.25">
      <c r="A14721" s="1"/>
    </row>
    <row r="14722" spans="1:1" ht="46.5" customHeight="1" x14ac:dyDescent="0.25">
      <c r="A14722" s="1"/>
    </row>
    <row r="14723" spans="1:1" ht="46.5" customHeight="1" x14ac:dyDescent="0.25">
      <c r="A14723" s="1"/>
    </row>
    <row r="14724" spans="1:1" ht="46.5" customHeight="1" x14ac:dyDescent="0.25">
      <c r="A14724" s="1"/>
    </row>
    <row r="14725" spans="1:1" ht="46.5" customHeight="1" x14ac:dyDescent="0.25">
      <c r="A14725" s="1"/>
    </row>
    <row r="14726" spans="1:1" ht="46.5" customHeight="1" x14ac:dyDescent="0.25">
      <c r="A14726" s="1"/>
    </row>
    <row r="14727" spans="1:1" ht="46.5" customHeight="1" x14ac:dyDescent="0.25">
      <c r="A14727" s="1"/>
    </row>
    <row r="14728" spans="1:1" ht="46.5" customHeight="1" x14ac:dyDescent="0.25">
      <c r="A14728" s="1"/>
    </row>
    <row r="14729" spans="1:1" ht="46.5" customHeight="1" x14ac:dyDescent="0.25">
      <c r="A14729" s="1"/>
    </row>
    <row r="14730" spans="1:1" ht="46.5" customHeight="1" x14ac:dyDescent="0.25">
      <c r="A14730" s="1"/>
    </row>
    <row r="14731" spans="1:1" ht="46.5" customHeight="1" x14ac:dyDescent="0.25">
      <c r="A14731" s="1"/>
    </row>
    <row r="14732" spans="1:1" ht="46.5" customHeight="1" x14ac:dyDescent="0.25">
      <c r="A14732" s="1"/>
    </row>
    <row r="14733" spans="1:1" ht="46.5" customHeight="1" x14ac:dyDescent="0.25">
      <c r="A14733" s="1"/>
    </row>
    <row r="14734" spans="1:1" ht="46.5" customHeight="1" x14ac:dyDescent="0.25">
      <c r="A14734" s="1"/>
    </row>
    <row r="14735" spans="1:1" ht="46.5" customHeight="1" x14ac:dyDescent="0.25">
      <c r="A14735" s="1"/>
    </row>
    <row r="14736" spans="1:1" ht="46.5" customHeight="1" x14ac:dyDescent="0.25">
      <c r="A14736" s="1"/>
    </row>
    <row r="14737" spans="1:1" ht="46.5" customHeight="1" x14ac:dyDescent="0.25">
      <c r="A14737" s="1"/>
    </row>
    <row r="14738" spans="1:1" ht="46.5" customHeight="1" x14ac:dyDescent="0.25">
      <c r="A14738" s="1"/>
    </row>
    <row r="14739" spans="1:1" ht="46.5" customHeight="1" x14ac:dyDescent="0.25">
      <c r="A14739" s="1"/>
    </row>
    <row r="14740" spans="1:1" ht="46.5" customHeight="1" x14ac:dyDescent="0.25">
      <c r="A14740" s="1"/>
    </row>
    <row r="14741" spans="1:1" ht="46.5" customHeight="1" x14ac:dyDescent="0.25">
      <c r="A14741" s="1"/>
    </row>
    <row r="14742" spans="1:1" ht="46.5" customHeight="1" x14ac:dyDescent="0.25">
      <c r="A14742" s="1"/>
    </row>
    <row r="14743" spans="1:1" ht="46.5" customHeight="1" x14ac:dyDescent="0.25">
      <c r="A14743" s="1"/>
    </row>
    <row r="14744" spans="1:1" ht="46.5" customHeight="1" x14ac:dyDescent="0.25">
      <c r="A14744" s="1"/>
    </row>
    <row r="14745" spans="1:1" ht="46.5" customHeight="1" x14ac:dyDescent="0.25">
      <c r="A14745" s="1"/>
    </row>
    <row r="14746" spans="1:1" ht="46.5" customHeight="1" x14ac:dyDescent="0.25">
      <c r="A14746" s="1"/>
    </row>
    <row r="14747" spans="1:1" ht="46.5" customHeight="1" x14ac:dyDescent="0.25">
      <c r="A14747" s="1"/>
    </row>
    <row r="14748" spans="1:1" ht="46.5" customHeight="1" x14ac:dyDescent="0.25">
      <c r="A14748" s="1"/>
    </row>
    <row r="14749" spans="1:1" ht="46.5" customHeight="1" x14ac:dyDescent="0.25">
      <c r="A14749" s="1"/>
    </row>
    <row r="14750" spans="1:1" ht="46.5" customHeight="1" x14ac:dyDescent="0.25">
      <c r="A14750" s="1"/>
    </row>
    <row r="14751" spans="1:1" ht="46.5" customHeight="1" x14ac:dyDescent="0.25">
      <c r="A14751" s="1"/>
    </row>
    <row r="14752" spans="1:1" ht="46.5" customHeight="1" x14ac:dyDescent="0.25">
      <c r="A14752" s="1"/>
    </row>
    <row r="14753" spans="1:1" ht="46.5" customHeight="1" x14ac:dyDescent="0.25">
      <c r="A14753" s="1"/>
    </row>
    <row r="14754" spans="1:1" ht="46.5" customHeight="1" x14ac:dyDescent="0.25">
      <c r="A14754" s="1"/>
    </row>
    <row r="14755" spans="1:1" ht="46.5" customHeight="1" x14ac:dyDescent="0.25">
      <c r="A14755" s="1"/>
    </row>
    <row r="14756" spans="1:1" ht="46.5" customHeight="1" x14ac:dyDescent="0.25">
      <c r="A14756" s="1"/>
    </row>
    <row r="14757" spans="1:1" ht="46.5" customHeight="1" x14ac:dyDescent="0.25">
      <c r="A14757" s="1"/>
    </row>
    <row r="14758" spans="1:1" ht="46.5" customHeight="1" x14ac:dyDescent="0.25">
      <c r="A14758" s="1"/>
    </row>
    <row r="14759" spans="1:1" ht="46.5" customHeight="1" x14ac:dyDescent="0.25">
      <c r="A14759" s="1"/>
    </row>
    <row r="14760" spans="1:1" ht="46.5" customHeight="1" x14ac:dyDescent="0.25">
      <c r="A14760" s="1"/>
    </row>
    <row r="14761" spans="1:1" ht="46.5" customHeight="1" x14ac:dyDescent="0.25">
      <c r="A14761" s="1"/>
    </row>
    <row r="14762" spans="1:1" ht="46.5" customHeight="1" x14ac:dyDescent="0.25">
      <c r="A14762" s="1"/>
    </row>
    <row r="14763" spans="1:1" ht="46.5" customHeight="1" x14ac:dyDescent="0.25">
      <c r="A14763" s="1"/>
    </row>
    <row r="14764" spans="1:1" ht="46.5" customHeight="1" x14ac:dyDescent="0.25">
      <c r="A14764" s="1"/>
    </row>
    <row r="14765" spans="1:1" ht="46.5" customHeight="1" x14ac:dyDescent="0.25">
      <c r="A14765" s="1"/>
    </row>
    <row r="14766" spans="1:1" ht="46.5" customHeight="1" x14ac:dyDescent="0.25">
      <c r="A14766" s="1"/>
    </row>
    <row r="14767" spans="1:1" ht="46.5" customHeight="1" x14ac:dyDescent="0.25">
      <c r="A14767" s="1"/>
    </row>
    <row r="14768" spans="1:1" ht="46.5" customHeight="1" x14ac:dyDescent="0.25">
      <c r="A14768" s="1"/>
    </row>
    <row r="14769" spans="1:1" ht="46.5" customHeight="1" x14ac:dyDescent="0.25">
      <c r="A14769" s="1"/>
    </row>
    <row r="14770" spans="1:1" ht="46.5" customHeight="1" x14ac:dyDescent="0.25">
      <c r="A14770" s="1"/>
    </row>
    <row r="14771" spans="1:1" ht="46.5" customHeight="1" x14ac:dyDescent="0.25">
      <c r="A14771" s="1"/>
    </row>
    <row r="14772" spans="1:1" ht="46.5" customHeight="1" x14ac:dyDescent="0.25">
      <c r="A14772" s="1"/>
    </row>
    <row r="14773" spans="1:1" ht="46.5" customHeight="1" x14ac:dyDescent="0.25">
      <c r="A14773" s="1"/>
    </row>
    <row r="14774" spans="1:1" ht="46.5" customHeight="1" x14ac:dyDescent="0.25">
      <c r="A14774" s="1"/>
    </row>
    <row r="14775" spans="1:1" ht="46.5" customHeight="1" x14ac:dyDescent="0.25">
      <c r="A14775" s="1"/>
    </row>
    <row r="14776" spans="1:1" ht="46.5" customHeight="1" x14ac:dyDescent="0.25">
      <c r="A14776" s="1"/>
    </row>
    <row r="14777" spans="1:1" ht="46.5" customHeight="1" x14ac:dyDescent="0.25">
      <c r="A14777" s="1"/>
    </row>
    <row r="14778" spans="1:1" ht="46.5" customHeight="1" x14ac:dyDescent="0.25">
      <c r="A14778" s="1"/>
    </row>
    <row r="14779" spans="1:1" ht="46.5" customHeight="1" x14ac:dyDescent="0.25">
      <c r="A14779" s="1"/>
    </row>
    <row r="14780" spans="1:1" ht="46.5" customHeight="1" x14ac:dyDescent="0.25">
      <c r="A14780" s="1"/>
    </row>
    <row r="14781" spans="1:1" ht="46.5" customHeight="1" x14ac:dyDescent="0.25">
      <c r="A14781" s="1"/>
    </row>
    <row r="14782" spans="1:1" ht="46.5" customHeight="1" x14ac:dyDescent="0.25">
      <c r="A14782" s="1"/>
    </row>
    <row r="14783" spans="1:1" ht="46.5" customHeight="1" x14ac:dyDescent="0.25">
      <c r="A14783" s="1"/>
    </row>
    <row r="14784" spans="1:1" ht="46.5" customHeight="1" x14ac:dyDescent="0.25">
      <c r="A14784" s="1"/>
    </row>
    <row r="14785" spans="1:1" ht="46.5" customHeight="1" x14ac:dyDescent="0.25">
      <c r="A14785" s="1"/>
    </row>
    <row r="14786" spans="1:1" ht="46.5" customHeight="1" x14ac:dyDescent="0.25">
      <c r="A14786" s="1"/>
    </row>
    <row r="14787" spans="1:1" ht="46.5" customHeight="1" x14ac:dyDescent="0.25">
      <c r="A14787" s="1"/>
    </row>
    <row r="14788" spans="1:1" ht="46.5" customHeight="1" x14ac:dyDescent="0.25">
      <c r="A14788" s="1"/>
    </row>
    <row r="14789" spans="1:1" ht="46.5" customHeight="1" x14ac:dyDescent="0.25">
      <c r="A14789" s="1"/>
    </row>
    <row r="14790" spans="1:1" ht="46.5" customHeight="1" x14ac:dyDescent="0.25">
      <c r="A14790" s="1"/>
    </row>
    <row r="14791" spans="1:1" ht="46.5" customHeight="1" x14ac:dyDescent="0.25">
      <c r="A14791" s="1"/>
    </row>
    <row r="14792" spans="1:1" ht="46.5" customHeight="1" x14ac:dyDescent="0.25">
      <c r="A14792" s="1"/>
    </row>
    <row r="14793" spans="1:1" ht="46.5" customHeight="1" x14ac:dyDescent="0.25">
      <c r="A14793" s="1"/>
    </row>
    <row r="14794" spans="1:1" ht="46.5" customHeight="1" x14ac:dyDescent="0.25">
      <c r="A14794" s="1"/>
    </row>
    <row r="14795" spans="1:1" ht="46.5" customHeight="1" x14ac:dyDescent="0.25">
      <c r="A14795" s="1"/>
    </row>
    <row r="14796" spans="1:1" ht="46.5" customHeight="1" x14ac:dyDescent="0.25">
      <c r="A14796" s="1"/>
    </row>
    <row r="14797" spans="1:1" ht="46.5" customHeight="1" x14ac:dyDescent="0.25">
      <c r="A14797" s="1"/>
    </row>
    <row r="14798" spans="1:1" ht="46.5" customHeight="1" x14ac:dyDescent="0.25">
      <c r="A14798" s="1"/>
    </row>
    <row r="14799" spans="1:1" ht="46.5" customHeight="1" x14ac:dyDescent="0.25">
      <c r="A14799" s="1"/>
    </row>
    <row r="14800" spans="1:1" ht="46.5" customHeight="1" x14ac:dyDescent="0.25">
      <c r="A14800" s="1"/>
    </row>
    <row r="14801" spans="1:1" ht="46.5" customHeight="1" x14ac:dyDescent="0.25">
      <c r="A14801" s="1"/>
    </row>
    <row r="14802" spans="1:1" ht="46.5" customHeight="1" x14ac:dyDescent="0.25">
      <c r="A14802" s="1"/>
    </row>
    <row r="14803" spans="1:1" ht="46.5" customHeight="1" x14ac:dyDescent="0.25">
      <c r="A14803" s="1"/>
    </row>
    <row r="14804" spans="1:1" ht="46.5" customHeight="1" x14ac:dyDescent="0.25">
      <c r="A14804" s="1"/>
    </row>
    <row r="14805" spans="1:1" ht="46.5" customHeight="1" x14ac:dyDescent="0.25">
      <c r="A14805" s="1"/>
    </row>
    <row r="14806" spans="1:1" ht="46.5" customHeight="1" x14ac:dyDescent="0.25">
      <c r="A14806" s="1"/>
    </row>
    <row r="14807" spans="1:1" ht="46.5" customHeight="1" x14ac:dyDescent="0.25">
      <c r="A14807" s="1"/>
    </row>
    <row r="14808" spans="1:1" ht="46.5" customHeight="1" x14ac:dyDescent="0.25">
      <c r="A14808" s="1"/>
    </row>
    <row r="14809" spans="1:1" ht="46.5" customHeight="1" x14ac:dyDescent="0.25">
      <c r="A14809" s="1"/>
    </row>
    <row r="14810" spans="1:1" ht="46.5" customHeight="1" x14ac:dyDescent="0.25">
      <c r="A14810" s="1"/>
    </row>
    <row r="14811" spans="1:1" ht="46.5" customHeight="1" x14ac:dyDescent="0.25">
      <c r="A14811" s="1"/>
    </row>
    <row r="14812" spans="1:1" ht="46.5" customHeight="1" x14ac:dyDescent="0.25">
      <c r="A14812" s="1"/>
    </row>
    <row r="14813" spans="1:1" ht="46.5" customHeight="1" x14ac:dyDescent="0.25">
      <c r="A14813" s="1"/>
    </row>
    <row r="14814" spans="1:1" ht="46.5" customHeight="1" x14ac:dyDescent="0.25">
      <c r="A14814" s="1"/>
    </row>
    <row r="14815" spans="1:1" ht="46.5" customHeight="1" x14ac:dyDescent="0.25">
      <c r="A14815" s="1"/>
    </row>
    <row r="14816" spans="1:1" ht="46.5" customHeight="1" x14ac:dyDescent="0.25">
      <c r="A14816" s="1"/>
    </row>
    <row r="14817" spans="1:1" ht="46.5" customHeight="1" x14ac:dyDescent="0.25">
      <c r="A14817" s="1"/>
    </row>
    <row r="14818" spans="1:1" ht="46.5" customHeight="1" x14ac:dyDescent="0.25">
      <c r="A14818" s="1"/>
    </row>
    <row r="14819" spans="1:1" ht="46.5" customHeight="1" x14ac:dyDescent="0.25">
      <c r="A14819" s="1"/>
    </row>
    <row r="14820" spans="1:1" ht="46.5" customHeight="1" x14ac:dyDescent="0.25">
      <c r="A14820" s="1"/>
    </row>
    <row r="14821" spans="1:1" ht="46.5" customHeight="1" x14ac:dyDescent="0.25">
      <c r="A14821" s="1"/>
    </row>
    <row r="14822" spans="1:1" ht="46.5" customHeight="1" x14ac:dyDescent="0.25">
      <c r="A14822" s="1"/>
    </row>
    <row r="14823" spans="1:1" ht="46.5" customHeight="1" x14ac:dyDescent="0.25">
      <c r="A14823" s="1"/>
    </row>
    <row r="14824" spans="1:1" ht="46.5" customHeight="1" x14ac:dyDescent="0.25">
      <c r="A14824" s="1"/>
    </row>
    <row r="14825" spans="1:1" ht="46.5" customHeight="1" x14ac:dyDescent="0.25">
      <c r="A14825" s="1"/>
    </row>
    <row r="14826" spans="1:1" ht="46.5" customHeight="1" x14ac:dyDescent="0.25">
      <c r="A14826" s="1"/>
    </row>
    <row r="14827" spans="1:1" ht="46.5" customHeight="1" x14ac:dyDescent="0.25">
      <c r="A14827" s="1"/>
    </row>
    <row r="14828" spans="1:1" ht="46.5" customHeight="1" x14ac:dyDescent="0.25">
      <c r="A14828" s="1"/>
    </row>
    <row r="14829" spans="1:1" ht="46.5" customHeight="1" x14ac:dyDescent="0.25">
      <c r="A14829" s="1"/>
    </row>
    <row r="14830" spans="1:1" ht="46.5" customHeight="1" x14ac:dyDescent="0.25">
      <c r="A14830" s="1"/>
    </row>
    <row r="14831" spans="1:1" ht="46.5" customHeight="1" x14ac:dyDescent="0.25">
      <c r="A14831" s="1"/>
    </row>
    <row r="14832" spans="1:1" ht="46.5" customHeight="1" x14ac:dyDescent="0.25">
      <c r="A14832" s="1"/>
    </row>
    <row r="14833" spans="1:1" ht="46.5" customHeight="1" x14ac:dyDescent="0.25">
      <c r="A14833" s="1"/>
    </row>
    <row r="14834" spans="1:1" ht="46.5" customHeight="1" x14ac:dyDescent="0.25">
      <c r="A14834" s="1"/>
    </row>
    <row r="14835" spans="1:1" ht="46.5" customHeight="1" x14ac:dyDescent="0.25">
      <c r="A14835" s="1"/>
    </row>
    <row r="14836" spans="1:1" ht="46.5" customHeight="1" x14ac:dyDescent="0.25">
      <c r="A14836" s="1"/>
    </row>
    <row r="14837" spans="1:1" ht="46.5" customHeight="1" x14ac:dyDescent="0.25">
      <c r="A14837" s="1"/>
    </row>
    <row r="14838" spans="1:1" ht="46.5" customHeight="1" x14ac:dyDescent="0.25">
      <c r="A14838" s="1"/>
    </row>
    <row r="14839" spans="1:1" ht="46.5" customHeight="1" x14ac:dyDescent="0.25">
      <c r="A14839" s="1"/>
    </row>
    <row r="14840" spans="1:1" ht="46.5" customHeight="1" x14ac:dyDescent="0.25">
      <c r="A14840" s="1"/>
    </row>
    <row r="14841" spans="1:1" ht="46.5" customHeight="1" x14ac:dyDescent="0.25">
      <c r="A14841" s="1"/>
    </row>
    <row r="14842" spans="1:1" ht="46.5" customHeight="1" x14ac:dyDescent="0.25">
      <c r="A14842" s="1"/>
    </row>
    <row r="14843" spans="1:1" ht="46.5" customHeight="1" x14ac:dyDescent="0.25">
      <c r="A14843" s="1"/>
    </row>
    <row r="14844" spans="1:1" ht="46.5" customHeight="1" x14ac:dyDescent="0.25">
      <c r="A14844" s="1"/>
    </row>
    <row r="14845" spans="1:1" ht="46.5" customHeight="1" x14ac:dyDescent="0.25">
      <c r="A14845" s="1"/>
    </row>
    <row r="14846" spans="1:1" ht="46.5" customHeight="1" x14ac:dyDescent="0.25">
      <c r="A14846" s="1"/>
    </row>
    <row r="14847" spans="1:1" ht="46.5" customHeight="1" x14ac:dyDescent="0.25">
      <c r="A14847" s="1"/>
    </row>
    <row r="14848" spans="1:1" ht="46.5" customHeight="1" x14ac:dyDescent="0.25">
      <c r="A14848" s="1"/>
    </row>
    <row r="14849" spans="1:1" ht="46.5" customHeight="1" x14ac:dyDescent="0.25">
      <c r="A14849" s="1"/>
    </row>
    <row r="14850" spans="1:1" ht="46.5" customHeight="1" x14ac:dyDescent="0.25">
      <c r="A14850" s="1"/>
    </row>
    <row r="14851" spans="1:1" ht="46.5" customHeight="1" x14ac:dyDescent="0.25">
      <c r="A14851" s="1"/>
    </row>
    <row r="14852" spans="1:1" ht="46.5" customHeight="1" x14ac:dyDescent="0.25">
      <c r="A14852" s="1"/>
    </row>
    <row r="14853" spans="1:1" ht="46.5" customHeight="1" x14ac:dyDescent="0.25">
      <c r="A14853" s="1"/>
    </row>
    <row r="14854" spans="1:1" ht="46.5" customHeight="1" x14ac:dyDescent="0.25">
      <c r="A14854" s="1"/>
    </row>
    <row r="14855" spans="1:1" ht="46.5" customHeight="1" x14ac:dyDescent="0.25">
      <c r="A14855" s="1"/>
    </row>
    <row r="14856" spans="1:1" ht="46.5" customHeight="1" x14ac:dyDescent="0.25">
      <c r="A14856" s="1"/>
    </row>
    <row r="14857" spans="1:1" ht="46.5" customHeight="1" x14ac:dyDescent="0.25">
      <c r="A14857" s="1"/>
    </row>
    <row r="14858" spans="1:1" ht="46.5" customHeight="1" x14ac:dyDescent="0.25">
      <c r="A14858" s="1"/>
    </row>
    <row r="14859" spans="1:1" ht="46.5" customHeight="1" x14ac:dyDescent="0.25">
      <c r="A14859" s="1"/>
    </row>
    <row r="14860" spans="1:1" ht="46.5" customHeight="1" x14ac:dyDescent="0.25">
      <c r="A14860" s="1"/>
    </row>
    <row r="14861" spans="1:1" ht="46.5" customHeight="1" x14ac:dyDescent="0.25">
      <c r="A14861" s="1"/>
    </row>
    <row r="14862" spans="1:1" ht="46.5" customHeight="1" x14ac:dyDescent="0.25">
      <c r="A14862" s="1"/>
    </row>
    <row r="14863" spans="1:1" ht="46.5" customHeight="1" x14ac:dyDescent="0.25">
      <c r="A14863" s="1"/>
    </row>
    <row r="14864" spans="1:1" ht="46.5" customHeight="1" x14ac:dyDescent="0.25">
      <c r="A14864" s="1"/>
    </row>
    <row r="14865" spans="1:1" ht="46.5" customHeight="1" x14ac:dyDescent="0.25">
      <c r="A14865" s="1"/>
    </row>
    <row r="14866" spans="1:1" ht="46.5" customHeight="1" x14ac:dyDescent="0.25">
      <c r="A14866" s="1"/>
    </row>
    <row r="14867" spans="1:1" ht="46.5" customHeight="1" x14ac:dyDescent="0.25">
      <c r="A14867" s="1"/>
    </row>
    <row r="14868" spans="1:1" ht="46.5" customHeight="1" x14ac:dyDescent="0.25">
      <c r="A14868" s="1"/>
    </row>
    <row r="14869" spans="1:1" ht="46.5" customHeight="1" x14ac:dyDescent="0.25">
      <c r="A14869" s="1"/>
    </row>
    <row r="14870" spans="1:1" ht="46.5" customHeight="1" x14ac:dyDescent="0.25">
      <c r="A14870" s="1"/>
    </row>
    <row r="14871" spans="1:1" ht="46.5" customHeight="1" x14ac:dyDescent="0.25">
      <c r="A14871" s="1"/>
    </row>
    <row r="14872" spans="1:1" ht="46.5" customHeight="1" x14ac:dyDescent="0.25">
      <c r="A14872" s="1"/>
    </row>
    <row r="14873" spans="1:1" ht="46.5" customHeight="1" x14ac:dyDescent="0.25">
      <c r="A14873" s="1"/>
    </row>
    <row r="14874" spans="1:1" ht="46.5" customHeight="1" x14ac:dyDescent="0.25">
      <c r="A14874" s="1"/>
    </row>
    <row r="14875" spans="1:1" ht="46.5" customHeight="1" x14ac:dyDescent="0.25">
      <c r="A14875" s="1"/>
    </row>
    <row r="14876" spans="1:1" ht="46.5" customHeight="1" x14ac:dyDescent="0.25">
      <c r="A14876" s="1"/>
    </row>
    <row r="14877" spans="1:1" ht="46.5" customHeight="1" x14ac:dyDescent="0.25">
      <c r="A14877" s="1"/>
    </row>
    <row r="14878" spans="1:1" ht="46.5" customHeight="1" x14ac:dyDescent="0.25">
      <c r="A14878" s="1"/>
    </row>
    <row r="14879" spans="1:1" ht="46.5" customHeight="1" x14ac:dyDescent="0.25">
      <c r="A14879" s="1"/>
    </row>
    <row r="14880" spans="1:1" ht="46.5" customHeight="1" x14ac:dyDescent="0.25">
      <c r="A14880" s="1"/>
    </row>
    <row r="14881" spans="1:1" ht="46.5" customHeight="1" x14ac:dyDescent="0.25">
      <c r="A14881" s="1"/>
    </row>
    <row r="14882" spans="1:1" ht="46.5" customHeight="1" x14ac:dyDescent="0.25">
      <c r="A14882" s="1"/>
    </row>
    <row r="14883" spans="1:1" ht="46.5" customHeight="1" x14ac:dyDescent="0.25">
      <c r="A14883" s="1"/>
    </row>
    <row r="14884" spans="1:1" ht="46.5" customHeight="1" x14ac:dyDescent="0.25">
      <c r="A14884" s="1"/>
    </row>
    <row r="14885" spans="1:1" ht="46.5" customHeight="1" x14ac:dyDescent="0.25">
      <c r="A14885" s="1"/>
    </row>
    <row r="14886" spans="1:1" ht="46.5" customHeight="1" x14ac:dyDescent="0.25">
      <c r="A14886" s="1"/>
    </row>
    <row r="14887" spans="1:1" ht="46.5" customHeight="1" x14ac:dyDescent="0.25">
      <c r="A14887" s="1"/>
    </row>
    <row r="14888" spans="1:1" ht="46.5" customHeight="1" x14ac:dyDescent="0.25">
      <c r="A14888" s="1"/>
    </row>
    <row r="14889" spans="1:1" ht="46.5" customHeight="1" x14ac:dyDescent="0.25">
      <c r="A14889" s="1"/>
    </row>
    <row r="14890" spans="1:1" ht="46.5" customHeight="1" x14ac:dyDescent="0.25">
      <c r="A14890" s="1"/>
    </row>
    <row r="14891" spans="1:1" ht="46.5" customHeight="1" x14ac:dyDescent="0.25">
      <c r="A14891" s="1"/>
    </row>
    <row r="14892" spans="1:1" ht="46.5" customHeight="1" x14ac:dyDescent="0.25">
      <c r="A14892" s="1"/>
    </row>
    <row r="14893" spans="1:1" ht="46.5" customHeight="1" x14ac:dyDescent="0.25">
      <c r="A14893" s="1"/>
    </row>
    <row r="14894" spans="1:1" ht="46.5" customHeight="1" x14ac:dyDescent="0.25">
      <c r="A14894" s="1"/>
    </row>
    <row r="14895" spans="1:1" ht="46.5" customHeight="1" x14ac:dyDescent="0.25">
      <c r="A14895" s="1"/>
    </row>
    <row r="14896" spans="1:1" ht="46.5" customHeight="1" x14ac:dyDescent="0.25">
      <c r="A14896" s="1"/>
    </row>
    <row r="14897" spans="1:1" ht="46.5" customHeight="1" x14ac:dyDescent="0.25">
      <c r="A14897" s="1"/>
    </row>
    <row r="14898" spans="1:1" ht="46.5" customHeight="1" x14ac:dyDescent="0.25">
      <c r="A14898" s="1"/>
    </row>
    <row r="14899" spans="1:1" ht="46.5" customHeight="1" x14ac:dyDescent="0.25">
      <c r="A14899" s="1"/>
    </row>
    <row r="14900" spans="1:1" ht="46.5" customHeight="1" x14ac:dyDescent="0.25">
      <c r="A14900" s="1"/>
    </row>
    <row r="14901" spans="1:1" ht="46.5" customHeight="1" x14ac:dyDescent="0.25">
      <c r="A14901" s="1"/>
    </row>
    <row r="14902" spans="1:1" ht="46.5" customHeight="1" x14ac:dyDescent="0.25">
      <c r="A14902" s="1"/>
    </row>
    <row r="14903" spans="1:1" ht="46.5" customHeight="1" x14ac:dyDescent="0.25">
      <c r="A14903" s="1"/>
    </row>
    <row r="14904" spans="1:1" ht="46.5" customHeight="1" x14ac:dyDescent="0.25">
      <c r="A14904" s="1"/>
    </row>
    <row r="14905" spans="1:1" ht="46.5" customHeight="1" x14ac:dyDescent="0.25">
      <c r="A14905" s="1"/>
    </row>
    <row r="14906" spans="1:1" ht="46.5" customHeight="1" x14ac:dyDescent="0.25">
      <c r="A14906" s="1"/>
    </row>
    <row r="14907" spans="1:1" ht="46.5" customHeight="1" x14ac:dyDescent="0.25">
      <c r="A14907" s="1"/>
    </row>
    <row r="14908" spans="1:1" ht="46.5" customHeight="1" x14ac:dyDescent="0.25">
      <c r="A14908" s="1"/>
    </row>
    <row r="14909" spans="1:1" ht="46.5" customHeight="1" x14ac:dyDescent="0.25">
      <c r="A14909" s="1"/>
    </row>
    <row r="14910" spans="1:1" ht="46.5" customHeight="1" x14ac:dyDescent="0.25">
      <c r="A14910" s="1"/>
    </row>
    <row r="14911" spans="1:1" ht="46.5" customHeight="1" x14ac:dyDescent="0.25">
      <c r="A14911" s="1"/>
    </row>
    <row r="14912" spans="1:1" ht="46.5" customHeight="1" x14ac:dyDescent="0.25">
      <c r="A14912" s="1"/>
    </row>
    <row r="14913" spans="1:1" ht="46.5" customHeight="1" x14ac:dyDescent="0.25">
      <c r="A14913" s="1"/>
    </row>
    <row r="14914" spans="1:1" ht="46.5" customHeight="1" x14ac:dyDescent="0.25">
      <c r="A14914" s="1"/>
    </row>
    <row r="14915" spans="1:1" ht="46.5" customHeight="1" x14ac:dyDescent="0.25">
      <c r="A14915" s="1"/>
    </row>
    <row r="14916" spans="1:1" ht="46.5" customHeight="1" x14ac:dyDescent="0.25">
      <c r="A14916" s="1"/>
    </row>
    <row r="14917" spans="1:1" ht="46.5" customHeight="1" x14ac:dyDescent="0.25">
      <c r="A14917" s="1"/>
    </row>
    <row r="14918" spans="1:1" ht="46.5" customHeight="1" x14ac:dyDescent="0.25">
      <c r="A14918" s="1"/>
    </row>
    <row r="14919" spans="1:1" ht="46.5" customHeight="1" x14ac:dyDescent="0.25">
      <c r="A14919" s="1"/>
    </row>
    <row r="14920" spans="1:1" ht="46.5" customHeight="1" x14ac:dyDescent="0.25">
      <c r="A14920" s="1"/>
    </row>
    <row r="14921" spans="1:1" ht="46.5" customHeight="1" x14ac:dyDescent="0.25">
      <c r="A14921" s="1"/>
    </row>
    <row r="14922" spans="1:1" ht="46.5" customHeight="1" x14ac:dyDescent="0.25">
      <c r="A14922" s="1"/>
    </row>
    <row r="14923" spans="1:1" ht="46.5" customHeight="1" x14ac:dyDescent="0.25">
      <c r="A14923" s="1"/>
    </row>
    <row r="14924" spans="1:1" ht="46.5" customHeight="1" x14ac:dyDescent="0.25">
      <c r="A14924" s="1"/>
    </row>
    <row r="14925" spans="1:1" ht="46.5" customHeight="1" x14ac:dyDescent="0.25">
      <c r="A14925" s="1"/>
    </row>
    <row r="14926" spans="1:1" ht="46.5" customHeight="1" x14ac:dyDescent="0.25">
      <c r="A14926" s="1"/>
    </row>
    <row r="14927" spans="1:1" ht="46.5" customHeight="1" x14ac:dyDescent="0.25">
      <c r="A14927" s="1"/>
    </row>
    <row r="14928" spans="1:1" ht="46.5" customHeight="1" x14ac:dyDescent="0.25">
      <c r="A14928" s="1"/>
    </row>
    <row r="14929" spans="1:1" ht="46.5" customHeight="1" x14ac:dyDescent="0.25">
      <c r="A14929" s="1"/>
    </row>
    <row r="14930" spans="1:1" ht="46.5" customHeight="1" x14ac:dyDescent="0.25">
      <c r="A14930" s="1"/>
    </row>
    <row r="14931" spans="1:1" ht="46.5" customHeight="1" x14ac:dyDescent="0.25">
      <c r="A14931" s="1"/>
    </row>
    <row r="14932" spans="1:1" ht="46.5" customHeight="1" x14ac:dyDescent="0.25">
      <c r="A14932" s="1"/>
    </row>
    <row r="14933" spans="1:1" ht="46.5" customHeight="1" x14ac:dyDescent="0.25">
      <c r="A14933" s="1"/>
    </row>
    <row r="14934" spans="1:1" ht="46.5" customHeight="1" x14ac:dyDescent="0.25">
      <c r="A14934" s="1"/>
    </row>
    <row r="14935" spans="1:1" ht="46.5" customHeight="1" x14ac:dyDescent="0.25">
      <c r="A14935" s="1"/>
    </row>
    <row r="14936" spans="1:1" ht="46.5" customHeight="1" x14ac:dyDescent="0.25">
      <c r="A14936" s="1"/>
    </row>
    <row r="14937" spans="1:1" ht="46.5" customHeight="1" x14ac:dyDescent="0.25">
      <c r="A14937" s="1"/>
    </row>
    <row r="14938" spans="1:1" ht="46.5" customHeight="1" x14ac:dyDescent="0.25">
      <c r="A14938" s="1"/>
    </row>
    <row r="14939" spans="1:1" ht="46.5" customHeight="1" x14ac:dyDescent="0.25">
      <c r="A14939" s="1"/>
    </row>
    <row r="14940" spans="1:1" ht="46.5" customHeight="1" x14ac:dyDescent="0.25">
      <c r="A14940" s="1"/>
    </row>
    <row r="14941" spans="1:1" ht="46.5" customHeight="1" x14ac:dyDescent="0.25">
      <c r="A14941" s="1"/>
    </row>
    <row r="14942" spans="1:1" ht="46.5" customHeight="1" x14ac:dyDescent="0.25">
      <c r="A14942" s="1"/>
    </row>
    <row r="14943" spans="1:1" ht="46.5" customHeight="1" x14ac:dyDescent="0.25">
      <c r="A14943" s="1"/>
    </row>
    <row r="14944" spans="1:1" ht="46.5" customHeight="1" x14ac:dyDescent="0.25">
      <c r="A14944" s="1"/>
    </row>
    <row r="14945" spans="1:1" ht="46.5" customHeight="1" x14ac:dyDescent="0.25">
      <c r="A14945" s="1"/>
    </row>
    <row r="14946" spans="1:1" ht="46.5" customHeight="1" x14ac:dyDescent="0.25">
      <c r="A14946" s="1"/>
    </row>
    <row r="14947" spans="1:1" ht="46.5" customHeight="1" x14ac:dyDescent="0.25">
      <c r="A14947" s="1"/>
    </row>
    <row r="14948" spans="1:1" ht="46.5" customHeight="1" x14ac:dyDescent="0.25">
      <c r="A14948" s="1"/>
    </row>
    <row r="14949" spans="1:1" ht="46.5" customHeight="1" x14ac:dyDescent="0.25">
      <c r="A14949" s="1"/>
    </row>
    <row r="14950" spans="1:1" ht="46.5" customHeight="1" x14ac:dyDescent="0.25">
      <c r="A14950" s="1"/>
    </row>
    <row r="14951" spans="1:1" ht="46.5" customHeight="1" x14ac:dyDescent="0.25">
      <c r="A14951" s="1"/>
    </row>
    <row r="14952" spans="1:1" ht="46.5" customHeight="1" x14ac:dyDescent="0.25">
      <c r="A14952" s="1"/>
    </row>
    <row r="14953" spans="1:1" ht="46.5" customHeight="1" x14ac:dyDescent="0.25">
      <c r="A14953" s="1"/>
    </row>
    <row r="14954" spans="1:1" ht="46.5" customHeight="1" x14ac:dyDescent="0.25">
      <c r="A14954" s="1"/>
    </row>
    <row r="14955" spans="1:1" ht="46.5" customHeight="1" x14ac:dyDescent="0.25">
      <c r="A14955" s="1"/>
    </row>
    <row r="14956" spans="1:1" ht="46.5" customHeight="1" x14ac:dyDescent="0.25">
      <c r="A14956" s="1"/>
    </row>
    <row r="14957" spans="1:1" ht="46.5" customHeight="1" x14ac:dyDescent="0.25">
      <c r="A14957" s="1"/>
    </row>
    <row r="14958" spans="1:1" ht="46.5" customHeight="1" x14ac:dyDescent="0.25">
      <c r="A14958" s="1"/>
    </row>
    <row r="14959" spans="1:1" ht="46.5" customHeight="1" x14ac:dyDescent="0.25">
      <c r="A14959" s="1"/>
    </row>
    <row r="14960" spans="1:1" ht="46.5" customHeight="1" x14ac:dyDescent="0.25">
      <c r="A14960" s="1"/>
    </row>
    <row r="14961" spans="1:1" ht="46.5" customHeight="1" x14ac:dyDescent="0.25">
      <c r="A14961" s="1"/>
    </row>
    <row r="14962" spans="1:1" ht="46.5" customHeight="1" x14ac:dyDescent="0.25">
      <c r="A14962" s="1"/>
    </row>
    <row r="14963" spans="1:1" ht="46.5" customHeight="1" x14ac:dyDescent="0.25">
      <c r="A14963" s="1"/>
    </row>
    <row r="14964" spans="1:1" ht="46.5" customHeight="1" x14ac:dyDescent="0.25">
      <c r="A14964" s="1"/>
    </row>
    <row r="14965" spans="1:1" ht="46.5" customHeight="1" x14ac:dyDescent="0.25">
      <c r="A14965" s="1"/>
    </row>
    <row r="14966" spans="1:1" ht="46.5" customHeight="1" x14ac:dyDescent="0.25">
      <c r="A14966" s="1"/>
    </row>
    <row r="14967" spans="1:1" ht="46.5" customHeight="1" x14ac:dyDescent="0.25">
      <c r="A14967" s="1"/>
    </row>
    <row r="14968" spans="1:1" ht="46.5" customHeight="1" x14ac:dyDescent="0.25">
      <c r="A14968" s="1"/>
    </row>
    <row r="14969" spans="1:1" ht="46.5" customHeight="1" x14ac:dyDescent="0.25">
      <c r="A14969" s="1"/>
    </row>
    <row r="14970" spans="1:1" ht="46.5" customHeight="1" x14ac:dyDescent="0.25">
      <c r="A14970" s="1"/>
    </row>
    <row r="14971" spans="1:1" ht="46.5" customHeight="1" x14ac:dyDescent="0.25">
      <c r="A14971" s="1"/>
    </row>
    <row r="14972" spans="1:1" ht="46.5" customHeight="1" x14ac:dyDescent="0.25">
      <c r="A14972" s="1"/>
    </row>
    <row r="14973" spans="1:1" ht="46.5" customHeight="1" x14ac:dyDescent="0.25">
      <c r="A14973" s="1"/>
    </row>
    <row r="14974" spans="1:1" ht="46.5" customHeight="1" x14ac:dyDescent="0.25">
      <c r="A14974" s="1"/>
    </row>
    <row r="14975" spans="1:1" ht="46.5" customHeight="1" x14ac:dyDescent="0.25">
      <c r="A14975" s="1"/>
    </row>
    <row r="14976" spans="1:1" ht="46.5" customHeight="1" x14ac:dyDescent="0.25">
      <c r="A14976" s="1"/>
    </row>
    <row r="14977" spans="1:1" ht="46.5" customHeight="1" x14ac:dyDescent="0.25">
      <c r="A14977" s="1"/>
    </row>
    <row r="14978" spans="1:1" ht="46.5" customHeight="1" x14ac:dyDescent="0.25">
      <c r="A14978" s="1"/>
    </row>
    <row r="14979" spans="1:1" ht="46.5" customHeight="1" x14ac:dyDescent="0.25">
      <c r="A14979" s="1"/>
    </row>
    <row r="14980" spans="1:1" ht="46.5" customHeight="1" x14ac:dyDescent="0.25">
      <c r="A14980" s="1"/>
    </row>
    <row r="14981" spans="1:1" ht="46.5" customHeight="1" x14ac:dyDescent="0.25">
      <c r="A14981" s="1"/>
    </row>
    <row r="14982" spans="1:1" ht="46.5" customHeight="1" x14ac:dyDescent="0.25">
      <c r="A14982" s="1"/>
    </row>
    <row r="14983" spans="1:1" ht="46.5" customHeight="1" x14ac:dyDescent="0.25">
      <c r="A14983" s="1"/>
    </row>
    <row r="14984" spans="1:1" ht="46.5" customHeight="1" x14ac:dyDescent="0.25">
      <c r="A14984" s="1"/>
    </row>
    <row r="14985" spans="1:1" ht="46.5" customHeight="1" x14ac:dyDescent="0.25">
      <c r="A14985" s="1"/>
    </row>
    <row r="14986" spans="1:1" ht="46.5" customHeight="1" x14ac:dyDescent="0.25">
      <c r="A14986" s="1"/>
    </row>
    <row r="14987" spans="1:1" ht="46.5" customHeight="1" x14ac:dyDescent="0.25">
      <c r="A14987" s="1"/>
    </row>
    <row r="14988" spans="1:1" ht="46.5" customHeight="1" x14ac:dyDescent="0.25">
      <c r="A14988" s="1"/>
    </row>
    <row r="14989" spans="1:1" ht="46.5" customHeight="1" x14ac:dyDescent="0.25">
      <c r="A14989" s="1"/>
    </row>
    <row r="14990" spans="1:1" ht="46.5" customHeight="1" x14ac:dyDescent="0.25">
      <c r="A14990" s="1"/>
    </row>
    <row r="14991" spans="1:1" ht="46.5" customHeight="1" x14ac:dyDescent="0.25">
      <c r="A14991" s="1"/>
    </row>
    <row r="14992" spans="1:1" ht="46.5" customHeight="1" x14ac:dyDescent="0.25">
      <c r="A14992" s="1"/>
    </row>
    <row r="14993" spans="1:1" ht="46.5" customHeight="1" x14ac:dyDescent="0.25">
      <c r="A14993" s="1"/>
    </row>
    <row r="14994" spans="1:1" ht="46.5" customHeight="1" x14ac:dyDescent="0.25">
      <c r="A14994" s="1"/>
    </row>
    <row r="14995" spans="1:1" ht="46.5" customHeight="1" x14ac:dyDescent="0.25">
      <c r="A14995" s="1"/>
    </row>
    <row r="14996" spans="1:1" ht="46.5" customHeight="1" x14ac:dyDescent="0.25">
      <c r="A14996" s="1"/>
    </row>
    <row r="14997" spans="1:1" ht="46.5" customHeight="1" x14ac:dyDescent="0.25">
      <c r="A14997" s="1"/>
    </row>
    <row r="14998" spans="1:1" ht="46.5" customHeight="1" x14ac:dyDescent="0.25">
      <c r="A14998" s="1"/>
    </row>
    <row r="14999" spans="1:1" ht="46.5" customHeight="1" x14ac:dyDescent="0.25">
      <c r="A14999" s="1"/>
    </row>
    <row r="15000" spans="1:1" ht="46.5" customHeight="1" x14ac:dyDescent="0.25">
      <c r="A15000" s="1"/>
    </row>
    <row r="15001" spans="1:1" ht="46.5" customHeight="1" x14ac:dyDescent="0.25">
      <c r="A15001" s="1"/>
    </row>
    <row r="15002" spans="1:1" ht="46.5" customHeight="1" x14ac:dyDescent="0.25">
      <c r="A15002" s="1"/>
    </row>
    <row r="15003" spans="1:1" ht="46.5" customHeight="1" x14ac:dyDescent="0.25">
      <c r="A15003" s="1"/>
    </row>
    <row r="15004" spans="1:1" ht="46.5" customHeight="1" x14ac:dyDescent="0.25">
      <c r="A15004" s="1"/>
    </row>
    <row r="15005" spans="1:1" ht="46.5" customHeight="1" x14ac:dyDescent="0.25">
      <c r="A15005" s="1"/>
    </row>
    <row r="15006" spans="1:1" ht="46.5" customHeight="1" x14ac:dyDescent="0.25">
      <c r="A15006" s="1"/>
    </row>
    <row r="15007" spans="1:1" ht="46.5" customHeight="1" x14ac:dyDescent="0.25">
      <c r="A15007" s="1"/>
    </row>
    <row r="15008" spans="1:1" ht="46.5" customHeight="1" x14ac:dyDescent="0.25">
      <c r="A15008" s="1"/>
    </row>
    <row r="15009" spans="1:1" ht="46.5" customHeight="1" x14ac:dyDescent="0.25">
      <c r="A15009" s="1"/>
    </row>
    <row r="15010" spans="1:1" ht="46.5" customHeight="1" x14ac:dyDescent="0.25">
      <c r="A15010" s="1"/>
    </row>
    <row r="15011" spans="1:1" ht="46.5" customHeight="1" x14ac:dyDescent="0.25">
      <c r="A15011" s="1"/>
    </row>
    <row r="15012" spans="1:1" ht="46.5" customHeight="1" x14ac:dyDescent="0.25">
      <c r="A15012" s="1"/>
    </row>
    <row r="15013" spans="1:1" ht="46.5" customHeight="1" x14ac:dyDescent="0.25">
      <c r="A15013" s="1"/>
    </row>
    <row r="15014" spans="1:1" ht="46.5" customHeight="1" x14ac:dyDescent="0.25">
      <c r="A15014" s="1"/>
    </row>
    <row r="15015" spans="1:1" ht="46.5" customHeight="1" x14ac:dyDescent="0.25">
      <c r="A15015" s="1"/>
    </row>
    <row r="15016" spans="1:1" ht="46.5" customHeight="1" x14ac:dyDescent="0.25">
      <c r="A15016" s="1"/>
    </row>
    <row r="15017" spans="1:1" ht="46.5" customHeight="1" x14ac:dyDescent="0.25">
      <c r="A15017" s="1"/>
    </row>
    <row r="15018" spans="1:1" ht="46.5" customHeight="1" x14ac:dyDescent="0.25">
      <c r="A15018" s="1"/>
    </row>
    <row r="15019" spans="1:1" ht="46.5" customHeight="1" x14ac:dyDescent="0.25">
      <c r="A15019" s="1"/>
    </row>
    <row r="15020" spans="1:1" ht="46.5" customHeight="1" x14ac:dyDescent="0.25">
      <c r="A15020" s="1"/>
    </row>
    <row r="15021" spans="1:1" ht="46.5" customHeight="1" x14ac:dyDescent="0.25">
      <c r="A15021" s="1"/>
    </row>
    <row r="15022" spans="1:1" ht="46.5" customHeight="1" x14ac:dyDescent="0.25">
      <c r="A15022" s="1"/>
    </row>
    <row r="15023" spans="1:1" ht="46.5" customHeight="1" x14ac:dyDescent="0.25">
      <c r="A15023" s="1"/>
    </row>
    <row r="15024" spans="1:1" ht="46.5" customHeight="1" x14ac:dyDescent="0.25">
      <c r="A15024" s="1"/>
    </row>
    <row r="15025" spans="1:1" ht="46.5" customHeight="1" x14ac:dyDescent="0.25">
      <c r="A15025" s="1"/>
    </row>
    <row r="15026" spans="1:1" ht="46.5" customHeight="1" x14ac:dyDescent="0.25">
      <c r="A15026" s="1"/>
    </row>
    <row r="15027" spans="1:1" ht="46.5" customHeight="1" x14ac:dyDescent="0.25">
      <c r="A15027" s="1"/>
    </row>
    <row r="15028" spans="1:1" ht="46.5" customHeight="1" x14ac:dyDescent="0.25">
      <c r="A15028" s="1"/>
    </row>
    <row r="15029" spans="1:1" ht="46.5" customHeight="1" x14ac:dyDescent="0.25">
      <c r="A15029" s="1"/>
    </row>
    <row r="15030" spans="1:1" ht="46.5" customHeight="1" x14ac:dyDescent="0.25">
      <c r="A15030" s="1"/>
    </row>
    <row r="15031" spans="1:1" ht="46.5" customHeight="1" x14ac:dyDescent="0.25">
      <c r="A15031" s="1"/>
    </row>
    <row r="15032" spans="1:1" ht="46.5" customHeight="1" x14ac:dyDescent="0.25">
      <c r="A15032" s="1"/>
    </row>
    <row r="15033" spans="1:1" ht="46.5" customHeight="1" x14ac:dyDescent="0.25">
      <c r="A15033" s="1"/>
    </row>
    <row r="15034" spans="1:1" ht="46.5" customHeight="1" x14ac:dyDescent="0.25">
      <c r="A15034" s="1"/>
    </row>
    <row r="15035" spans="1:1" ht="46.5" customHeight="1" x14ac:dyDescent="0.25">
      <c r="A15035" s="1"/>
    </row>
    <row r="15036" spans="1:1" ht="46.5" customHeight="1" x14ac:dyDescent="0.25">
      <c r="A15036" s="1"/>
    </row>
    <row r="15037" spans="1:1" ht="46.5" customHeight="1" x14ac:dyDescent="0.25">
      <c r="A15037" s="1"/>
    </row>
    <row r="15038" spans="1:1" ht="46.5" customHeight="1" x14ac:dyDescent="0.25">
      <c r="A15038" s="1"/>
    </row>
    <row r="15039" spans="1:1" ht="46.5" customHeight="1" x14ac:dyDescent="0.25">
      <c r="A15039" s="1"/>
    </row>
    <row r="15040" spans="1:1" ht="46.5" customHeight="1" x14ac:dyDescent="0.25">
      <c r="A15040" s="1"/>
    </row>
    <row r="15041" spans="1:1" ht="46.5" customHeight="1" x14ac:dyDescent="0.25">
      <c r="A15041" s="1"/>
    </row>
    <row r="15042" spans="1:1" ht="46.5" customHeight="1" x14ac:dyDescent="0.25">
      <c r="A15042" s="1"/>
    </row>
    <row r="15043" spans="1:1" ht="46.5" customHeight="1" x14ac:dyDescent="0.25">
      <c r="A15043" s="1"/>
    </row>
    <row r="15044" spans="1:1" ht="46.5" customHeight="1" x14ac:dyDescent="0.25">
      <c r="A15044" s="1"/>
    </row>
    <row r="15045" spans="1:1" ht="46.5" customHeight="1" x14ac:dyDescent="0.25">
      <c r="A15045" s="1"/>
    </row>
    <row r="15046" spans="1:1" ht="46.5" customHeight="1" x14ac:dyDescent="0.25">
      <c r="A15046" s="1"/>
    </row>
    <row r="15047" spans="1:1" ht="46.5" customHeight="1" x14ac:dyDescent="0.25">
      <c r="A15047" s="1"/>
    </row>
    <row r="15048" spans="1:1" ht="46.5" customHeight="1" x14ac:dyDescent="0.25">
      <c r="A15048" s="1"/>
    </row>
    <row r="15049" spans="1:1" ht="46.5" customHeight="1" x14ac:dyDescent="0.25">
      <c r="A15049" s="1"/>
    </row>
    <row r="15050" spans="1:1" ht="46.5" customHeight="1" x14ac:dyDescent="0.25">
      <c r="A15050" s="1"/>
    </row>
    <row r="15051" spans="1:1" ht="46.5" customHeight="1" x14ac:dyDescent="0.25">
      <c r="A15051" s="1"/>
    </row>
    <row r="15052" spans="1:1" ht="46.5" customHeight="1" x14ac:dyDescent="0.25">
      <c r="A15052" s="1"/>
    </row>
    <row r="15053" spans="1:1" ht="46.5" customHeight="1" x14ac:dyDescent="0.25">
      <c r="A15053" s="1"/>
    </row>
    <row r="15054" spans="1:1" ht="46.5" customHeight="1" x14ac:dyDescent="0.25">
      <c r="A15054" s="1"/>
    </row>
    <row r="15055" spans="1:1" ht="46.5" customHeight="1" x14ac:dyDescent="0.25">
      <c r="A15055" s="1"/>
    </row>
    <row r="15056" spans="1:1" ht="46.5" customHeight="1" x14ac:dyDescent="0.25">
      <c r="A15056" s="1"/>
    </row>
    <row r="15057" spans="1:1" ht="46.5" customHeight="1" x14ac:dyDescent="0.25">
      <c r="A15057" s="1"/>
    </row>
    <row r="15058" spans="1:1" ht="46.5" customHeight="1" x14ac:dyDescent="0.25">
      <c r="A15058" s="1"/>
    </row>
    <row r="15059" spans="1:1" ht="46.5" customHeight="1" x14ac:dyDescent="0.25">
      <c r="A15059" s="1"/>
    </row>
    <row r="15060" spans="1:1" ht="46.5" customHeight="1" x14ac:dyDescent="0.25">
      <c r="A15060" s="1"/>
    </row>
    <row r="15061" spans="1:1" ht="46.5" customHeight="1" x14ac:dyDescent="0.25">
      <c r="A15061" s="1"/>
    </row>
    <row r="15062" spans="1:1" ht="46.5" customHeight="1" x14ac:dyDescent="0.25">
      <c r="A15062" s="1"/>
    </row>
    <row r="15063" spans="1:1" ht="46.5" customHeight="1" x14ac:dyDescent="0.25">
      <c r="A15063" s="1"/>
    </row>
    <row r="15064" spans="1:1" ht="46.5" customHeight="1" x14ac:dyDescent="0.25">
      <c r="A15064" s="1"/>
    </row>
    <row r="15065" spans="1:1" ht="46.5" customHeight="1" x14ac:dyDescent="0.25">
      <c r="A15065" s="1"/>
    </row>
    <row r="15066" spans="1:1" ht="46.5" customHeight="1" x14ac:dyDescent="0.25">
      <c r="A15066" s="1"/>
    </row>
    <row r="15067" spans="1:1" ht="46.5" customHeight="1" x14ac:dyDescent="0.25">
      <c r="A15067" s="1"/>
    </row>
    <row r="15068" spans="1:1" ht="46.5" customHeight="1" x14ac:dyDescent="0.25">
      <c r="A15068" s="1"/>
    </row>
    <row r="15069" spans="1:1" ht="46.5" customHeight="1" x14ac:dyDescent="0.25">
      <c r="A15069" s="1"/>
    </row>
    <row r="15070" spans="1:1" ht="46.5" customHeight="1" x14ac:dyDescent="0.25">
      <c r="A15070" s="1"/>
    </row>
    <row r="15071" spans="1:1" ht="46.5" customHeight="1" x14ac:dyDescent="0.25">
      <c r="A15071" s="1"/>
    </row>
    <row r="15072" spans="1:1" ht="46.5" customHeight="1" x14ac:dyDescent="0.25">
      <c r="A15072" s="1"/>
    </row>
    <row r="15073" spans="1:1" ht="46.5" customHeight="1" x14ac:dyDescent="0.25">
      <c r="A15073" s="1"/>
    </row>
    <row r="15074" spans="1:1" ht="46.5" customHeight="1" x14ac:dyDescent="0.25">
      <c r="A15074" s="1"/>
    </row>
    <row r="15075" spans="1:1" ht="46.5" customHeight="1" x14ac:dyDescent="0.25">
      <c r="A15075" s="1"/>
    </row>
    <row r="15076" spans="1:1" ht="46.5" customHeight="1" x14ac:dyDescent="0.25">
      <c r="A15076" s="1"/>
    </row>
    <row r="15077" spans="1:1" ht="46.5" customHeight="1" x14ac:dyDescent="0.25">
      <c r="A15077" s="1"/>
    </row>
    <row r="15078" spans="1:1" ht="46.5" customHeight="1" x14ac:dyDescent="0.25">
      <c r="A15078" s="1"/>
    </row>
    <row r="15079" spans="1:1" ht="46.5" customHeight="1" x14ac:dyDescent="0.25">
      <c r="A15079" s="1"/>
    </row>
    <row r="15080" spans="1:1" ht="46.5" customHeight="1" x14ac:dyDescent="0.25">
      <c r="A15080" s="1"/>
    </row>
    <row r="15081" spans="1:1" ht="46.5" customHeight="1" x14ac:dyDescent="0.25">
      <c r="A15081" s="1"/>
    </row>
    <row r="15082" spans="1:1" ht="46.5" customHeight="1" x14ac:dyDescent="0.25">
      <c r="A15082" s="1"/>
    </row>
    <row r="15083" spans="1:1" ht="46.5" customHeight="1" x14ac:dyDescent="0.25">
      <c r="A15083" s="1"/>
    </row>
    <row r="15084" spans="1:1" ht="46.5" customHeight="1" x14ac:dyDescent="0.25">
      <c r="A15084" s="1"/>
    </row>
    <row r="15085" spans="1:1" ht="46.5" customHeight="1" x14ac:dyDescent="0.25">
      <c r="A15085" s="1"/>
    </row>
    <row r="15086" spans="1:1" ht="46.5" customHeight="1" x14ac:dyDescent="0.25">
      <c r="A15086" s="1"/>
    </row>
    <row r="15087" spans="1:1" ht="46.5" customHeight="1" x14ac:dyDescent="0.25">
      <c r="A15087" s="1"/>
    </row>
    <row r="15088" spans="1:1" ht="46.5" customHeight="1" x14ac:dyDescent="0.25">
      <c r="A15088" s="1"/>
    </row>
    <row r="15089" spans="1:1" ht="46.5" customHeight="1" x14ac:dyDescent="0.25">
      <c r="A15089" s="1"/>
    </row>
    <row r="15090" spans="1:1" ht="46.5" customHeight="1" x14ac:dyDescent="0.25">
      <c r="A15090" s="1"/>
    </row>
    <row r="15091" spans="1:1" ht="46.5" customHeight="1" x14ac:dyDescent="0.25">
      <c r="A15091" s="1"/>
    </row>
    <row r="15092" spans="1:1" ht="46.5" customHeight="1" x14ac:dyDescent="0.25">
      <c r="A15092" s="1"/>
    </row>
    <row r="15093" spans="1:1" ht="46.5" customHeight="1" x14ac:dyDescent="0.25">
      <c r="A15093" s="1"/>
    </row>
    <row r="15094" spans="1:1" ht="46.5" customHeight="1" x14ac:dyDescent="0.25">
      <c r="A15094" s="1"/>
    </row>
    <row r="15095" spans="1:1" ht="46.5" customHeight="1" x14ac:dyDescent="0.25">
      <c r="A15095" s="1"/>
    </row>
    <row r="15096" spans="1:1" ht="46.5" customHeight="1" x14ac:dyDescent="0.25">
      <c r="A15096" s="1"/>
    </row>
    <row r="15097" spans="1:1" ht="46.5" customHeight="1" x14ac:dyDescent="0.25">
      <c r="A15097" s="1"/>
    </row>
    <row r="15098" spans="1:1" ht="46.5" customHeight="1" x14ac:dyDescent="0.25">
      <c r="A15098" s="1"/>
    </row>
    <row r="15099" spans="1:1" ht="46.5" customHeight="1" x14ac:dyDescent="0.25">
      <c r="A15099" s="1"/>
    </row>
    <row r="15100" spans="1:1" ht="46.5" customHeight="1" x14ac:dyDescent="0.25">
      <c r="A15100" s="1"/>
    </row>
    <row r="15101" spans="1:1" ht="46.5" customHeight="1" x14ac:dyDescent="0.25">
      <c r="A15101" s="1"/>
    </row>
    <row r="15102" spans="1:1" ht="46.5" customHeight="1" x14ac:dyDescent="0.25">
      <c r="A15102" s="1"/>
    </row>
    <row r="15103" spans="1:1" ht="46.5" customHeight="1" x14ac:dyDescent="0.25">
      <c r="A15103" s="1"/>
    </row>
    <row r="15104" spans="1:1" ht="46.5" customHeight="1" x14ac:dyDescent="0.25">
      <c r="A15104" s="1"/>
    </row>
    <row r="15105" spans="1:1" ht="46.5" customHeight="1" x14ac:dyDescent="0.25">
      <c r="A15105" s="1"/>
    </row>
    <row r="15106" spans="1:1" ht="46.5" customHeight="1" x14ac:dyDescent="0.25">
      <c r="A15106" s="1"/>
    </row>
    <row r="15107" spans="1:1" ht="46.5" customHeight="1" x14ac:dyDescent="0.25">
      <c r="A15107" s="1"/>
    </row>
    <row r="15108" spans="1:1" ht="46.5" customHeight="1" x14ac:dyDescent="0.25">
      <c r="A15108" s="1"/>
    </row>
    <row r="15109" spans="1:1" ht="46.5" customHeight="1" x14ac:dyDescent="0.25">
      <c r="A15109" s="1"/>
    </row>
    <row r="15110" spans="1:1" ht="46.5" customHeight="1" x14ac:dyDescent="0.25">
      <c r="A15110" s="1"/>
    </row>
    <row r="15111" spans="1:1" ht="46.5" customHeight="1" x14ac:dyDescent="0.25">
      <c r="A15111" s="1"/>
    </row>
    <row r="15112" spans="1:1" ht="46.5" customHeight="1" x14ac:dyDescent="0.25">
      <c r="A15112" s="1"/>
    </row>
    <row r="15113" spans="1:1" ht="46.5" customHeight="1" x14ac:dyDescent="0.25">
      <c r="A15113" s="1"/>
    </row>
    <row r="15114" spans="1:1" ht="46.5" customHeight="1" x14ac:dyDescent="0.25">
      <c r="A15114" s="1"/>
    </row>
    <row r="15115" spans="1:1" ht="46.5" customHeight="1" x14ac:dyDescent="0.25">
      <c r="A15115" s="1"/>
    </row>
    <row r="15116" spans="1:1" ht="46.5" customHeight="1" x14ac:dyDescent="0.25">
      <c r="A15116" s="1"/>
    </row>
    <row r="15117" spans="1:1" ht="46.5" customHeight="1" x14ac:dyDescent="0.25">
      <c r="A15117" s="1"/>
    </row>
    <row r="15118" spans="1:1" ht="46.5" customHeight="1" x14ac:dyDescent="0.25">
      <c r="A15118" s="1"/>
    </row>
    <row r="15119" spans="1:1" ht="46.5" customHeight="1" x14ac:dyDescent="0.25">
      <c r="A15119" s="1"/>
    </row>
    <row r="15120" spans="1:1" ht="46.5" customHeight="1" x14ac:dyDescent="0.25">
      <c r="A15120" s="1"/>
    </row>
    <row r="15121" spans="1:1" ht="46.5" customHeight="1" x14ac:dyDescent="0.25">
      <c r="A15121" s="1"/>
    </row>
    <row r="15122" spans="1:1" ht="46.5" customHeight="1" x14ac:dyDescent="0.25">
      <c r="A15122" s="1"/>
    </row>
    <row r="15123" spans="1:1" ht="46.5" customHeight="1" x14ac:dyDescent="0.25">
      <c r="A15123" s="1"/>
    </row>
    <row r="15124" spans="1:1" ht="46.5" customHeight="1" x14ac:dyDescent="0.25">
      <c r="A15124" s="1"/>
    </row>
    <row r="15125" spans="1:1" ht="46.5" customHeight="1" x14ac:dyDescent="0.25">
      <c r="A15125" s="1"/>
    </row>
    <row r="15126" spans="1:1" ht="46.5" customHeight="1" x14ac:dyDescent="0.25">
      <c r="A15126" s="1"/>
    </row>
    <row r="15127" spans="1:1" ht="46.5" customHeight="1" x14ac:dyDescent="0.25">
      <c r="A15127" s="1"/>
    </row>
    <row r="15128" spans="1:1" ht="46.5" customHeight="1" x14ac:dyDescent="0.25">
      <c r="A15128" s="1"/>
    </row>
    <row r="15129" spans="1:1" ht="46.5" customHeight="1" x14ac:dyDescent="0.25">
      <c r="A15129" s="1"/>
    </row>
    <row r="15130" spans="1:1" ht="46.5" customHeight="1" x14ac:dyDescent="0.25">
      <c r="A15130" s="1"/>
    </row>
    <row r="15131" spans="1:1" ht="46.5" customHeight="1" x14ac:dyDescent="0.25">
      <c r="A15131" s="1"/>
    </row>
    <row r="15132" spans="1:1" ht="46.5" customHeight="1" x14ac:dyDescent="0.25">
      <c r="A15132" s="1"/>
    </row>
    <row r="15133" spans="1:1" ht="46.5" customHeight="1" x14ac:dyDescent="0.25">
      <c r="A15133" s="1"/>
    </row>
    <row r="15134" spans="1:1" ht="46.5" customHeight="1" x14ac:dyDescent="0.25">
      <c r="A15134" s="1"/>
    </row>
    <row r="15135" spans="1:1" ht="46.5" customHeight="1" x14ac:dyDescent="0.25">
      <c r="A15135" s="1"/>
    </row>
    <row r="15136" spans="1:1" ht="46.5" customHeight="1" x14ac:dyDescent="0.25">
      <c r="A15136" s="1"/>
    </row>
    <row r="15137" spans="1:1" ht="46.5" customHeight="1" x14ac:dyDescent="0.25">
      <c r="A15137" s="1"/>
    </row>
    <row r="15138" spans="1:1" ht="46.5" customHeight="1" x14ac:dyDescent="0.25">
      <c r="A15138" s="1"/>
    </row>
    <row r="15139" spans="1:1" ht="46.5" customHeight="1" x14ac:dyDescent="0.25">
      <c r="A15139" s="1"/>
    </row>
    <row r="15140" spans="1:1" ht="46.5" customHeight="1" x14ac:dyDescent="0.25">
      <c r="A15140" s="1"/>
    </row>
    <row r="15141" spans="1:1" ht="46.5" customHeight="1" x14ac:dyDescent="0.25">
      <c r="A15141" s="1"/>
    </row>
    <row r="15142" spans="1:1" ht="46.5" customHeight="1" x14ac:dyDescent="0.25">
      <c r="A15142" s="1"/>
    </row>
    <row r="15143" spans="1:1" ht="46.5" customHeight="1" x14ac:dyDescent="0.25">
      <c r="A15143" s="1"/>
    </row>
    <row r="15144" spans="1:1" ht="46.5" customHeight="1" x14ac:dyDescent="0.25">
      <c r="A15144" s="1"/>
    </row>
    <row r="15145" spans="1:1" ht="46.5" customHeight="1" x14ac:dyDescent="0.25">
      <c r="A15145" s="1"/>
    </row>
    <row r="15146" spans="1:1" ht="46.5" customHeight="1" x14ac:dyDescent="0.25">
      <c r="A15146" s="1"/>
    </row>
    <row r="15147" spans="1:1" ht="46.5" customHeight="1" x14ac:dyDescent="0.25">
      <c r="A15147" s="1"/>
    </row>
    <row r="15148" spans="1:1" ht="46.5" customHeight="1" x14ac:dyDescent="0.25">
      <c r="A15148" s="1"/>
    </row>
    <row r="15149" spans="1:1" ht="46.5" customHeight="1" x14ac:dyDescent="0.25">
      <c r="A15149" s="1"/>
    </row>
    <row r="15150" spans="1:1" ht="46.5" customHeight="1" x14ac:dyDescent="0.25">
      <c r="A15150" s="1"/>
    </row>
    <row r="15151" spans="1:1" ht="46.5" customHeight="1" x14ac:dyDescent="0.25">
      <c r="A15151" s="1"/>
    </row>
    <row r="15152" spans="1:1" ht="46.5" customHeight="1" x14ac:dyDescent="0.25">
      <c r="A15152" s="1"/>
    </row>
    <row r="15153" spans="1:1" ht="46.5" customHeight="1" x14ac:dyDescent="0.25">
      <c r="A15153" s="1"/>
    </row>
    <row r="15154" spans="1:1" ht="46.5" customHeight="1" x14ac:dyDescent="0.25">
      <c r="A15154" s="1"/>
    </row>
    <row r="15155" spans="1:1" ht="46.5" customHeight="1" x14ac:dyDescent="0.25">
      <c r="A15155" s="1"/>
    </row>
    <row r="15156" spans="1:1" ht="46.5" customHeight="1" x14ac:dyDescent="0.25">
      <c r="A15156" s="1"/>
    </row>
    <row r="15157" spans="1:1" ht="46.5" customHeight="1" x14ac:dyDescent="0.25">
      <c r="A15157" s="1"/>
    </row>
    <row r="15158" spans="1:1" ht="46.5" customHeight="1" x14ac:dyDescent="0.25">
      <c r="A15158" s="1"/>
    </row>
    <row r="15159" spans="1:1" ht="46.5" customHeight="1" x14ac:dyDescent="0.25">
      <c r="A15159" s="1"/>
    </row>
    <row r="15160" spans="1:1" ht="46.5" customHeight="1" x14ac:dyDescent="0.25">
      <c r="A15160" s="1"/>
    </row>
    <row r="15161" spans="1:1" ht="46.5" customHeight="1" x14ac:dyDescent="0.25">
      <c r="A15161" s="1"/>
    </row>
    <row r="15162" spans="1:1" ht="46.5" customHeight="1" x14ac:dyDescent="0.25">
      <c r="A15162" s="1"/>
    </row>
    <row r="15163" spans="1:1" ht="46.5" customHeight="1" x14ac:dyDescent="0.25">
      <c r="A15163" s="1"/>
    </row>
    <row r="15164" spans="1:1" ht="46.5" customHeight="1" x14ac:dyDescent="0.25">
      <c r="A15164" s="1"/>
    </row>
    <row r="15165" spans="1:1" ht="46.5" customHeight="1" x14ac:dyDescent="0.25">
      <c r="A15165" s="1"/>
    </row>
    <row r="15166" spans="1:1" ht="46.5" customHeight="1" x14ac:dyDescent="0.25">
      <c r="A15166" s="1"/>
    </row>
    <row r="15167" spans="1:1" ht="46.5" customHeight="1" x14ac:dyDescent="0.25">
      <c r="A15167" s="1"/>
    </row>
    <row r="15168" spans="1:1" ht="46.5" customHeight="1" x14ac:dyDescent="0.25">
      <c r="A15168" s="1"/>
    </row>
    <row r="15169" spans="1:1" ht="46.5" customHeight="1" x14ac:dyDescent="0.25">
      <c r="A15169" s="1"/>
    </row>
    <row r="15170" spans="1:1" ht="46.5" customHeight="1" x14ac:dyDescent="0.25">
      <c r="A15170" s="1"/>
    </row>
    <row r="15171" spans="1:1" ht="46.5" customHeight="1" x14ac:dyDescent="0.25">
      <c r="A15171" s="1"/>
    </row>
    <row r="15172" spans="1:1" ht="46.5" customHeight="1" x14ac:dyDescent="0.25">
      <c r="A15172" s="1"/>
    </row>
    <row r="15173" spans="1:1" ht="46.5" customHeight="1" x14ac:dyDescent="0.25">
      <c r="A15173" s="1"/>
    </row>
    <row r="15174" spans="1:1" ht="46.5" customHeight="1" x14ac:dyDescent="0.25">
      <c r="A15174" s="1"/>
    </row>
    <row r="15175" spans="1:1" ht="46.5" customHeight="1" x14ac:dyDescent="0.25">
      <c r="A15175" s="1"/>
    </row>
    <row r="15176" spans="1:1" ht="46.5" customHeight="1" x14ac:dyDescent="0.25">
      <c r="A15176" s="1"/>
    </row>
    <row r="15177" spans="1:1" ht="46.5" customHeight="1" x14ac:dyDescent="0.25">
      <c r="A15177" s="1"/>
    </row>
    <row r="15178" spans="1:1" ht="46.5" customHeight="1" x14ac:dyDescent="0.25">
      <c r="A15178" s="1"/>
    </row>
    <row r="15179" spans="1:1" ht="46.5" customHeight="1" x14ac:dyDescent="0.25">
      <c r="A15179" s="1"/>
    </row>
    <row r="15180" spans="1:1" ht="46.5" customHeight="1" x14ac:dyDescent="0.25">
      <c r="A15180" s="1"/>
    </row>
    <row r="15181" spans="1:1" ht="46.5" customHeight="1" x14ac:dyDescent="0.25">
      <c r="A15181" s="1"/>
    </row>
    <row r="15182" spans="1:1" ht="46.5" customHeight="1" x14ac:dyDescent="0.25">
      <c r="A15182" s="1"/>
    </row>
    <row r="15183" spans="1:1" ht="46.5" customHeight="1" x14ac:dyDescent="0.25">
      <c r="A15183" s="1"/>
    </row>
    <row r="15184" spans="1:1" ht="46.5" customHeight="1" x14ac:dyDescent="0.25">
      <c r="A15184" s="1"/>
    </row>
    <row r="15185" spans="1:1" ht="46.5" customHeight="1" x14ac:dyDescent="0.25">
      <c r="A15185" s="1"/>
    </row>
    <row r="15186" spans="1:1" ht="46.5" customHeight="1" x14ac:dyDescent="0.25">
      <c r="A15186" s="1"/>
    </row>
    <row r="15187" spans="1:1" ht="46.5" customHeight="1" x14ac:dyDescent="0.25">
      <c r="A15187" s="1"/>
    </row>
    <row r="15188" spans="1:1" ht="46.5" customHeight="1" x14ac:dyDescent="0.25">
      <c r="A15188" s="1"/>
    </row>
    <row r="15189" spans="1:1" ht="46.5" customHeight="1" x14ac:dyDescent="0.25">
      <c r="A15189" s="1"/>
    </row>
    <row r="15190" spans="1:1" ht="46.5" customHeight="1" x14ac:dyDescent="0.25">
      <c r="A15190" s="1"/>
    </row>
    <row r="15191" spans="1:1" ht="46.5" customHeight="1" x14ac:dyDescent="0.25">
      <c r="A15191" s="1"/>
    </row>
    <row r="15192" spans="1:1" ht="46.5" customHeight="1" x14ac:dyDescent="0.25">
      <c r="A15192" s="1"/>
    </row>
    <row r="15193" spans="1:1" ht="46.5" customHeight="1" x14ac:dyDescent="0.25">
      <c r="A15193" s="1"/>
    </row>
    <row r="15194" spans="1:1" ht="46.5" customHeight="1" x14ac:dyDescent="0.25">
      <c r="A15194" s="1"/>
    </row>
    <row r="15195" spans="1:1" ht="46.5" customHeight="1" x14ac:dyDescent="0.25">
      <c r="A15195" s="1"/>
    </row>
    <row r="15196" spans="1:1" ht="46.5" customHeight="1" x14ac:dyDescent="0.25">
      <c r="A15196" s="1"/>
    </row>
    <row r="15197" spans="1:1" ht="46.5" customHeight="1" x14ac:dyDescent="0.25">
      <c r="A15197" s="1"/>
    </row>
    <row r="15198" spans="1:1" ht="46.5" customHeight="1" x14ac:dyDescent="0.25">
      <c r="A15198" s="1"/>
    </row>
    <row r="15199" spans="1:1" ht="46.5" customHeight="1" x14ac:dyDescent="0.25">
      <c r="A15199" s="1"/>
    </row>
    <row r="15200" spans="1:1" ht="46.5" customHeight="1" x14ac:dyDescent="0.25">
      <c r="A15200" s="1"/>
    </row>
    <row r="15201" spans="1:1" ht="46.5" customHeight="1" x14ac:dyDescent="0.25">
      <c r="A15201" s="1"/>
    </row>
    <row r="15202" spans="1:1" ht="46.5" customHeight="1" x14ac:dyDescent="0.25">
      <c r="A15202" s="1"/>
    </row>
    <row r="15203" spans="1:1" ht="46.5" customHeight="1" x14ac:dyDescent="0.25">
      <c r="A15203" s="1"/>
    </row>
    <row r="15204" spans="1:1" ht="46.5" customHeight="1" x14ac:dyDescent="0.25">
      <c r="A15204" s="1"/>
    </row>
    <row r="15205" spans="1:1" ht="46.5" customHeight="1" x14ac:dyDescent="0.25">
      <c r="A15205" s="1"/>
    </row>
    <row r="15206" spans="1:1" ht="46.5" customHeight="1" x14ac:dyDescent="0.25">
      <c r="A15206" s="1"/>
    </row>
    <row r="15207" spans="1:1" ht="46.5" customHeight="1" x14ac:dyDescent="0.25">
      <c r="A15207" s="1"/>
    </row>
    <row r="15208" spans="1:1" ht="46.5" customHeight="1" x14ac:dyDescent="0.25">
      <c r="A15208" s="1"/>
    </row>
    <row r="15209" spans="1:1" ht="46.5" customHeight="1" x14ac:dyDescent="0.25">
      <c r="A15209" s="1"/>
    </row>
    <row r="15210" spans="1:1" ht="46.5" customHeight="1" x14ac:dyDescent="0.25">
      <c r="A15210" s="1"/>
    </row>
    <row r="15211" spans="1:1" ht="46.5" customHeight="1" x14ac:dyDescent="0.25">
      <c r="A15211" s="1"/>
    </row>
    <row r="15212" spans="1:1" ht="46.5" customHeight="1" x14ac:dyDescent="0.25">
      <c r="A15212" s="1"/>
    </row>
    <row r="15213" spans="1:1" ht="46.5" customHeight="1" x14ac:dyDescent="0.25">
      <c r="A15213" s="1"/>
    </row>
    <row r="15214" spans="1:1" ht="46.5" customHeight="1" x14ac:dyDescent="0.25">
      <c r="A15214" s="1"/>
    </row>
    <row r="15215" spans="1:1" ht="46.5" customHeight="1" x14ac:dyDescent="0.25">
      <c r="A15215" s="1"/>
    </row>
    <row r="15216" spans="1:1" ht="46.5" customHeight="1" x14ac:dyDescent="0.25">
      <c r="A15216" s="1"/>
    </row>
    <row r="15217" spans="1:1" ht="46.5" customHeight="1" x14ac:dyDescent="0.25">
      <c r="A15217" s="1"/>
    </row>
    <row r="15218" spans="1:1" ht="46.5" customHeight="1" x14ac:dyDescent="0.25">
      <c r="A15218" s="1"/>
    </row>
    <row r="15219" spans="1:1" ht="46.5" customHeight="1" x14ac:dyDescent="0.25">
      <c r="A15219" s="1"/>
    </row>
    <row r="15220" spans="1:1" ht="46.5" customHeight="1" x14ac:dyDescent="0.25">
      <c r="A15220" s="1"/>
    </row>
    <row r="15221" spans="1:1" ht="46.5" customHeight="1" x14ac:dyDescent="0.25">
      <c r="A15221" s="1"/>
    </row>
    <row r="15222" spans="1:1" ht="46.5" customHeight="1" x14ac:dyDescent="0.25">
      <c r="A15222" s="1"/>
    </row>
    <row r="15223" spans="1:1" ht="46.5" customHeight="1" x14ac:dyDescent="0.25">
      <c r="A15223" s="1"/>
    </row>
    <row r="15224" spans="1:1" ht="46.5" customHeight="1" x14ac:dyDescent="0.25">
      <c r="A15224" s="1"/>
    </row>
    <row r="15225" spans="1:1" ht="46.5" customHeight="1" x14ac:dyDescent="0.25">
      <c r="A15225" s="1"/>
    </row>
    <row r="15226" spans="1:1" ht="46.5" customHeight="1" x14ac:dyDescent="0.25">
      <c r="A15226" s="1"/>
    </row>
    <row r="15227" spans="1:1" ht="46.5" customHeight="1" x14ac:dyDescent="0.25">
      <c r="A15227" s="1"/>
    </row>
    <row r="15228" spans="1:1" ht="46.5" customHeight="1" x14ac:dyDescent="0.25">
      <c r="A15228" s="1"/>
    </row>
    <row r="15229" spans="1:1" ht="46.5" customHeight="1" x14ac:dyDescent="0.25">
      <c r="A15229" s="1"/>
    </row>
    <row r="15230" spans="1:1" ht="46.5" customHeight="1" x14ac:dyDescent="0.25">
      <c r="A15230" s="1"/>
    </row>
    <row r="15231" spans="1:1" ht="46.5" customHeight="1" x14ac:dyDescent="0.25">
      <c r="A15231" s="1"/>
    </row>
    <row r="15232" spans="1:1" ht="46.5" customHeight="1" x14ac:dyDescent="0.25">
      <c r="A15232" s="1"/>
    </row>
    <row r="15233" spans="1:1" ht="46.5" customHeight="1" x14ac:dyDescent="0.25">
      <c r="A15233" s="1"/>
    </row>
    <row r="15234" spans="1:1" ht="46.5" customHeight="1" x14ac:dyDescent="0.25">
      <c r="A15234" s="1"/>
    </row>
    <row r="15235" spans="1:1" ht="46.5" customHeight="1" x14ac:dyDescent="0.25">
      <c r="A15235" s="1"/>
    </row>
    <row r="15236" spans="1:1" ht="46.5" customHeight="1" x14ac:dyDescent="0.25">
      <c r="A15236" s="1"/>
    </row>
    <row r="15237" spans="1:1" ht="46.5" customHeight="1" x14ac:dyDescent="0.25">
      <c r="A15237" s="1"/>
    </row>
    <row r="15238" spans="1:1" ht="46.5" customHeight="1" x14ac:dyDescent="0.25">
      <c r="A15238" s="1"/>
    </row>
    <row r="15239" spans="1:1" ht="46.5" customHeight="1" x14ac:dyDescent="0.25">
      <c r="A15239" s="1"/>
    </row>
    <row r="15240" spans="1:1" ht="46.5" customHeight="1" x14ac:dyDescent="0.25">
      <c r="A15240" s="1"/>
    </row>
    <row r="15241" spans="1:1" ht="46.5" customHeight="1" x14ac:dyDescent="0.25">
      <c r="A15241" s="1"/>
    </row>
    <row r="15242" spans="1:1" ht="46.5" customHeight="1" x14ac:dyDescent="0.25">
      <c r="A15242" s="1"/>
    </row>
    <row r="15243" spans="1:1" ht="46.5" customHeight="1" x14ac:dyDescent="0.25">
      <c r="A15243" s="1"/>
    </row>
    <row r="15244" spans="1:1" ht="46.5" customHeight="1" x14ac:dyDescent="0.25">
      <c r="A15244" s="1"/>
    </row>
    <row r="15245" spans="1:1" ht="46.5" customHeight="1" x14ac:dyDescent="0.25">
      <c r="A15245" s="1"/>
    </row>
    <row r="15246" spans="1:1" ht="46.5" customHeight="1" x14ac:dyDescent="0.25">
      <c r="A15246" s="1"/>
    </row>
    <row r="15247" spans="1:1" ht="46.5" customHeight="1" x14ac:dyDescent="0.25">
      <c r="A15247" s="1"/>
    </row>
    <row r="15248" spans="1:1" ht="46.5" customHeight="1" x14ac:dyDescent="0.25">
      <c r="A15248" s="1"/>
    </row>
    <row r="15249" spans="1:1" ht="46.5" customHeight="1" x14ac:dyDescent="0.25">
      <c r="A15249" s="1"/>
    </row>
    <row r="15250" spans="1:1" ht="46.5" customHeight="1" x14ac:dyDescent="0.25">
      <c r="A15250" s="1"/>
    </row>
    <row r="15251" spans="1:1" ht="46.5" customHeight="1" x14ac:dyDescent="0.25">
      <c r="A15251" s="1"/>
    </row>
    <row r="15252" spans="1:1" ht="46.5" customHeight="1" x14ac:dyDescent="0.25">
      <c r="A15252" s="1"/>
    </row>
    <row r="15253" spans="1:1" ht="46.5" customHeight="1" x14ac:dyDescent="0.25">
      <c r="A15253" s="1"/>
    </row>
    <row r="15254" spans="1:1" ht="46.5" customHeight="1" x14ac:dyDescent="0.25">
      <c r="A15254" s="1"/>
    </row>
    <row r="15255" spans="1:1" ht="46.5" customHeight="1" x14ac:dyDescent="0.25">
      <c r="A15255" s="1"/>
    </row>
    <row r="15256" spans="1:1" ht="46.5" customHeight="1" x14ac:dyDescent="0.25">
      <c r="A15256" s="1"/>
    </row>
    <row r="15257" spans="1:1" ht="46.5" customHeight="1" x14ac:dyDescent="0.25">
      <c r="A15257" s="1"/>
    </row>
    <row r="15258" spans="1:1" ht="46.5" customHeight="1" x14ac:dyDescent="0.25">
      <c r="A15258" s="1"/>
    </row>
    <row r="15259" spans="1:1" ht="46.5" customHeight="1" x14ac:dyDescent="0.25">
      <c r="A15259" s="1"/>
    </row>
    <row r="15260" spans="1:1" ht="46.5" customHeight="1" x14ac:dyDescent="0.25">
      <c r="A15260" s="1"/>
    </row>
    <row r="15261" spans="1:1" ht="46.5" customHeight="1" x14ac:dyDescent="0.25">
      <c r="A15261" s="1"/>
    </row>
    <row r="15262" spans="1:1" ht="46.5" customHeight="1" x14ac:dyDescent="0.25">
      <c r="A15262" s="1"/>
    </row>
    <row r="15263" spans="1:1" ht="46.5" customHeight="1" x14ac:dyDescent="0.25">
      <c r="A15263" s="1"/>
    </row>
    <row r="15264" spans="1:1" ht="46.5" customHeight="1" x14ac:dyDescent="0.25">
      <c r="A15264" s="1"/>
    </row>
    <row r="15265" spans="1:1" ht="46.5" customHeight="1" x14ac:dyDescent="0.25">
      <c r="A15265" s="1"/>
    </row>
    <row r="15266" spans="1:1" ht="46.5" customHeight="1" x14ac:dyDescent="0.25">
      <c r="A15266" s="1"/>
    </row>
    <row r="15267" spans="1:1" ht="46.5" customHeight="1" x14ac:dyDescent="0.25">
      <c r="A15267" s="1"/>
    </row>
    <row r="15268" spans="1:1" ht="46.5" customHeight="1" x14ac:dyDescent="0.25">
      <c r="A15268" s="1"/>
    </row>
    <row r="15269" spans="1:1" ht="46.5" customHeight="1" x14ac:dyDescent="0.25">
      <c r="A15269" s="1"/>
    </row>
    <row r="15270" spans="1:1" ht="46.5" customHeight="1" x14ac:dyDescent="0.25">
      <c r="A15270" s="1"/>
    </row>
    <row r="15271" spans="1:1" ht="46.5" customHeight="1" x14ac:dyDescent="0.25">
      <c r="A15271" s="1"/>
    </row>
    <row r="15272" spans="1:1" ht="46.5" customHeight="1" x14ac:dyDescent="0.25">
      <c r="A15272" s="1"/>
    </row>
    <row r="15273" spans="1:1" ht="46.5" customHeight="1" x14ac:dyDescent="0.25">
      <c r="A15273" s="1"/>
    </row>
    <row r="15274" spans="1:1" ht="46.5" customHeight="1" x14ac:dyDescent="0.25">
      <c r="A15274" s="1"/>
    </row>
    <row r="15275" spans="1:1" ht="46.5" customHeight="1" x14ac:dyDescent="0.25">
      <c r="A15275" s="1"/>
    </row>
    <row r="15276" spans="1:1" ht="46.5" customHeight="1" x14ac:dyDescent="0.25">
      <c r="A15276" s="1"/>
    </row>
    <row r="15277" spans="1:1" ht="46.5" customHeight="1" x14ac:dyDescent="0.25">
      <c r="A15277" s="1"/>
    </row>
    <row r="15278" spans="1:1" ht="46.5" customHeight="1" x14ac:dyDescent="0.25">
      <c r="A15278" s="1"/>
    </row>
    <row r="15279" spans="1:1" ht="46.5" customHeight="1" x14ac:dyDescent="0.25">
      <c r="A15279" s="1"/>
    </row>
    <row r="15280" spans="1:1" ht="46.5" customHeight="1" x14ac:dyDescent="0.25">
      <c r="A15280" s="1"/>
    </row>
    <row r="15281" spans="1:1" ht="46.5" customHeight="1" x14ac:dyDescent="0.25">
      <c r="A15281" s="1"/>
    </row>
    <row r="15282" spans="1:1" ht="46.5" customHeight="1" x14ac:dyDescent="0.25">
      <c r="A15282" s="1"/>
    </row>
    <row r="15283" spans="1:1" ht="46.5" customHeight="1" x14ac:dyDescent="0.25">
      <c r="A15283" s="1"/>
    </row>
    <row r="15284" spans="1:1" ht="46.5" customHeight="1" x14ac:dyDescent="0.25">
      <c r="A15284" s="1"/>
    </row>
    <row r="15285" spans="1:1" ht="46.5" customHeight="1" x14ac:dyDescent="0.25">
      <c r="A15285" s="1"/>
    </row>
    <row r="15286" spans="1:1" ht="46.5" customHeight="1" x14ac:dyDescent="0.25">
      <c r="A15286" s="1"/>
    </row>
    <row r="15287" spans="1:1" ht="46.5" customHeight="1" x14ac:dyDescent="0.25">
      <c r="A15287" s="1"/>
    </row>
    <row r="15288" spans="1:1" ht="46.5" customHeight="1" x14ac:dyDescent="0.25">
      <c r="A15288" s="1"/>
    </row>
    <row r="15289" spans="1:1" ht="46.5" customHeight="1" x14ac:dyDescent="0.25">
      <c r="A15289" s="1"/>
    </row>
    <row r="15290" spans="1:1" ht="46.5" customHeight="1" x14ac:dyDescent="0.25">
      <c r="A15290" s="1"/>
    </row>
    <row r="15291" spans="1:1" ht="46.5" customHeight="1" x14ac:dyDescent="0.25">
      <c r="A15291" s="1"/>
    </row>
    <row r="15292" spans="1:1" ht="46.5" customHeight="1" x14ac:dyDescent="0.25">
      <c r="A15292" s="1"/>
    </row>
    <row r="15293" spans="1:1" ht="46.5" customHeight="1" x14ac:dyDescent="0.25">
      <c r="A15293" s="1"/>
    </row>
    <row r="15294" spans="1:1" ht="46.5" customHeight="1" x14ac:dyDescent="0.25">
      <c r="A15294" s="1"/>
    </row>
    <row r="15295" spans="1:1" ht="46.5" customHeight="1" x14ac:dyDescent="0.25">
      <c r="A15295" s="1"/>
    </row>
    <row r="15296" spans="1:1" ht="46.5" customHeight="1" x14ac:dyDescent="0.25">
      <c r="A15296" s="1"/>
    </row>
    <row r="15297" spans="1:1" ht="46.5" customHeight="1" x14ac:dyDescent="0.25">
      <c r="A15297" s="1"/>
    </row>
    <row r="15298" spans="1:1" ht="46.5" customHeight="1" x14ac:dyDescent="0.25">
      <c r="A15298" s="1"/>
    </row>
    <row r="15299" spans="1:1" ht="46.5" customHeight="1" x14ac:dyDescent="0.25">
      <c r="A15299" s="1"/>
    </row>
    <row r="15300" spans="1:1" ht="46.5" customHeight="1" x14ac:dyDescent="0.25">
      <c r="A15300" s="1"/>
    </row>
    <row r="15301" spans="1:1" ht="46.5" customHeight="1" x14ac:dyDescent="0.25">
      <c r="A15301" s="1"/>
    </row>
    <row r="15302" spans="1:1" ht="46.5" customHeight="1" x14ac:dyDescent="0.25">
      <c r="A15302" s="1"/>
    </row>
    <row r="15303" spans="1:1" ht="46.5" customHeight="1" x14ac:dyDescent="0.25">
      <c r="A15303" s="1"/>
    </row>
    <row r="15304" spans="1:1" ht="46.5" customHeight="1" x14ac:dyDescent="0.25">
      <c r="A15304" s="1"/>
    </row>
    <row r="15305" spans="1:1" ht="46.5" customHeight="1" x14ac:dyDescent="0.25">
      <c r="A15305" s="1"/>
    </row>
    <row r="15306" spans="1:1" ht="46.5" customHeight="1" x14ac:dyDescent="0.25">
      <c r="A15306" s="1"/>
    </row>
    <row r="15307" spans="1:1" ht="46.5" customHeight="1" x14ac:dyDescent="0.25">
      <c r="A15307" s="1"/>
    </row>
    <row r="15308" spans="1:1" ht="46.5" customHeight="1" x14ac:dyDescent="0.25">
      <c r="A15308" s="1"/>
    </row>
    <row r="15309" spans="1:1" ht="46.5" customHeight="1" x14ac:dyDescent="0.25">
      <c r="A15309" s="1"/>
    </row>
    <row r="15310" spans="1:1" ht="46.5" customHeight="1" x14ac:dyDescent="0.25">
      <c r="A15310" s="1"/>
    </row>
    <row r="15311" spans="1:1" ht="46.5" customHeight="1" x14ac:dyDescent="0.25">
      <c r="A15311" s="1"/>
    </row>
    <row r="15312" spans="1:1" ht="46.5" customHeight="1" x14ac:dyDescent="0.25">
      <c r="A15312" s="1"/>
    </row>
    <row r="15313" spans="1:1" ht="46.5" customHeight="1" x14ac:dyDescent="0.25">
      <c r="A15313" s="1"/>
    </row>
    <row r="15314" spans="1:1" ht="46.5" customHeight="1" x14ac:dyDescent="0.25">
      <c r="A15314" s="1"/>
    </row>
    <row r="15315" spans="1:1" ht="46.5" customHeight="1" x14ac:dyDescent="0.25">
      <c r="A15315" s="1"/>
    </row>
    <row r="15316" spans="1:1" ht="46.5" customHeight="1" x14ac:dyDescent="0.25">
      <c r="A15316" s="1"/>
    </row>
    <row r="15317" spans="1:1" ht="46.5" customHeight="1" x14ac:dyDescent="0.25">
      <c r="A15317" s="1"/>
    </row>
    <row r="15318" spans="1:1" ht="46.5" customHeight="1" x14ac:dyDescent="0.25">
      <c r="A15318" s="1"/>
    </row>
    <row r="15319" spans="1:1" ht="46.5" customHeight="1" x14ac:dyDescent="0.25">
      <c r="A15319" s="1"/>
    </row>
    <row r="15320" spans="1:1" ht="46.5" customHeight="1" x14ac:dyDescent="0.25">
      <c r="A15320" s="1"/>
    </row>
    <row r="15321" spans="1:1" ht="46.5" customHeight="1" x14ac:dyDescent="0.25">
      <c r="A15321" s="1"/>
    </row>
    <row r="15322" spans="1:1" ht="46.5" customHeight="1" x14ac:dyDescent="0.25">
      <c r="A15322" s="1"/>
    </row>
    <row r="15323" spans="1:1" ht="46.5" customHeight="1" x14ac:dyDescent="0.25">
      <c r="A15323" s="1"/>
    </row>
    <row r="15324" spans="1:1" ht="46.5" customHeight="1" x14ac:dyDescent="0.25">
      <c r="A15324" s="1"/>
    </row>
    <row r="15325" spans="1:1" ht="46.5" customHeight="1" x14ac:dyDescent="0.25">
      <c r="A15325" s="1"/>
    </row>
    <row r="15326" spans="1:1" ht="46.5" customHeight="1" x14ac:dyDescent="0.25">
      <c r="A15326" s="1"/>
    </row>
    <row r="15327" spans="1:1" ht="46.5" customHeight="1" x14ac:dyDescent="0.25">
      <c r="A15327" s="1"/>
    </row>
    <row r="15328" spans="1:1" ht="46.5" customHeight="1" x14ac:dyDescent="0.25">
      <c r="A15328" s="1"/>
    </row>
    <row r="15329" spans="1:1" ht="46.5" customHeight="1" x14ac:dyDescent="0.25">
      <c r="A15329" s="1"/>
    </row>
    <row r="15330" spans="1:1" ht="46.5" customHeight="1" x14ac:dyDescent="0.25">
      <c r="A15330" s="1"/>
    </row>
    <row r="15331" spans="1:1" ht="46.5" customHeight="1" x14ac:dyDescent="0.25">
      <c r="A15331" s="1"/>
    </row>
    <row r="15332" spans="1:1" ht="46.5" customHeight="1" x14ac:dyDescent="0.25">
      <c r="A15332" s="1"/>
    </row>
    <row r="15333" spans="1:1" ht="46.5" customHeight="1" x14ac:dyDescent="0.25">
      <c r="A15333" s="1"/>
    </row>
    <row r="15334" spans="1:1" ht="46.5" customHeight="1" x14ac:dyDescent="0.25">
      <c r="A15334" s="1"/>
    </row>
    <row r="15335" spans="1:1" ht="46.5" customHeight="1" x14ac:dyDescent="0.25">
      <c r="A15335" s="1"/>
    </row>
    <row r="15336" spans="1:1" ht="46.5" customHeight="1" x14ac:dyDescent="0.25">
      <c r="A15336" s="1"/>
    </row>
    <row r="15337" spans="1:1" ht="46.5" customHeight="1" x14ac:dyDescent="0.25">
      <c r="A15337" s="1"/>
    </row>
    <row r="15338" spans="1:1" ht="46.5" customHeight="1" x14ac:dyDescent="0.25">
      <c r="A15338" s="1"/>
    </row>
    <row r="15339" spans="1:1" ht="46.5" customHeight="1" x14ac:dyDescent="0.25">
      <c r="A15339" s="1"/>
    </row>
    <row r="15340" spans="1:1" ht="46.5" customHeight="1" x14ac:dyDescent="0.25">
      <c r="A15340" s="1"/>
    </row>
    <row r="15341" spans="1:1" ht="46.5" customHeight="1" x14ac:dyDescent="0.25">
      <c r="A15341" s="1"/>
    </row>
    <row r="15342" spans="1:1" ht="46.5" customHeight="1" x14ac:dyDescent="0.25">
      <c r="A15342" s="1"/>
    </row>
    <row r="15343" spans="1:1" ht="46.5" customHeight="1" x14ac:dyDescent="0.25">
      <c r="A15343" s="1"/>
    </row>
    <row r="15344" spans="1:1" ht="46.5" customHeight="1" x14ac:dyDescent="0.25">
      <c r="A15344" s="1"/>
    </row>
    <row r="15345" spans="1:1" ht="46.5" customHeight="1" x14ac:dyDescent="0.25">
      <c r="A15345" s="1"/>
    </row>
    <row r="15346" spans="1:1" ht="46.5" customHeight="1" x14ac:dyDescent="0.25">
      <c r="A15346" s="1"/>
    </row>
    <row r="15347" spans="1:1" ht="46.5" customHeight="1" x14ac:dyDescent="0.25">
      <c r="A15347" s="1"/>
    </row>
    <row r="15348" spans="1:1" ht="46.5" customHeight="1" x14ac:dyDescent="0.25">
      <c r="A15348" s="1"/>
    </row>
    <row r="15349" spans="1:1" ht="46.5" customHeight="1" x14ac:dyDescent="0.25">
      <c r="A15349" s="1"/>
    </row>
    <row r="15350" spans="1:1" ht="46.5" customHeight="1" x14ac:dyDescent="0.25">
      <c r="A15350" s="1"/>
    </row>
    <row r="15351" spans="1:1" ht="46.5" customHeight="1" x14ac:dyDescent="0.25">
      <c r="A15351" s="1"/>
    </row>
    <row r="15352" spans="1:1" ht="46.5" customHeight="1" x14ac:dyDescent="0.25">
      <c r="A15352" s="1"/>
    </row>
    <row r="15353" spans="1:1" ht="46.5" customHeight="1" x14ac:dyDescent="0.25">
      <c r="A15353" s="1"/>
    </row>
    <row r="15354" spans="1:1" ht="46.5" customHeight="1" x14ac:dyDescent="0.25">
      <c r="A15354" s="1"/>
    </row>
    <row r="15355" spans="1:1" ht="46.5" customHeight="1" x14ac:dyDescent="0.25">
      <c r="A15355" s="1"/>
    </row>
    <row r="15356" spans="1:1" ht="46.5" customHeight="1" x14ac:dyDescent="0.25">
      <c r="A15356" s="1"/>
    </row>
    <row r="15357" spans="1:1" ht="46.5" customHeight="1" x14ac:dyDescent="0.25">
      <c r="A15357" s="1"/>
    </row>
    <row r="15358" spans="1:1" ht="46.5" customHeight="1" x14ac:dyDescent="0.25">
      <c r="A15358" s="1"/>
    </row>
    <row r="15359" spans="1:1" ht="46.5" customHeight="1" x14ac:dyDescent="0.25">
      <c r="A15359" s="1"/>
    </row>
    <row r="15360" spans="1:1" ht="46.5" customHeight="1" x14ac:dyDescent="0.25">
      <c r="A15360" s="1"/>
    </row>
    <row r="15361" spans="1:1" ht="46.5" customHeight="1" x14ac:dyDescent="0.25">
      <c r="A15361" s="1"/>
    </row>
    <row r="15362" spans="1:1" ht="46.5" customHeight="1" x14ac:dyDescent="0.25">
      <c r="A15362" s="1"/>
    </row>
    <row r="15363" spans="1:1" ht="46.5" customHeight="1" x14ac:dyDescent="0.25">
      <c r="A15363" s="1"/>
    </row>
    <row r="15364" spans="1:1" ht="46.5" customHeight="1" x14ac:dyDescent="0.25">
      <c r="A15364" s="1"/>
    </row>
    <row r="15365" spans="1:1" ht="46.5" customHeight="1" x14ac:dyDescent="0.25">
      <c r="A15365" s="1"/>
    </row>
    <row r="15366" spans="1:1" ht="46.5" customHeight="1" x14ac:dyDescent="0.25">
      <c r="A15366" s="1"/>
    </row>
    <row r="15367" spans="1:1" ht="46.5" customHeight="1" x14ac:dyDescent="0.25">
      <c r="A15367" s="1"/>
    </row>
    <row r="15368" spans="1:1" ht="46.5" customHeight="1" x14ac:dyDescent="0.25">
      <c r="A15368" s="1"/>
    </row>
    <row r="15369" spans="1:1" ht="46.5" customHeight="1" x14ac:dyDescent="0.25">
      <c r="A15369" s="1"/>
    </row>
    <row r="15370" spans="1:1" ht="46.5" customHeight="1" x14ac:dyDescent="0.25">
      <c r="A15370" s="1"/>
    </row>
    <row r="15371" spans="1:1" ht="46.5" customHeight="1" x14ac:dyDescent="0.25">
      <c r="A15371" s="1"/>
    </row>
    <row r="15372" spans="1:1" ht="46.5" customHeight="1" x14ac:dyDescent="0.25">
      <c r="A15372" s="1"/>
    </row>
    <row r="15373" spans="1:1" ht="46.5" customHeight="1" x14ac:dyDescent="0.25">
      <c r="A15373" s="1"/>
    </row>
    <row r="15374" spans="1:1" ht="46.5" customHeight="1" x14ac:dyDescent="0.25">
      <c r="A15374" s="1"/>
    </row>
    <row r="15375" spans="1:1" ht="46.5" customHeight="1" x14ac:dyDescent="0.25">
      <c r="A15375" s="1"/>
    </row>
    <row r="15376" spans="1:1" ht="46.5" customHeight="1" x14ac:dyDescent="0.25">
      <c r="A15376" s="1"/>
    </row>
    <row r="15377" spans="1:1" ht="46.5" customHeight="1" x14ac:dyDescent="0.25">
      <c r="A15377" s="1"/>
    </row>
    <row r="15378" spans="1:1" ht="46.5" customHeight="1" x14ac:dyDescent="0.25">
      <c r="A15378" s="1"/>
    </row>
    <row r="15379" spans="1:1" ht="46.5" customHeight="1" x14ac:dyDescent="0.25">
      <c r="A15379" s="1"/>
    </row>
    <row r="15380" spans="1:1" ht="46.5" customHeight="1" x14ac:dyDescent="0.25">
      <c r="A15380" s="1"/>
    </row>
    <row r="15381" spans="1:1" ht="46.5" customHeight="1" x14ac:dyDescent="0.25">
      <c r="A15381" s="1"/>
    </row>
    <row r="15382" spans="1:1" ht="46.5" customHeight="1" x14ac:dyDescent="0.25">
      <c r="A15382" s="1"/>
    </row>
    <row r="15383" spans="1:1" ht="46.5" customHeight="1" x14ac:dyDescent="0.25">
      <c r="A15383" s="1"/>
    </row>
    <row r="15384" spans="1:1" ht="46.5" customHeight="1" x14ac:dyDescent="0.25">
      <c r="A15384" s="1"/>
    </row>
    <row r="15385" spans="1:1" ht="46.5" customHeight="1" x14ac:dyDescent="0.25">
      <c r="A15385" s="1"/>
    </row>
    <row r="15386" spans="1:1" ht="46.5" customHeight="1" x14ac:dyDescent="0.25">
      <c r="A15386" s="1"/>
    </row>
    <row r="15387" spans="1:1" ht="46.5" customHeight="1" x14ac:dyDescent="0.25">
      <c r="A15387" s="1"/>
    </row>
    <row r="15388" spans="1:1" ht="46.5" customHeight="1" x14ac:dyDescent="0.25">
      <c r="A15388" s="1"/>
    </row>
    <row r="15389" spans="1:1" ht="46.5" customHeight="1" x14ac:dyDescent="0.25">
      <c r="A15389" s="1"/>
    </row>
    <row r="15390" spans="1:1" ht="46.5" customHeight="1" x14ac:dyDescent="0.25">
      <c r="A15390" s="1"/>
    </row>
    <row r="15391" spans="1:1" ht="46.5" customHeight="1" x14ac:dyDescent="0.25">
      <c r="A15391" s="1"/>
    </row>
    <row r="15392" spans="1:1" ht="46.5" customHeight="1" x14ac:dyDescent="0.25">
      <c r="A15392" s="1"/>
    </row>
    <row r="15393" spans="1:1" ht="46.5" customHeight="1" x14ac:dyDescent="0.25">
      <c r="A15393" s="1"/>
    </row>
    <row r="15394" spans="1:1" ht="46.5" customHeight="1" x14ac:dyDescent="0.25">
      <c r="A15394" s="1"/>
    </row>
    <row r="15395" spans="1:1" ht="46.5" customHeight="1" x14ac:dyDescent="0.25">
      <c r="A15395" s="1"/>
    </row>
    <row r="15396" spans="1:1" ht="46.5" customHeight="1" x14ac:dyDescent="0.25">
      <c r="A15396" s="1"/>
    </row>
    <row r="15397" spans="1:1" ht="46.5" customHeight="1" x14ac:dyDescent="0.25">
      <c r="A15397" s="1"/>
    </row>
    <row r="15398" spans="1:1" ht="46.5" customHeight="1" x14ac:dyDescent="0.25">
      <c r="A15398" s="1"/>
    </row>
    <row r="15399" spans="1:1" ht="46.5" customHeight="1" x14ac:dyDescent="0.25">
      <c r="A15399" s="1"/>
    </row>
    <row r="15400" spans="1:1" ht="46.5" customHeight="1" x14ac:dyDescent="0.25">
      <c r="A15400" s="1"/>
    </row>
    <row r="15401" spans="1:1" ht="46.5" customHeight="1" x14ac:dyDescent="0.25">
      <c r="A15401" s="1"/>
    </row>
    <row r="15402" spans="1:1" ht="46.5" customHeight="1" x14ac:dyDescent="0.25">
      <c r="A15402" s="1"/>
    </row>
    <row r="15403" spans="1:1" ht="46.5" customHeight="1" x14ac:dyDescent="0.25">
      <c r="A15403" s="1"/>
    </row>
    <row r="15404" spans="1:1" ht="46.5" customHeight="1" x14ac:dyDescent="0.25">
      <c r="A15404" s="1"/>
    </row>
    <row r="15405" spans="1:1" ht="46.5" customHeight="1" x14ac:dyDescent="0.25">
      <c r="A15405" s="1"/>
    </row>
    <row r="15406" spans="1:1" ht="46.5" customHeight="1" x14ac:dyDescent="0.25">
      <c r="A15406" s="1"/>
    </row>
    <row r="15407" spans="1:1" ht="46.5" customHeight="1" x14ac:dyDescent="0.25">
      <c r="A15407" s="1"/>
    </row>
    <row r="15408" spans="1:1" ht="46.5" customHeight="1" x14ac:dyDescent="0.25">
      <c r="A15408" s="1"/>
    </row>
    <row r="15409" spans="1:1" ht="46.5" customHeight="1" x14ac:dyDescent="0.25">
      <c r="A15409" s="1"/>
    </row>
    <row r="15410" spans="1:1" ht="46.5" customHeight="1" x14ac:dyDescent="0.25">
      <c r="A15410" s="1"/>
    </row>
    <row r="15411" spans="1:1" ht="46.5" customHeight="1" x14ac:dyDescent="0.25">
      <c r="A15411" s="1"/>
    </row>
    <row r="15412" spans="1:1" ht="46.5" customHeight="1" x14ac:dyDescent="0.25">
      <c r="A15412" s="1"/>
    </row>
    <row r="15413" spans="1:1" ht="46.5" customHeight="1" x14ac:dyDescent="0.25">
      <c r="A15413" s="1"/>
    </row>
    <row r="15414" spans="1:1" ht="46.5" customHeight="1" x14ac:dyDescent="0.25">
      <c r="A15414" s="1"/>
    </row>
    <row r="15415" spans="1:1" ht="46.5" customHeight="1" x14ac:dyDescent="0.25">
      <c r="A15415" s="1"/>
    </row>
    <row r="15416" spans="1:1" ht="46.5" customHeight="1" x14ac:dyDescent="0.25">
      <c r="A15416" s="1"/>
    </row>
    <row r="15417" spans="1:1" ht="46.5" customHeight="1" x14ac:dyDescent="0.25">
      <c r="A15417" s="1"/>
    </row>
    <row r="15418" spans="1:1" ht="46.5" customHeight="1" x14ac:dyDescent="0.25">
      <c r="A15418" s="1"/>
    </row>
    <row r="15419" spans="1:1" ht="46.5" customHeight="1" x14ac:dyDescent="0.25">
      <c r="A15419" s="1"/>
    </row>
    <row r="15420" spans="1:1" ht="46.5" customHeight="1" x14ac:dyDescent="0.25">
      <c r="A15420" s="1"/>
    </row>
    <row r="15421" spans="1:1" ht="46.5" customHeight="1" x14ac:dyDescent="0.25">
      <c r="A15421" s="1"/>
    </row>
    <row r="15422" spans="1:1" ht="46.5" customHeight="1" x14ac:dyDescent="0.25">
      <c r="A15422" s="1"/>
    </row>
    <row r="15423" spans="1:1" ht="46.5" customHeight="1" x14ac:dyDescent="0.25">
      <c r="A15423" s="1"/>
    </row>
    <row r="15424" spans="1:1" ht="46.5" customHeight="1" x14ac:dyDescent="0.25">
      <c r="A15424" s="1"/>
    </row>
    <row r="15425" spans="1:1" ht="46.5" customHeight="1" x14ac:dyDescent="0.25">
      <c r="A15425" s="1"/>
    </row>
    <row r="15426" spans="1:1" ht="46.5" customHeight="1" x14ac:dyDescent="0.25">
      <c r="A15426" s="1"/>
    </row>
    <row r="15427" spans="1:1" ht="46.5" customHeight="1" x14ac:dyDescent="0.25">
      <c r="A15427" s="1"/>
    </row>
    <row r="15428" spans="1:1" ht="46.5" customHeight="1" x14ac:dyDescent="0.25">
      <c r="A15428" s="1"/>
    </row>
    <row r="15429" spans="1:1" ht="46.5" customHeight="1" x14ac:dyDescent="0.25">
      <c r="A15429" s="1"/>
    </row>
    <row r="15430" spans="1:1" ht="46.5" customHeight="1" x14ac:dyDescent="0.25">
      <c r="A15430" s="1"/>
    </row>
    <row r="15431" spans="1:1" ht="46.5" customHeight="1" x14ac:dyDescent="0.25">
      <c r="A15431" s="1"/>
    </row>
    <row r="15432" spans="1:1" ht="46.5" customHeight="1" x14ac:dyDescent="0.25">
      <c r="A15432" s="1"/>
    </row>
    <row r="15433" spans="1:1" ht="46.5" customHeight="1" x14ac:dyDescent="0.25">
      <c r="A15433" s="1"/>
    </row>
    <row r="15434" spans="1:1" ht="46.5" customHeight="1" x14ac:dyDescent="0.25">
      <c r="A15434" s="1"/>
    </row>
    <row r="15435" spans="1:1" ht="46.5" customHeight="1" x14ac:dyDescent="0.25">
      <c r="A15435" s="1"/>
    </row>
    <row r="15436" spans="1:1" ht="46.5" customHeight="1" x14ac:dyDescent="0.25">
      <c r="A15436" s="1"/>
    </row>
    <row r="15437" spans="1:1" ht="46.5" customHeight="1" x14ac:dyDescent="0.25">
      <c r="A15437" s="1"/>
    </row>
    <row r="15438" spans="1:1" ht="46.5" customHeight="1" x14ac:dyDescent="0.25">
      <c r="A15438" s="1"/>
    </row>
    <row r="15439" spans="1:1" ht="46.5" customHeight="1" x14ac:dyDescent="0.25">
      <c r="A15439" s="1"/>
    </row>
    <row r="15440" spans="1:1" ht="46.5" customHeight="1" x14ac:dyDescent="0.25">
      <c r="A15440" s="1"/>
    </row>
    <row r="15441" spans="1:1" ht="46.5" customHeight="1" x14ac:dyDescent="0.25">
      <c r="A15441" s="1"/>
    </row>
    <row r="15442" spans="1:1" ht="46.5" customHeight="1" x14ac:dyDescent="0.25">
      <c r="A15442" s="1"/>
    </row>
    <row r="15443" spans="1:1" ht="46.5" customHeight="1" x14ac:dyDescent="0.25">
      <c r="A15443" s="1"/>
    </row>
    <row r="15444" spans="1:1" ht="46.5" customHeight="1" x14ac:dyDescent="0.25">
      <c r="A15444" s="1"/>
    </row>
    <row r="15445" spans="1:1" ht="46.5" customHeight="1" x14ac:dyDescent="0.25">
      <c r="A15445" s="1"/>
    </row>
    <row r="15446" spans="1:1" ht="46.5" customHeight="1" x14ac:dyDescent="0.25">
      <c r="A15446" s="1"/>
    </row>
    <row r="15447" spans="1:1" ht="46.5" customHeight="1" x14ac:dyDescent="0.25">
      <c r="A15447" s="1"/>
    </row>
    <row r="15448" spans="1:1" ht="46.5" customHeight="1" x14ac:dyDescent="0.25">
      <c r="A15448" s="1"/>
    </row>
    <row r="15449" spans="1:1" ht="46.5" customHeight="1" x14ac:dyDescent="0.25">
      <c r="A15449" s="1"/>
    </row>
    <row r="15450" spans="1:1" ht="46.5" customHeight="1" x14ac:dyDescent="0.25">
      <c r="A15450" s="1"/>
    </row>
    <row r="15451" spans="1:1" ht="46.5" customHeight="1" x14ac:dyDescent="0.25">
      <c r="A15451" s="1"/>
    </row>
    <row r="15452" spans="1:1" ht="46.5" customHeight="1" x14ac:dyDescent="0.25">
      <c r="A15452" s="1"/>
    </row>
    <row r="15453" spans="1:1" ht="46.5" customHeight="1" x14ac:dyDescent="0.25">
      <c r="A15453" s="1"/>
    </row>
    <row r="15454" spans="1:1" ht="46.5" customHeight="1" x14ac:dyDescent="0.25">
      <c r="A15454" s="1"/>
    </row>
    <row r="15455" spans="1:1" ht="46.5" customHeight="1" x14ac:dyDescent="0.25">
      <c r="A15455" s="1"/>
    </row>
    <row r="15456" spans="1:1" ht="46.5" customHeight="1" x14ac:dyDescent="0.25">
      <c r="A15456" s="1"/>
    </row>
    <row r="15457" spans="1:1" ht="46.5" customHeight="1" x14ac:dyDescent="0.25">
      <c r="A15457" s="1"/>
    </row>
    <row r="15458" spans="1:1" ht="46.5" customHeight="1" x14ac:dyDescent="0.25">
      <c r="A15458" s="1"/>
    </row>
    <row r="15459" spans="1:1" ht="46.5" customHeight="1" x14ac:dyDescent="0.25">
      <c r="A15459" s="1"/>
    </row>
    <row r="15460" spans="1:1" ht="46.5" customHeight="1" x14ac:dyDescent="0.25">
      <c r="A15460" s="1"/>
    </row>
    <row r="15461" spans="1:1" ht="46.5" customHeight="1" x14ac:dyDescent="0.25">
      <c r="A15461" s="1"/>
    </row>
    <row r="15462" spans="1:1" ht="46.5" customHeight="1" x14ac:dyDescent="0.25">
      <c r="A15462" s="1"/>
    </row>
    <row r="15463" spans="1:1" ht="46.5" customHeight="1" x14ac:dyDescent="0.25">
      <c r="A15463" s="1"/>
    </row>
    <row r="15464" spans="1:1" ht="46.5" customHeight="1" x14ac:dyDescent="0.25">
      <c r="A15464" s="1"/>
    </row>
    <row r="15465" spans="1:1" ht="46.5" customHeight="1" x14ac:dyDescent="0.25">
      <c r="A15465" s="1"/>
    </row>
    <row r="15466" spans="1:1" ht="46.5" customHeight="1" x14ac:dyDescent="0.25">
      <c r="A15466" s="1"/>
    </row>
    <row r="15467" spans="1:1" ht="46.5" customHeight="1" x14ac:dyDescent="0.25">
      <c r="A15467" s="1"/>
    </row>
    <row r="15468" spans="1:1" ht="46.5" customHeight="1" x14ac:dyDescent="0.25">
      <c r="A15468" s="1"/>
    </row>
    <row r="15469" spans="1:1" ht="46.5" customHeight="1" x14ac:dyDescent="0.25">
      <c r="A15469" s="1"/>
    </row>
    <row r="15470" spans="1:1" ht="46.5" customHeight="1" x14ac:dyDescent="0.25">
      <c r="A15470" s="1"/>
    </row>
    <row r="15471" spans="1:1" ht="46.5" customHeight="1" x14ac:dyDescent="0.25">
      <c r="A15471" s="1"/>
    </row>
    <row r="15472" spans="1:1" ht="46.5" customHeight="1" x14ac:dyDescent="0.25">
      <c r="A15472" s="1"/>
    </row>
    <row r="15473" spans="1:1" ht="46.5" customHeight="1" x14ac:dyDescent="0.25">
      <c r="A15473" s="1"/>
    </row>
    <row r="15474" spans="1:1" ht="46.5" customHeight="1" x14ac:dyDescent="0.25">
      <c r="A15474" s="1"/>
    </row>
    <row r="15475" spans="1:1" ht="46.5" customHeight="1" x14ac:dyDescent="0.25">
      <c r="A15475" s="1"/>
    </row>
    <row r="15476" spans="1:1" ht="46.5" customHeight="1" x14ac:dyDescent="0.25">
      <c r="A15476" s="1"/>
    </row>
    <row r="15477" spans="1:1" ht="46.5" customHeight="1" x14ac:dyDescent="0.25">
      <c r="A15477" s="1"/>
    </row>
    <row r="15478" spans="1:1" ht="46.5" customHeight="1" x14ac:dyDescent="0.25">
      <c r="A15478" s="1"/>
    </row>
    <row r="15479" spans="1:1" ht="46.5" customHeight="1" x14ac:dyDescent="0.25">
      <c r="A15479" s="1"/>
    </row>
    <row r="15480" spans="1:1" ht="46.5" customHeight="1" x14ac:dyDescent="0.25">
      <c r="A15480" s="1"/>
    </row>
    <row r="15481" spans="1:1" ht="46.5" customHeight="1" x14ac:dyDescent="0.25">
      <c r="A15481" s="1"/>
    </row>
    <row r="15482" spans="1:1" ht="46.5" customHeight="1" x14ac:dyDescent="0.25">
      <c r="A15482" s="1"/>
    </row>
    <row r="15483" spans="1:1" ht="46.5" customHeight="1" x14ac:dyDescent="0.25">
      <c r="A15483" s="1"/>
    </row>
    <row r="15484" spans="1:1" ht="46.5" customHeight="1" x14ac:dyDescent="0.25">
      <c r="A15484" s="1"/>
    </row>
    <row r="15485" spans="1:1" ht="46.5" customHeight="1" x14ac:dyDescent="0.25">
      <c r="A15485" s="1"/>
    </row>
    <row r="15486" spans="1:1" ht="46.5" customHeight="1" x14ac:dyDescent="0.25">
      <c r="A15486" s="1"/>
    </row>
    <row r="15487" spans="1:1" ht="46.5" customHeight="1" x14ac:dyDescent="0.25">
      <c r="A15487" s="1"/>
    </row>
    <row r="15488" spans="1:1" ht="46.5" customHeight="1" x14ac:dyDescent="0.25">
      <c r="A15488" s="1"/>
    </row>
    <row r="15489" spans="1:1" ht="46.5" customHeight="1" x14ac:dyDescent="0.25">
      <c r="A15489" s="1"/>
    </row>
    <row r="15490" spans="1:1" ht="46.5" customHeight="1" x14ac:dyDescent="0.25">
      <c r="A15490" s="1"/>
    </row>
    <row r="15491" spans="1:1" ht="46.5" customHeight="1" x14ac:dyDescent="0.25">
      <c r="A15491" s="1"/>
    </row>
    <row r="15492" spans="1:1" ht="46.5" customHeight="1" x14ac:dyDescent="0.25">
      <c r="A15492" s="1"/>
    </row>
    <row r="15493" spans="1:1" ht="46.5" customHeight="1" x14ac:dyDescent="0.25">
      <c r="A15493" s="1"/>
    </row>
    <row r="15494" spans="1:1" ht="46.5" customHeight="1" x14ac:dyDescent="0.25">
      <c r="A15494" s="1"/>
    </row>
    <row r="15495" spans="1:1" ht="46.5" customHeight="1" x14ac:dyDescent="0.25">
      <c r="A15495" s="1"/>
    </row>
    <row r="15496" spans="1:1" ht="46.5" customHeight="1" x14ac:dyDescent="0.25">
      <c r="A15496" s="1"/>
    </row>
    <row r="15497" spans="1:1" ht="46.5" customHeight="1" x14ac:dyDescent="0.25">
      <c r="A15497" s="1"/>
    </row>
    <row r="15498" spans="1:1" ht="46.5" customHeight="1" x14ac:dyDescent="0.25">
      <c r="A15498" s="1"/>
    </row>
    <row r="15499" spans="1:1" ht="46.5" customHeight="1" x14ac:dyDescent="0.25">
      <c r="A15499" s="1"/>
    </row>
    <row r="15500" spans="1:1" ht="46.5" customHeight="1" x14ac:dyDescent="0.25">
      <c r="A15500" s="1"/>
    </row>
    <row r="15501" spans="1:1" ht="46.5" customHeight="1" x14ac:dyDescent="0.25">
      <c r="A15501" s="1"/>
    </row>
    <row r="15502" spans="1:1" ht="46.5" customHeight="1" x14ac:dyDescent="0.25">
      <c r="A15502" s="1"/>
    </row>
    <row r="15503" spans="1:1" ht="46.5" customHeight="1" x14ac:dyDescent="0.25">
      <c r="A15503" s="1"/>
    </row>
    <row r="15504" spans="1:1" ht="46.5" customHeight="1" x14ac:dyDescent="0.25">
      <c r="A15504" s="1"/>
    </row>
    <row r="15505" spans="1:1" ht="46.5" customHeight="1" x14ac:dyDescent="0.25">
      <c r="A15505" s="1"/>
    </row>
    <row r="15506" spans="1:1" ht="46.5" customHeight="1" x14ac:dyDescent="0.25">
      <c r="A15506" s="1"/>
    </row>
    <row r="15507" spans="1:1" ht="46.5" customHeight="1" x14ac:dyDescent="0.25">
      <c r="A15507" s="1"/>
    </row>
    <row r="15508" spans="1:1" ht="46.5" customHeight="1" x14ac:dyDescent="0.25">
      <c r="A15508" s="1"/>
    </row>
    <row r="15509" spans="1:1" ht="46.5" customHeight="1" x14ac:dyDescent="0.25">
      <c r="A15509" s="1"/>
    </row>
    <row r="15510" spans="1:1" ht="46.5" customHeight="1" x14ac:dyDescent="0.25">
      <c r="A15510" s="1"/>
    </row>
    <row r="15511" spans="1:1" ht="46.5" customHeight="1" x14ac:dyDescent="0.25">
      <c r="A15511" s="1"/>
    </row>
    <row r="15512" spans="1:1" ht="46.5" customHeight="1" x14ac:dyDescent="0.25">
      <c r="A15512" s="1"/>
    </row>
    <row r="15513" spans="1:1" ht="46.5" customHeight="1" x14ac:dyDescent="0.25">
      <c r="A15513" s="1"/>
    </row>
    <row r="15514" spans="1:1" ht="46.5" customHeight="1" x14ac:dyDescent="0.25">
      <c r="A15514" s="1"/>
    </row>
    <row r="15515" spans="1:1" ht="46.5" customHeight="1" x14ac:dyDescent="0.25">
      <c r="A15515" s="1"/>
    </row>
    <row r="15516" spans="1:1" ht="46.5" customHeight="1" x14ac:dyDescent="0.25">
      <c r="A15516" s="1"/>
    </row>
    <row r="15517" spans="1:1" ht="46.5" customHeight="1" x14ac:dyDescent="0.25">
      <c r="A15517" s="1"/>
    </row>
    <row r="15518" spans="1:1" ht="46.5" customHeight="1" x14ac:dyDescent="0.25">
      <c r="A15518" s="1"/>
    </row>
    <row r="15519" spans="1:1" ht="46.5" customHeight="1" x14ac:dyDescent="0.25">
      <c r="A15519" s="1"/>
    </row>
    <row r="15520" spans="1:1" ht="46.5" customHeight="1" x14ac:dyDescent="0.25">
      <c r="A15520" s="1"/>
    </row>
    <row r="15521" spans="1:1" ht="46.5" customHeight="1" x14ac:dyDescent="0.25">
      <c r="A15521" s="1"/>
    </row>
    <row r="15522" spans="1:1" ht="46.5" customHeight="1" x14ac:dyDescent="0.25">
      <c r="A15522" s="1"/>
    </row>
    <row r="15523" spans="1:1" ht="46.5" customHeight="1" x14ac:dyDescent="0.25">
      <c r="A15523" s="1"/>
    </row>
    <row r="15524" spans="1:1" ht="46.5" customHeight="1" x14ac:dyDescent="0.25">
      <c r="A15524" s="1"/>
    </row>
    <row r="15525" spans="1:1" ht="46.5" customHeight="1" x14ac:dyDescent="0.25">
      <c r="A15525" s="1"/>
    </row>
    <row r="15526" spans="1:1" ht="46.5" customHeight="1" x14ac:dyDescent="0.25">
      <c r="A15526" s="1"/>
    </row>
    <row r="15527" spans="1:1" ht="46.5" customHeight="1" x14ac:dyDescent="0.25">
      <c r="A15527" s="1"/>
    </row>
    <row r="15528" spans="1:1" ht="46.5" customHeight="1" x14ac:dyDescent="0.25">
      <c r="A15528" s="1"/>
    </row>
    <row r="15529" spans="1:1" ht="46.5" customHeight="1" x14ac:dyDescent="0.25">
      <c r="A15529" s="1"/>
    </row>
    <row r="15530" spans="1:1" ht="46.5" customHeight="1" x14ac:dyDescent="0.25">
      <c r="A15530" s="1"/>
    </row>
    <row r="15531" spans="1:1" ht="46.5" customHeight="1" x14ac:dyDescent="0.25">
      <c r="A15531" s="1"/>
    </row>
    <row r="15532" spans="1:1" ht="46.5" customHeight="1" x14ac:dyDescent="0.25">
      <c r="A15532" s="1"/>
    </row>
    <row r="15533" spans="1:1" ht="46.5" customHeight="1" x14ac:dyDescent="0.25">
      <c r="A15533" s="1"/>
    </row>
    <row r="15534" spans="1:1" ht="46.5" customHeight="1" x14ac:dyDescent="0.25">
      <c r="A15534" s="1"/>
    </row>
    <row r="15535" spans="1:1" ht="46.5" customHeight="1" x14ac:dyDescent="0.25">
      <c r="A15535" s="1"/>
    </row>
    <row r="15536" spans="1:1" ht="46.5" customHeight="1" x14ac:dyDescent="0.25">
      <c r="A15536" s="1"/>
    </row>
    <row r="15537" spans="1:1" ht="46.5" customHeight="1" x14ac:dyDescent="0.25">
      <c r="A15537" s="1"/>
    </row>
    <row r="15538" spans="1:1" ht="46.5" customHeight="1" x14ac:dyDescent="0.25">
      <c r="A15538" s="1"/>
    </row>
    <row r="15539" spans="1:1" ht="46.5" customHeight="1" x14ac:dyDescent="0.25">
      <c r="A15539" s="1"/>
    </row>
    <row r="15540" spans="1:1" ht="46.5" customHeight="1" x14ac:dyDescent="0.25">
      <c r="A15540" s="1"/>
    </row>
    <row r="15541" spans="1:1" ht="46.5" customHeight="1" x14ac:dyDescent="0.25">
      <c r="A15541" s="1"/>
    </row>
    <row r="15542" spans="1:1" ht="46.5" customHeight="1" x14ac:dyDescent="0.25">
      <c r="A15542" s="1"/>
    </row>
    <row r="15543" spans="1:1" ht="46.5" customHeight="1" x14ac:dyDescent="0.25">
      <c r="A15543" s="1"/>
    </row>
    <row r="15544" spans="1:1" ht="46.5" customHeight="1" x14ac:dyDescent="0.25">
      <c r="A15544" s="1"/>
    </row>
    <row r="15545" spans="1:1" ht="46.5" customHeight="1" x14ac:dyDescent="0.25">
      <c r="A15545" s="1"/>
    </row>
    <row r="15546" spans="1:1" ht="46.5" customHeight="1" x14ac:dyDescent="0.25">
      <c r="A15546" s="1"/>
    </row>
    <row r="15547" spans="1:1" ht="46.5" customHeight="1" x14ac:dyDescent="0.25">
      <c r="A15547" s="1"/>
    </row>
    <row r="15548" spans="1:1" ht="46.5" customHeight="1" x14ac:dyDescent="0.25">
      <c r="A15548" s="1"/>
    </row>
    <row r="15549" spans="1:1" ht="46.5" customHeight="1" x14ac:dyDescent="0.25">
      <c r="A15549" s="1"/>
    </row>
    <row r="15550" spans="1:1" ht="46.5" customHeight="1" x14ac:dyDescent="0.25">
      <c r="A15550" s="1"/>
    </row>
    <row r="15551" spans="1:1" ht="46.5" customHeight="1" x14ac:dyDescent="0.25">
      <c r="A15551" s="1"/>
    </row>
    <row r="15552" spans="1:1" ht="46.5" customHeight="1" x14ac:dyDescent="0.25">
      <c r="A15552" s="1"/>
    </row>
    <row r="15553" spans="1:1" ht="46.5" customHeight="1" x14ac:dyDescent="0.25">
      <c r="A15553" s="1"/>
    </row>
    <row r="15554" spans="1:1" ht="46.5" customHeight="1" x14ac:dyDescent="0.25">
      <c r="A15554" s="1"/>
    </row>
    <row r="15555" spans="1:1" ht="46.5" customHeight="1" x14ac:dyDescent="0.25">
      <c r="A15555" s="1"/>
    </row>
    <row r="15556" spans="1:1" ht="46.5" customHeight="1" x14ac:dyDescent="0.25">
      <c r="A15556" s="1"/>
    </row>
    <row r="15557" spans="1:1" ht="46.5" customHeight="1" x14ac:dyDescent="0.25">
      <c r="A15557" s="1"/>
    </row>
    <row r="15558" spans="1:1" ht="46.5" customHeight="1" x14ac:dyDescent="0.25">
      <c r="A15558" s="1"/>
    </row>
    <row r="15559" spans="1:1" ht="46.5" customHeight="1" x14ac:dyDescent="0.25">
      <c r="A15559" s="1"/>
    </row>
    <row r="15560" spans="1:1" ht="46.5" customHeight="1" x14ac:dyDescent="0.25">
      <c r="A15560" s="1"/>
    </row>
    <row r="15561" spans="1:1" ht="46.5" customHeight="1" x14ac:dyDescent="0.25">
      <c r="A15561" s="1"/>
    </row>
    <row r="15562" spans="1:1" ht="46.5" customHeight="1" x14ac:dyDescent="0.25">
      <c r="A15562" s="1"/>
    </row>
    <row r="15563" spans="1:1" ht="46.5" customHeight="1" x14ac:dyDescent="0.25">
      <c r="A15563" s="1"/>
    </row>
    <row r="15564" spans="1:1" ht="46.5" customHeight="1" x14ac:dyDescent="0.25">
      <c r="A15564" s="1"/>
    </row>
    <row r="15565" spans="1:1" ht="46.5" customHeight="1" x14ac:dyDescent="0.25">
      <c r="A15565" s="1"/>
    </row>
    <row r="15566" spans="1:1" ht="46.5" customHeight="1" x14ac:dyDescent="0.25">
      <c r="A15566" s="1"/>
    </row>
    <row r="15567" spans="1:1" ht="46.5" customHeight="1" x14ac:dyDescent="0.25">
      <c r="A15567" s="1"/>
    </row>
    <row r="15568" spans="1:1" ht="46.5" customHeight="1" x14ac:dyDescent="0.25">
      <c r="A15568" s="1"/>
    </row>
    <row r="15569" spans="1:1" ht="46.5" customHeight="1" x14ac:dyDescent="0.25">
      <c r="A15569" s="1"/>
    </row>
    <row r="15570" spans="1:1" ht="46.5" customHeight="1" x14ac:dyDescent="0.25">
      <c r="A15570" s="1"/>
    </row>
    <row r="15571" spans="1:1" ht="46.5" customHeight="1" x14ac:dyDescent="0.25">
      <c r="A15571" s="1"/>
    </row>
    <row r="15572" spans="1:1" ht="46.5" customHeight="1" x14ac:dyDescent="0.25">
      <c r="A15572" s="1"/>
    </row>
    <row r="15573" spans="1:1" ht="46.5" customHeight="1" x14ac:dyDescent="0.25">
      <c r="A15573" s="1"/>
    </row>
    <row r="15574" spans="1:1" ht="46.5" customHeight="1" x14ac:dyDescent="0.25">
      <c r="A15574" s="1"/>
    </row>
    <row r="15575" spans="1:1" ht="46.5" customHeight="1" x14ac:dyDescent="0.25">
      <c r="A15575" s="1"/>
    </row>
    <row r="15576" spans="1:1" ht="46.5" customHeight="1" x14ac:dyDescent="0.25">
      <c r="A15576" s="1"/>
    </row>
    <row r="15577" spans="1:1" ht="46.5" customHeight="1" x14ac:dyDescent="0.25">
      <c r="A15577" s="1"/>
    </row>
    <row r="15578" spans="1:1" ht="46.5" customHeight="1" x14ac:dyDescent="0.25">
      <c r="A15578" s="1"/>
    </row>
    <row r="15579" spans="1:1" ht="46.5" customHeight="1" x14ac:dyDescent="0.25">
      <c r="A15579" s="1"/>
    </row>
    <row r="15580" spans="1:1" ht="46.5" customHeight="1" x14ac:dyDescent="0.25">
      <c r="A15580" s="1"/>
    </row>
    <row r="15581" spans="1:1" ht="46.5" customHeight="1" x14ac:dyDescent="0.25">
      <c r="A15581" s="1"/>
    </row>
    <row r="15582" spans="1:1" ht="46.5" customHeight="1" x14ac:dyDescent="0.25">
      <c r="A15582" s="1"/>
    </row>
    <row r="15583" spans="1:1" ht="46.5" customHeight="1" x14ac:dyDescent="0.25">
      <c r="A15583" s="1"/>
    </row>
    <row r="15584" spans="1:1" ht="46.5" customHeight="1" x14ac:dyDescent="0.25">
      <c r="A15584" s="1"/>
    </row>
    <row r="15585" spans="1:1" ht="46.5" customHeight="1" x14ac:dyDescent="0.25">
      <c r="A15585" s="1"/>
    </row>
    <row r="15586" spans="1:1" ht="46.5" customHeight="1" x14ac:dyDescent="0.25">
      <c r="A15586" s="1"/>
    </row>
    <row r="15587" spans="1:1" ht="46.5" customHeight="1" x14ac:dyDescent="0.25">
      <c r="A15587" s="1"/>
    </row>
    <row r="15588" spans="1:1" ht="46.5" customHeight="1" x14ac:dyDescent="0.25">
      <c r="A15588" s="1"/>
    </row>
    <row r="15589" spans="1:1" ht="46.5" customHeight="1" x14ac:dyDescent="0.25">
      <c r="A15589" s="1"/>
    </row>
    <row r="15590" spans="1:1" ht="46.5" customHeight="1" x14ac:dyDescent="0.25">
      <c r="A15590" s="1"/>
    </row>
    <row r="15591" spans="1:1" ht="46.5" customHeight="1" x14ac:dyDescent="0.25">
      <c r="A15591" s="1"/>
    </row>
    <row r="15592" spans="1:1" ht="46.5" customHeight="1" x14ac:dyDescent="0.25">
      <c r="A15592" s="1"/>
    </row>
    <row r="15593" spans="1:1" ht="46.5" customHeight="1" x14ac:dyDescent="0.25">
      <c r="A15593" s="1"/>
    </row>
    <row r="15594" spans="1:1" ht="46.5" customHeight="1" x14ac:dyDescent="0.25">
      <c r="A15594" s="1"/>
    </row>
    <row r="15595" spans="1:1" ht="46.5" customHeight="1" x14ac:dyDescent="0.25">
      <c r="A15595" s="1"/>
    </row>
    <row r="15596" spans="1:1" ht="46.5" customHeight="1" x14ac:dyDescent="0.25">
      <c r="A15596" s="1"/>
    </row>
    <row r="15597" spans="1:1" ht="46.5" customHeight="1" x14ac:dyDescent="0.25">
      <c r="A15597" s="1"/>
    </row>
    <row r="15598" spans="1:1" ht="46.5" customHeight="1" x14ac:dyDescent="0.25">
      <c r="A15598" s="1"/>
    </row>
    <row r="15599" spans="1:1" ht="46.5" customHeight="1" x14ac:dyDescent="0.25">
      <c r="A15599" s="1"/>
    </row>
    <row r="15600" spans="1:1" ht="46.5" customHeight="1" x14ac:dyDescent="0.25">
      <c r="A15600" s="1"/>
    </row>
    <row r="15601" spans="1:1" ht="46.5" customHeight="1" x14ac:dyDescent="0.25">
      <c r="A15601" s="1"/>
    </row>
    <row r="15602" spans="1:1" ht="46.5" customHeight="1" x14ac:dyDescent="0.25">
      <c r="A15602" s="1"/>
    </row>
    <row r="15603" spans="1:1" ht="46.5" customHeight="1" x14ac:dyDescent="0.25">
      <c r="A15603" s="1"/>
    </row>
    <row r="15604" spans="1:1" ht="46.5" customHeight="1" x14ac:dyDescent="0.25">
      <c r="A15604" s="1"/>
    </row>
    <row r="15605" spans="1:1" ht="46.5" customHeight="1" x14ac:dyDescent="0.25">
      <c r="A15605" s="1"/>
    </row>
    <row r="15606" spans="1:1" ht="46.5" customHeight="1" x14ac:dyDescent="0.25">
      <c r="A15606" s="1"/>
    </row>
    <row r="15607" spans="1:1" ht="46.5" customHeight="1" x14ac:dyDescent="0.25">
      <c r="A15607" s="1"/>
    </row>
    <row r="15608" spans="1:1" ht="46.5" customHeight="1" x14ac:dyDescent="0.25">
      <c r="A15608" s="1"/>
    </row>
    <row r="15609" spans="1:1" ht="46.5" customHeight="1" x14ac:dyDescent="0.25">
      <c r="A15609" s="1"/>
    </row>
    <row r="15610" spans="1:1" ht="46.5" customHeight="1" x14ac:dyDescent="0.25">
      <c r="A15610" s="1"/>
    </row>
    <row r="15611" spans="1:1" ht="46.5" customHeight="1" x14ac:dyDescent="0.25">
      <c r="A15611" s="1"/>
    </row>
    <row r="15612" spans="1:1" ht="46.5" customHeight="1" x14ac:dyDescent="0.25">
      <c r="A15612" s="1"/>
    </row>
    <row r="15613" spans="1:1" ht="46.5" customHeight="1" x14ac:dyDescent="0.25">
      <c r="A15613" s="1"/>
    </row>
    <row r="15614" spans="1:1" ht="46.5" customHeight="1" x14ac:dyDescent="0.25">
      <c r="A15614" s="1"/>
    </row>
    <row r="15615" spans="1:1" ht="46.5" customHeight="1" x14ac:dyDescent="0.25">
      <c r="A15615" s="1"/>
    </row>
    <row r="15616" spans="1:1" ht="46.5" customHeight="1" x14ac:dyDescent="0.25">
      <c r="A15616" s="1"/>
    </row>
    <row r="15617" spans="1:1" ht="46.5" customHeight="1" x14ac:dyDescent="0.25">
      <c r="A15617" s="1"/>
    </row>
    <row r="15618" spans="1:1" ht="46.5" customHeight="1" x14ac:dyDescent="0.25">
      <c r="A15618" s="1"/>
    </row>
    <row r="15619" spans="1:1" ht="46.5" customHeight="1" x14ac:dyDescent="0.25">
      <c r="A15619" s="1"/>
    </row>
    <row r="15620" spans="1:1" ht="46.5" customHeight="1" x14ac:dyDescent="0.25">
      <c r="A15620" s="1"/>
    </row>
    <row r="15621" spans="1:1" ht="46.5" customHeight="1" x14ac:dyDescent="0.25">
      <c r="A15621" s="1"/>
    </row>
    <row r="15622" spans="1:1" ht="46.5" customHeight="1" x14ac:dyDescent="0.25">
      <c r="A15622" s="1"/>
    </row>
    <row r="15623" spans="1:1" ht="46.5" customHeight="1" x14ac:dyDescent="0.25">
      <c r="A15623" s="1"/>
    </row>
    <row r="15624" spans="1:1" ht="46.5" customHeight="1" x14ac:dyDescent="0.25">
      <c r="A15624" s="1"/>
    </row>
    <row r="15625" spans="1:1" ht="46.5" customHeight="1" x14ac:dyDescent="0.25">
      <c r="A15625" s="1"/>
    </row>
    <row r="15626" spans="1:1" ht="46.5" customHeight="1" x14ac:dyDescent="0.25">
      <c r="A15626" s="1"/>
    </row>
    <row r="15627" spans="1:1" ht="46.5" customHeight="1" x14ac:dyDescent="0.25">
      <c r="A15627" s="1"/>
    </row>
    <row r="15628" spans="1:1" ht="46.5" customHeight="1" x14ac:dyDescent="0.25">
      <c r="A15628" s="1"/>
    </row>
    <row r="15629" spans="1:1" ht="46.5" customHeight="1" x14ac:dyDescent="0.25">
      <c r="A15629" s="1"/>
    </row>
    <row r="15630" spans="1:1" ht="46.5" customHeight="1" x14ac:dyDescent="0.25">
      <c r="A15630" s="1"/>
    </row>
    <row r="15631" spans="1:1" ht="46.5" customHeight="1" x14ac:dyDescent="0.25">
      <c r="A15631" s="1"/>
    </row>
    <row r="15632" spans="1:1" ht="46.5" customHeight="1" x14ac:dyDescent="0.25">
      <c r="A15632" s="1"/>
    </row>
    <row r="15633" spans="1:1" ht="46.5" customHeight="1" x14ac:dyDescent="0.25">
      <c r="A15633" s="1"/>
    </row>
    <row r="15634" spans="1:1" ht="46.5" customHeight="1" x14ac:dyDescent="0.25">
      <c r="A15634" s="1"/>
    </row>
    <row r="15635" spans="1:1" ht="46.5" customHeight="1" x14ac:dyDescent="0.25">
      <c r="A15635" s="1"/>
    </row>
    <row r="15636" spans="1:1" ht="46.5" customHeight="1" x14ac:dyDescent="0.25">
      <c r="A15636" s="1"/>
    </row>
    <row r="15637" spans="1:1" ht="46.5" customHeight="1" x14ac:dyDescent="0.25">
      <c r="A15637" s="1"/>
    </row>
    <row r="15638" spans="1:1" ht="46.5" customHeight="1" x14ac:dyDescent="0.25">
      <c r="A15638" s="1"/>
    </row>
    <row r="15639" spans="1:1" ht="46.5" customHeight="1" x14ac:dyDescent="0.25">
      <c r="A15639" s="1"/>
    </row>
    <row r="15640" spans="1:1" ht="46.5" customHeight="1" x14ac:dyDescent="0.25">
      <c r="A15640" s="1"/>
    </row>
    <row r="15641" spans="1:1" ht="46.5" customHeight="1" x14ac:dyDescent="0.25">
      <c r="A15641" s="1"/>
    </row>
    <row r="15642" spans="1:1" ht="46.5" customHeight="1" x14ac:dyDescent="0.25">
      <c r="A15642" s="1"/>
    </row>
    <row r="15643" spans="1:1" ht="46.5" customHeight="1" x14ac:dyDescent="0.25">
      <c r="A15643" s="1"/>
    </row>
    <row r="15644" spans="1:1" ht="46.5" customHeight="1" x14ac:dyDescent="0.25">
      <c r="A15644" s="1"/>
    </row>
    <row r="15645" spans="1:1" ht="46.5" customHeight="1" x14ac:dyDescent="0.25">
      <c r="A15645" s="1"/>
    </row>
    <row r="15646" spans="1:1" ht="46.5" customHeight="1" x14ac:dyDescent="0.25">
      <c r="A15646" s="1"/>
    </row>
    <row r="15647" spans="1:1" ht="46.5" customHeight="1" x14ac:dyDescent="0.25">
      <c r="A15647" s="1"/>
    </row>
    <row r="15648" spans="1:1" ht="46.5" customHeight="1" x14ac:dyDescent="0.25">
      <c r="A15648" s="1"/>
    </row>
    <row r="15649" spans="1:1" ht="46.5" customHeight="1" x14ac:dyDescent="0.25">
      <c r="A15649" s="1"/>
    </row>
    <row r="15650" spans="1:1" ht="46.5" customHeight="1" x14ac:dyDescent="0.25">
      <c r="A15650" s="1"/>
    </row>
    <row r="15651" spans="1:1" ht="46.5" customHeight="1" x14ac:dyDescent="0.25">
      <c r="A15651" s="1"/>
    </row>
    <row r="15652" spans="1:1" ht="46.5" customHeight="1" x14ac:dyDescent="0.25">
      <c r="A15652" s="1"/>
    </row>
    <row r="15653" spans="1:1" ht="46.5" customHeight="1" x14ac:dyDescent="0.25">
      <c r="A15653" s="1"/>
    </row>
    <row r="15654" spans="1:1" ht="46.5" customHeight="1" x14ac:dyDescent="0.25">
      <c r="A15654" s="1"/>
    </row>
    <row r="15655" spans="1:1" ht="46.5" customHeight="1" x14ac:dyDescent="0.25">
      <c r="A15655" s="1"/>
    </row>
    <row r="15656" spans="1:1" ht="46.5" customHeight="1" x14ac:dyDescent="0.25">
      <c r="A15656" s="1"/>
    </row>
    <row r="15657" spans="1:1" ht="46.5" customHeight="1" x14ac:dyDescent="0.25">
      <c r="A15657" s="1"/>
    </row>
    <row r="15658" spans="1:1" ht="46.5" customHeight="1" x14ac:dyDescent="0.25">
      <c r="A15658" s="1"/>
    </row>
    <row r="15659" spans="1:1" ht="46.5" customHeight="1" x14ac:dyDescent="0.25">
      <c r="A15659" s="1"/>
    </row>
    <row r="15660" spans="1:1" ht="46.5" customHeight="1" x14ac:dyDescent="0.25">
      <c r="A15660" s="1"/>
    </row>
    <row r="15661" spans="1:1" ht="46.5" customHeight="1" x14ac:dyDescent="0.25">
      <c r="A15661" s="1"/>
    </row>
    <row r="15662" spans="1:1" ht="46.5" customHeight="1" x14ac:dyDescent="0.25">
      <c r="A15662" s="1"/>
    </row>
    <row r="15663" spans="1:1" ht="46.5" customHeight="1" x14ac:dyDescent="0.25">
      <c r="A15663" s="1"/>
    </row>
    <row r="15664" spans="1:1" ht="46.5" customHeight="1" x14ac:dyDescent="0.25">
      <c r="A15664" s="1"/>
    </row>
    <row r="15665" spans="1:1" ht="46.5" customHeight="1" x14ac:dyDescent="0.25">
      <c r="A15665" s="1"/>
    </row>
    <row r="15666" spans="1:1" ht="46.5" customHeight="1" x14ac:dyDescent="0.25">
      <c r="A15666" s="1"/>
    </row>
    <row r="15667" spans="1:1" ht="46.5" customHeight="1" x14ac:dyDescent="0.25">
      <c r="A15667" s="1"/>
    </row>
    <row r="15668" spans="1:1" ht="46.5" customHeight="1" x14ac:dyDescent="0.25">
      <c r="A15668" s="1"/>
    </row>
    <row r="15669" spans="1:1" ht="46.5" customHeight="1" x14ac:dyDescent="0.25">
      <c r="A15669" s="1"/>
    </row>
    <row r="15670" spans="1:1" ht="46.5" customHeight="1" x14ac:dyDescent="0.25">
      <c r="A15670" s="1"/>
    </row>
    <row r="15671" spans="1:1" ht="46.5" customHeight="1" x14ac:dyDescent="0.25">
      <c r="A15671" s="1"/>
    </row>
    <row r="15672" spans="1:1" ht="46.5" customHeight="1" x14ac:dyDescent="0.25">
      <c r="A15672" s="1"/>
    </row>
    <row r="15673" spans="1:1" ht="46.5" customHeight="1" x14ac:dyDescent="0.25">
      <c r="A15673" s="1"/>
    </row>
    <row r="15674" spans="1:1" ht="46.5" customHeight="1" x14ac:dyDescent="0.25">
      <c r="A15674" s="1"/>
    </row>
    <row r="15675" spans="1:1" ht="46.5" customHeight="1" x14ac:dyDescent="0.25">
      <c r="A15675" s="1"/>
    </row>
    <row r="15676" spans="1:1" ht="46.5" customHeight="1" x14ac:dyDescent="0.25">
      <c r="A15676" s="1"/>
    </row>
    <row r="15677" spans="1:1" ht="46.5" customHeight="1" x14ac:dyDescent="0.25">
      <c r="A15677" s="1"/>
    </row>
    <row r="15678" spans="1:1" ht="46.5" customHeight="1" x14ac:dyDescent="0.25">
      <c r="A15678" s="1"/>
    </row>
    <row r="15679" spans="1:1" ht="46.5" customHeight="1" x14ac:dyDescent="0.25">
      <c r="A15679" s="1"/>
    </row>
    <row r="15680" spans="1:1" ht="46.5" customHeight="1" x14ac:dyDescent="0.25">
      <c r="A15680" s="1"/>
    </row>
    <row r="15681" spans="1:1" ht="46.5" customHeight="1" x14ac:dyDescent="0.25">
      <c r="A15681" s="1"/>
    </row>
    <row r="15682" spans="1:1" ht="46.5" customHeight="1" x14ac:dyDescent="0.25">
      <c r="A15682" s="1"/>
    </row>
    <row r="15683" spans="1:1" ht="46.5" customHeight="1" x14ac:dyDescent="0.25">
      <c r="A15683" s="1"/>
    </row>
    <row r="15684" spans="1:1" ht="46.5" customHeight="1" x14ac:dyDescent="0.25">
      <c r="A15684" s="1"/>
    </row>
    <row r="15685" spans="1:1" ht="46.5" customHeight="1" x14ac:dyDescent="0.25">
      <c r="A15685" s="1"/>
    </row>
    <row r="15686" spans="1:1" ht="46.5" customHeight="1" x14ac:dyDescent="0.25">
      <c r="A15686" s="1"/>
    </row>
    <row r="15687" spans="1:1" ht="46.5" customHeight="1" x14ac:dyDescent="0.25">
      <c r="A15687" s="1"/>
    </row>
    <row r="15688" spans="1:1" ht="46.5" customHeight="1" x14ac:dyDescent="0.25">
      <c r="A15688" s="1"/>
    </row>
    <row r="15689" spans="1:1" ht="46.5" customHeight="1" x14ac:dyDescent="0.25">
      <c r="A15689" s="1"/>
    </row>
    <row r="15690" spans="1:1" ht="46.5" customHeight="1" x14ac:dyDescent="0.25">
      <c r="A15690" s="1"/>
    </row>
    <row r="15691" spans="1:1" ht="46.5" customHeight="1" x14ac:dyDescent="0.25">
      <c r="A15691" s="1"/>
    </row>
    <row r="15692" spans="1:1" ht="46.5" customHeight="1" x14ac:dyDescent="0.25">
      <c r="A15692" s="1"/>
    </row>
    <row r="15693" spans="1:1" ht="46.5" customHeight="1" x14ac:dyDescent="0.25">
      <c r="A15693" s="1"/>
    </row>
    <row r="15694" spans="1:1" ht="46.5" customHeight="1" x14ac:dyDescent="0.25">
      <c r="A15694" s="1"/>
    </row>
    <row r="15695" spans="1:1" ht="46.5" customHeight="1" x14ac:dyDescent="0.25">
      <c r="A15695" s="1"/>
    </row>
    <row r="15696" spans="1:1" ht="46.5" customHeight="1" x14ac:dyDescent="0.25">
      <c r="A15696" s="1"/>
    </row>
    <row r="15697" spans="1:1" ht="46.5" customHeight="1" x14ac:dyDescent="0.25">
      <c r="A15697" s="1"/>
    </row>
    <row r="15698" spans="1:1" ht="46.5" customHeight="1" x14ac:dyDescent="0.25">
      <c r="A15698" s="1"/>
    </row>
    <row r="15699" spans="1:1" ht="46.5" customHeight="1" x14ac:dyDescent="0.25">
      <c r="A15699" s="1"/>
    </row>
    <row r="15700" spans="1:1" ht="46.5" customHeight="1" x14ac:dyDescent="0.25">
      <c r="A15700" s="1"/>
    </row>
    <row r="15701" spans="1:1" ht="46.5" customHeight="1" x14ac:dyDescent="0.25">
      <c r="A15701" s="1"/>
    </row>
    <row r="15702" spans="1:1" ht="46.5" customHeight="1" x14ac:dyDescent="0.25">
      <c r="A15702" s="1"/>
    </row>
    <row r="15703" spans="1:1" ht="46.5" customHeight="1" x14ac:dyDescent="0.25">
      <c r="A15703" s="1"/>
    </row>
    <row r="15704" spans="1:1" ht="46.5" customHeight="1" x14ac:dyDescent="0.25">
      <c r="A15704" s="1"/>
    </row>
    <row r="15705" spans="1:1" ht="46.5" customHeight="1" x14ac:dyDescent="0.25">
      <c r="A15705" s="1"/>
    </row>
    <row r="15706" spans="1:1" ht="46.5" customHeight="1" x14ac:dyDescent="0.25">
      <c r="A15706" s="1"/>
    </row>
    <row r="15707" spans="1:1" ht="46.5" customHeight="1" x14ac:dyDescent="0.25">
      <c r="A15707" s="1"/>
    </row>
    <row r="15708" spans="1:1" ht="46.5" customHeight="1" x14ac:dyDescent="0.25">
      <c r="A15708" s="1"/>
    </row>
    <row r="15709" spans="1:1" ht="46.5" customHeight="1" x14ac:dyDescent="0.25">
      <c r="A15709" s="1"/>
    </row>
    <row r="15710" spans="1:1" ht="46.5" customHeight="1" x14ac:dyDescent="0.25">
      <c r="A15710" s="1"/>
    </row>
    <row r="15711" spans="1:1" ht="46.5" customHeight="1" x14ac:dyDescent="0.25">
      <c r="A15711" s="1"/>
    </row>
    <row r="15712" spans="1:1" ht="46.5" customHeight="1" x14ac:dyDescent="0.25">
      <c r="A15712" s="1"/>
    </row>
    <row r="15713" spans="1:1" ht="46.5" customHeight="1" x14ac:dyDescent="0.25">
      <c r="A15713" s="1"/>
    </row>
    <row r="15714" spans="1:1" ht="46.5" customHeight="1" x14ac:dyDescent="0.25">
      <c r="A15714" s="1"/>
    </row>
    <row r="15715" spans="1:1" ht="46.5" customHeight="1" x14ac:dyDescent="0.25">
      <c r="A15715" s="1"/>
    </row>
    <row r="15716" spans="1:1" ht="46.5" customHeight="1" x14ac:dyDescent="0.25">
      <c r="A15716" s="1"/>
    </row>
    <row r="15717" spans="1:1" ht="46.5" customHeight="1" x14ac:dyDescent="0.25">
      <c r="A15717" s="1"/>
    </row>
    <row r="15718" spans="1:1" ht="46.5" customHeight="1" x14ac:dyDescent="0.25">
      <c r="A15718" s="1"/>
    </row>
    <row r="15719" spans="1:1" ht="46.5" customHeight="1" x14ac:dyDescent="0.25">
      <c r="A15719" s="1"/>
    </row>
    <row r="15720" spans="1:1" ht="46.5" customHeight="1" x14ac:dyDescent="0.25">
      <c r="A15720" s="1"/>
    </row>
    <row r="15721" spans="1:1" ht="46.5" customHeight="1" x14ac:dyDescent="0.25">
      <c r="A15721" s="1"/>
    </row>
    <row r="15722" spans="1:1" ht="46.5" customHeight="1" x14ac:dyDescent="0.25">
      <c r="A15722" s="1"/>
    </row>
    <row r="15723" spans="1:1" ht="46.5" customHeight="1" x14ac:dyDescent="0.25">
      <c r="A15723" s="1"/>
    </row>
    <row r="15724" spans="1:1" ht="46.5" customHeight="1" x14ac:dyDescent="0.25">
      <c r="A15724" s="1"/>
    </row>
    <row r="15725" spans="1:1" ht="46.5" customHeight="1" x14ac:dyDescent="0.25">
      <c r="A15725" s="1"/>
    </row>
    <row r="15726" spans="1:1" ht="46.5" customHeight="1" x14ac:dyDescent="0.25">
      <c r="A15726" s="1"/>
    </row>
    <row r="15727" spans="1:1" ht="46.5" customHeight="1" x14ac:dyDescent="0.25">
      <c r="A15727" s="1"/>
    </row>
    <row r="15728" spans="1:1" ht="46.5" customHeight="1" x14ac:dyDescent="0.25">
      <c r="A15728" s="1"/>
    </row>
    <row r="15729" spans="1:1" ht="46.5" customHeight="1" x14ac:dyDescent="0.25">
      <c r="A15729" s="1"/>
    </row>
    <row r="15730" spans="1:1" ht="46.5" customHeight="1" x14ac:dyDescent="0.25">
      <c r="A15730" s="1"/>
    </row>
    <row r="15731" spans="1:1" ht="46.5" customHeight="1" x14ac:dyDescent="0.25">
      <c r="A15731" s="1"/>
    </row>
    <row r="15732" spans="1:1" ht="46.5" customHeight="1" x14ac:dyDescent="0.25">
      <c r="A15732" s="1"/>
    </row>
    <row r="15733" spans="1:1" ht="46.5" customHeight="1" x14ac:dyDescent="0.25">
      <c r="A15733" s="1"/>
    </row>
    <row r="15734" spans="1:1" ht="46.5" customHeight="1" x14ac:dyDescent="0.25">
      <c r="A15734" s="1"/>
    </row>
    <row r="15735" spans="1:1" ht="46.5" customHeight="1" x14ac:dyDescent="0.25">
      <c r="A15735" s="1"/>
    </row>
    <row r="15736" spans="1:1" ht="46.5" customHeight="1" x14ac:dyDescent="0.25">
      <c r="A15736" s="1"/>
    </row>
    <row r="15737" spans="1:1" ht="46.5" customHeight="1" x14ac:dyDescent="0.25">
      <c r="A15737" s="1"/>
    </row>
    <row r="15738" spans="1:1" ht="46.5" customHeight="1" x14ac:dyDescent="0.25">
      <c r="A15738" s="1"/>
    </row>
    <row r="15739" spans="1:1" ht="46.5" customHeight="1" x14ac:dyDescent="0.25">
      <c r="A15739" s="1"/>
    </row>
    <row r="15740" spans="1:1" ht="46.5" customHeight="1" x14ac:dyDescent="0.25">
      <c r="A15740" s="1"/>
    </row>
    <row r="15741" spans="1:1" ht="46.5" customHeight="1" x14ac:dyDescent="0.25">
      <c r="A15741" s="1"/>
    </row>
    <row r="15742" spans="1:1" ht="46.5" customHeight="1" x14ac:dyDescent="0.25">
      <c r="A15742" s="1"/>
    </row>
    <row r="15743" spans="1:1" ht="46.5" customHeight="1" x14ac:dyDescent="0.25">
      <c r="A15743" s="1"/>
    </row>
    <row r="15744" spans="1:1" ht="46.5" customHeight="1" x14ac:dyDescent="0.25">
      <c r="A15744" s="1"/>
    </row>
    <row r="15745" spans="1:1" ht="46.5" customHeight="1" x14ac:dyDescent="0.25">
      <c r="A15745" s="1"/>
    </row>
    <row r="15746" spans="1:1" ht="46.5" customHeight="1" x14ac:dyDescent="0.25">
      <c r="A15746" s="1"/>
    </row>
    <row r="15747" spans="1:1" ht="46.5" customHeight="1" x14ac:dyDescent="0.25">
      <c r="A15747" s="1"/>
    </row>
    <row r="15748" spans="1:1" ht="46.5" customHeight="1" x14ac:dyDescent="0.25">
      <c r="A15748" s="1"/>
    </row>
    <row r="15749" spans="1:1" ht="46.5" customHeight="1" x14ac:dyDescent="0.25">
      <c r="A15749" s="1"/>
    </row>
    <row r="15750" spans="1:1" ht="46.5" customHeight="1" x14ac:dyDescent="0.25">
      <c r="A15750" s="1"/>
    </row>
    <row r="15751" spans="1:1" ht="46.5" customHeight="1" x14ac:dyDescent="0.25">
      <c r="A15751" s="1"/>
    </row>
    <row r="15752" spans="1:1" ht="46.5" customHeight="1" x14ac:dyDescent="0.25">
      <c r="A15752" s="1"/>
    </row>
    <row r="15753" spans="1:1" ht="46.5" customHeight="1" x14ac:dyDescent="0.25">
      <c r="A15753" s="1"/>
    </row>
    <row r="15754" spans="1:1" ht="46.5" customHeight="1" x14ac:dyDescent="0.25">
      <c r="A15754" s="1"/>
    </row>
    <row r="15755" spans="1:1" ht="46.5" customHeight="1" x14ac:dyDescent="0.25">
      <c r="A15755" s="1"/>
    </row>
    <row r="15756" spans="1:1" ht="46.5" customHeight="1" x14ac:dyDescent="0.25">
      <c r="A15756" s="1"/>
    </row>
    <row r="15757" spans="1:1" ht="46.5" customHeight="1" x14ac:dyDescent="0.25">
      <c r="A15757" s="1"/>
    </row>
    <row r="15758" spans="1:1" ht="46.5" customHeight="1" x14ac:dyDescent="0.25">
      <c r="A15758" s="1"/>
    </row>
    <row r="15759" spans="1:1" ht="46.5" customHeight="1" x14ac:dyDescent="0.25">
      <c r="A15759" s="1"/>
    </row>
    <row r="15760" spans="1:1" ht="46.5" customHeight="1" x14ac:dyDescent="0.25">
      <c r="A15760" s="1"/>
    </row>
    <row r="15761" spans="1:1" ht="46.5" customHeight="1" x14ac:dyDescent="0.25">
      <c r="A15761" s="1"/>
    </row>
    <row r="15762" spans="1:1" ht="46.5" customHeight="1" x14ac:dyDescent="0.25">
      <c r="A15762" s="1"/>
    </row>
    <row r="15763" spans="1:1" ht="46.5" customHeight="1" x14ac:dyDescent="0.25">
      <c r="A15763" s="1"/>
    </row>
    <row r="15764" spans="1:1" ht="46.5" customHeight="1" x14ac:dyDescent="0.25">
      <c r="A15764" s="1"/>
    </row>
    <row r="15765" spans="1:1" ht="46.5" customHeight="1" x14ac:dyDescent="0.25">
      <c r="A15765" s="1"/>
    </row>
    <row r="15766" spans="1:1" ht="46.5" customHeight="1" x14ac:dyDescent="0.25">
      <c r="A15766" s="1"/>
    </row>
    <row r="15767" spans="1:1" ht="46.5" customHeight="1" x14ac:dyDescent="0.25">
      <c r="A15767" s="1"/>
    </row>
    <row r="15768" spans="1:1" ht="46.5" customHeight="1" x14ac:dyDescent="0.25">
      <c r="A15768" s="1"/>
    </row>
    <row r="15769" spans="1:1" ht="46.5" customHeight="1" x14ac:dyDescent="0.25">
      <c r="A15769" s="1"/>
    </row>
    <row r="15770" spans="1:1" ht="46.5" customHeight="1" x14ac:dyDescent="0.25">
      <c r="A15770" s="1"/>
    </row>
    <row r="15771" spans="1:1" ht="46.5" customHeight="1" x14ac:dyDescent="0.25">
      <c r="A15771" s="1"/>
    </row>
    <row r="15772" spans="1:1" ht="46.5" customHeight="1" x14ac:dyDescent="0.25">
      <c r="A15772" s="1"/>
    </row>
    <row r="15773" spans="1:1" ht="46.5" customHeight="1" x14ac:dyDescent="0.25">
      <c r="A15773" s="1"/>
    </row>
    <row r="15774" spans="1:1" ht="46.5" customHeight="1" x14ac:dyDescent="0.25">
      <c r="A15774" s="1"/>
    </row>
    <row r="15775" spans="1:1" ht="46.5" customHeight="1" x14ac:dyDescent="0.25">
      <c r="A15775" s="1"/>
    </row>
    <row r="15776" spans="1:1" ht="46.5" customHeight="1" x14ac:dyDescent="0.25">
      <c r="A15776" s="1"/>
    </row>
    <row r="15777" spans="1:1" ht="46.5" customHeight="1" x14ac:dyDescent="0.25">
      <c r="A15777" s="1"/>
    </row>
    <row r="15778" spans="1:1" ht="46.5" customHeight="1" x14ac:dyDescent="0.25">
      <c r="A15778" s="1"/>
    </row>
    <row r="15779" spans="1:1" ht="46.5" customHeight="1" x14ac:dyDescent="0.25">
      <c r="A15779" s="1"/>
    </row>
    <row r="15780" spans="1:1" ht="46.5" customHeight="1" x14ac:dyDescent="0.25">
      <c r="A15780" s="1"/>
    </row>
    <row r="15781" spans="1:1" ht="46.5" customHeight="1" x14ac:dyDescent="0.25">
      <c r="A15781" s="1"/>
    </row>
    <row r="15782" spans="1:1" ht="46.5" customHeight="1" x14ac:dyDescent="0.25">
      <c r="A15782" s="1"/>
    </row>
    <row r="15783" spans="1:1" ht="46.5" customHeight="1" x14ac:dyDescent="0.25">
      <c r="A15783" s="1"/>
    </row>
    <row r="15784" spans="1:1" ht="46.5" customHeight="1" x14ac:dyDescent="0.25">
      <c r="A15784" s="1"/>
    </row>
    <row r="15785" spans="1:1" ht="46.5" customHeight="1" x14ac:dyDescent="0.25">
      <c r="A15785" s="1"/>
    </row>
    <row r="15786" spans="1:1" ht="46.5" customHeight="1" x14ac:dyDescent="0.25">
      <c r="A15786" s="1"/>
    </row>
    <row r="15787" spans="1:1" ht="46.5" customHeight="1" x14ac:dyDescent="0.25">
      <c r="A15787" s="1"/>
    </row>
    <row r="15788" spans="1:1" ht="46.5" customHeight="1" x14ac:dyDescent="0.25">
      <c r="A15788" s="1"/>
    </row>
    <row r="15789" spans="1:1" ht="46.5" customHeight="1" x14ac:dyDescent="0.25">
      <c r="A15789" s="1"/>
    </row>
    <row r="15790" spans="1:1" ht="46.5" customHeight="1" x14ac:dyDescent="0.25">
      <c r="A15790" s="1"/>
    </row>
    <row r="15791" spans="1:1" ht="46.5" customHeight="1" x14ac:dyDescent="0.25">
      <c r="A15791" s="1"/>
    </row>
    <row r="15792" spans="1:1" ht="46.5" customHeight="1" x14ac:dyDescent="0.25">
      <c r="A15792" s="1"/>
    </row>
    <row r="15793" spans="1:1" ht="46.5" customHeight="1" x14ac:dyDescent="0.25">
      <c r="A15793" s="1"/>
    </row>
    <row r="15794" spans="1:1" ht="46.5" customHeight="1" x14ac:dyDescent="0.25">
      <c r="A15794" s="1"/>
    </row>
    <row r="15795" spans="1:1" ht="46.5" customHeight="1" x14ac:dyDescent="0.25">
      <c r="A15795" s="1"/>
    </row>
    <row r="15796" spans="1:1" ht="46.5" customHeight="1" x14ac:dyDescent="0.25">
      <c r="A15796" s="1"/>
    </row>
    <row r="15797" spans="1:1" ht="46.5" customHeight="1" x14ac:dyDescent="0.25">
      <c r="A15797" s="1"/>
    </row>
    <row r="15798" spans="1:1" ht="46.5" customHeight="1" x14ac:dyDescent="0.25">
      <c r="A15798" s="1"/>
    </row>
    <row r="15799" spans="1:1" ht="46.5" customHeight="1" x14ac:dyDescent="0.25">
      <c r="A15799" s="1"/>
    </row>
    <row r="15800" spans="1:1" ht="46.5" customHeight="1" x14ac:dyDescent="0.25">
      <c r="A15800" s="1"/>
    </row>
    <row r="15801" spans="1:1" ht="46.5" customHeight="1" x14ac:dyDescent="0.25">
      <c r="A15801" s="1"/>
    </row>
    <row r="15802" spans="1:1" ht="46.5" customHeight="1" x14ac:dyDescent="0.25">
      <c r="A15802" s="1"/>
    </row>
    <row r="15803" spans="1:1" ht="46.5" customHeight="1" x14ac:dyDescent="0.25">
      <c r="A15803" s="1"/>
    </row>
    <row r="15804" spans="1:1" ht="46.5" customHeight="1" x14ac:dyDescent="0.25">
      <c r="A15804" s="1"/>
    </row>
    <row r="15805" spans="1:1" ht="46.5" customHeight="1" x14ac:dyDescent="0.25">
      <c r="A15805" s="1"/>
    </row>
    <row r="15806" spans="1:1" ht="46.5" customHeight="1" x14ac:dyDescent="0.25">
      <c r="A15806" s="1"/>
    </row>
    <row r="15807" spans="1:1" ht="46.5" customHeight="1" x14ac:dyDescent="0.25">
      <c r="A15807" s="1"/>
    </row>
    <row r="15808" spans="1:1" ht="46.5" customHeight="1" x14ac:dyDescent="0.25">
      <c r="A15808" s="1"/>
    </row>
    <row r="15809" spans="1:1" ht="46.5" customHeight="1" x14ac:dyDescent="0.25">
      <c r="A15809" s="1"/>
    </row>
    <row r="15810" spans="1:1" ht="46.5" customHeight="1" x14ac:dyDescent="0.25">
      <c r="A15810" s="1"/>
    </row>
    <row r="15811" spans="1:1" ht="46.5" customHeight="1" x14ac:dyDescent="0.25">
      <c r="A15811" s="1"/>
    </row>
    <row r="15812" spans="1:1" ht="46.5" customHeight="1" x14ac:dyDescent="0.25">
      <c r="A15812" s="1"/>
    </row>
    <row r="15813" spans="1:1" ht="46.5" customHeight="1" x14ac:dyDescent="0.25">
      <c r="A15813" s="1"/>
    </row>
    <row r="15814" spans="1:1" ht="46.5" customHeight="1" x14ac:dyDescent="0.25">
      <c r="A15814" s="1"/>
    </row>
    <row r="15815" spans="1:1" ht="46.5" customHeight="1" x14ac:dyDescent="0.25">
      <c r="A15815" s="1"/>
    </row>
    <row r="15816" spans="1:1" ht="46.5" customHeight="1" x14ac:dyDescent="0.25">
      <c r="A15816" s="1"/>
    </row>
    <row r="15817" spans="1:1" ht="46.5" customHeight="1" x14ac:dyDescent="0.25">
      <c r="A15817" s="1"/>
    </row>
    <row r="15818" spans="1:1" ht="46.5" customHeight="1" x14ac:dyDescent="0.25">
      <c r="A15818" s="1"/>
    </row>
    <row r="15819" spans="1:1" ht="46.5" customHeight="1" x14ac:dyDescent="0.25">
      <c r="A15819" s="1"/>
    </row>
    <row r="15820" spans="1:1" ht="46.5" customHeight="1" x14ac:dyDescent="0.25">
      <c r="A15820" s="1"/>
    </row>
    <row r="15821" spans="1:1" ht="46.5" customHeight="1" x14ac:dyDescent="0.25">
      <c r="A15821" s="1"/>
    </row>
    <row r="15822" spans="1:1" ht="46.5" customHeight="1" x14ac:dyDescent="0.25">
      <c r="A15822" s="1"/>
    </row>
    <row r="15823" spans="1:1" ht="46.5" customHeight="1" x14ac:dyDescent="0.25">
      <c r="A15823" s="1"/>
    </row>
    <row r="15824" spans="1:1" ht="46.5" customHeight="1" x14ac:dyDescent="0.25">
      <c r="A15824" s="1"/>
    </row>
    <row r="15825" spans="1:1" ht="46.5" customHeight="1" x14ac:dyDescent="0.25">
      <c r="A15825" s="1"/>
    </row>
    <row r="15826" spans="1:1" ht="46.5" customHeight="1" x14ac:dyDescent="0.25">
      <c r="A15826" s="1"/>
    </row>
    <row r="15827" spans="1:1" ht="46.5" customHeight="1" x14ac:dyDescent="0.25">
      <c r="A15827" s="1"/>
    </row>
    <row r="15828" spans="1:1" ht="46.5" customHeight="1" x14ac:dyDescent="0.25">
      <c r="A15828" s="1"/>
    </row>
    <row r="15829" spans="1:1" ht="46.5" customHeight="1" x14ac:dyDescent="0.25">
      <c r="A15829" s="1"/>
    </row>
    <row r="15830" spans="1:1" ht="46.5" customHeight="1" x14ac:dyDescent="0.25">
      <c r="A15830" s="1"/>
    </row>
    <row r="15831" spans="1:1" ht="46.5" customHeight="1" x14ac:dyDescent="0.25">
      <c r="A15831" s="1"/>
    </row>
    <row r="15832" spans="1:1" ht="46.5" customHeight="1" x14ac:dyDescent="0.25">
      <c r="A15832" s="1"/>
    </row>
    <row r="15833" spans="1:1" ht="46.5" customHeight="1" x14ac:dyDescent="0.25">
      <c r="A15833" s="1"/>
    </row>
    <row r="15834" spans="1:1" ht="46.5" customHeight="1" x14ac:dyDescent="0.25">
      <c r="A15834" s="1"/>
    </row>
    <row r="15835" spans="1:1" ht="46.5" customHeight="1" x14ac:dyDescent="0.25">
      <c r="A15835" s="1"/>
    </row>
    <row r="15836" spans="1:1" ht="46.5" customHeight="1" x14ac:dyDescent="0.25">
      <c r="A15836" s="1"/>
    </row>
    <row r="15837" spans="1:1" ht="46.5" customHeight="1" x14ac:dyDescent="0.25">
      <c r="A15837" s="1"/>
    </row>
    <row r="15838" spans="1:1" ht="46.5" customHeight="1" x14ac:dyDescent="0.25">
      <c r="A15838" s="1"/>
    </row>
    <row r="15839" spans="1:1" ht="46.5" customHeight="1" x14ac:dyDescent="0.25">
      <c r="A15839" s="1"/>
    </row>
    <row r="15840" spans="1:1" ht="46.5" customHeight="1" x14ac:dyDescent="0.25">
      <c r="A15840" s="1"/>
    </row>
    <row r="15841" spans="1:1" ht="46.5" customHeight="1" x14ac:dyDescent="0.25">
      <c r="A15841" s="1"/>
    </row>
    <row r="15842" spans="1:1" ht="46.5" customHeight="1" x14ac:dyDescent="0.25">
      <c r="A15842" s="1"/>
    </row>
    <row r="15843" spans="1:1" ht="46.5" customHeight="1" x14ac:dyDescent="0.25">
      <c r="A15843" s="1"/>
    </row>
    <row r="15844" spans="1:1" ht="46.5" customHeight="1" x14ac:dyDescent="0.25">
      <c r="A15844" s="1"/>
    </row>
    <row r="15845" spans="1:1" ht="46.5" customHeight="1" x14ac:dyDescent="0.25">
      <c r="A15845" s="1"/>
    </row>
    <row r="15846" spans="1:1" ht="46.5" customHeight="1" x14ac:dyDescent="0.25">
      <c r="A15846" s="1"/>
    </row>
    <row r="15847" spans="1:1" ht="46.5" customHeight="1" x14ac:dyDescent="0.25">
      <c r="A15847" s="1"/>
    </row>
    <row r="15848" spans="1:1" ht="46.5" customHeight="1" x14ac:dyDescent="0.25">
      <c r="A15848" s="1"/>
    </row>
    <row r="15849" spans="1:1" ht="46.5" customHeight="1" x14ac:dyDescent="0.25">
      <c r="A15849" s="1"/>
    </row>
    <row r="15850" spans="1:1" ht="46.5" customHeight="1" x14ac:dyDescent="0.25">
      <c r="A15850" s="1"/>
    </row>
    <row r="15851" spans="1:1" ht="46.5" customHeight="1" x14ac:dyDescent="0.25">
      <c r="A15851" s="1"/>
    </row>
    <row r="15852" spans="1:1" ht="46.5" customHeight="1" x14ac:dyDescent="0.25">
      <c r="A15852" s="1"/>
    </row>
    <row r="15853" spans="1:1" ht="46.5" customHeight="1" x14ac:dyDescent="0.25">
      <c r="A15853" s="1"/>
    </row>
    <row r="15854" spans="1:1" ht="46.5" customHeight="1" x14ac:dyDescent="0.25">
      <c r="A15854" s="1"/>
    </row>
    <row r="15855" spans="1:1" ht="46.5" customHeight="1" x14ac:dyDescent="0.25">
      <c r="A15855" s="1"/>
    </row>
    <row r="15856" spans="1:1" ht="46.5" customHeight="1" x14ac:dyDescent="0.25">
      <c r="A15856" s="1"/>
    </row>
    <row r="15857" spans="1:1" ht="46.5" customHeight="1" x14ac:dyDescent="0.25">
      <c r="A15857" s="1"/>
    </row>
    <row r="15858" spans="1:1" ht="46.5" customHeight="1" x14ac:dyDescent="0.25">
      <c r="A15858" s="1"/>
    </row>
    <row r="15859" spans="1:1" ht="46.5" customHeight="1" x14ac:dyDescent="0.25">
      <c r="A15859" s="1"/>
    </row>
    <row r="15860" spans="1:1" ht="46.5" customHeight="1" x14ac:dyDescent="0.25">
      <c r="A15860" s="1"/>
    </row>
    <row r="15861" spans="1:1" ht="46.5" customHeight="1" x14ac:dyDescent="0.25">
      <c r="A15861" s="1"/>
    </row>
    <row r="15862" spans="1:1" ht="46.5" customHeight="1" x14ac:dyDescent="0.25">
      <c r="A15862" s="1"/>
    </row>
    <row r="15863" spans="1:1" ht="46.5" customHeight="1" x14ac:dyDescent="0.25">
      <c r="A15863" s="1"/>
    </row>
    <row r="15864" spans="1:1" ht="46.5" customHeight="1" x14ac:dyDescent="0.25">
      <c r="A15864" s="1"/>
    </row>
    <row r="15865" spans="1:1" ht="46.5" customHeight="1" x14ac:dyDescent="0.25">
      <c r="A15865" s="1"/>
    </row>
    <row r="15866" spans="1:1" ht="46.5" customHeight="1" x14ac:dyDescent="0.25">
      <c r="A15866" s="1"/>
    </row>
    <row r="15867" spans="1:1" ht="46.5" customHeight="1" x14ac:dyDescent="0.25">
      <c r="A15867" s="1"/>
    </row>
    <row r="15868" spans="1:1" ht="46.5" customHeight="1" x14ac:dyDescent="0.25">
      <c r="A15868" s="1"/>
    </row>
    <row r="15869" spans="1:1" ht="46.5" customHeight="1" x14ac:dyDescent="0.25">
      <c r="A15869" s="1"/>
    </row>
    <row r="15870" spans="1:1" ht="46.5" customHeight="1" x14ac:dyDescent="0.25">
      <c r="A15870" s="1"/>
    </row>
    <row r="15871" spans="1:1" ht="46.5" customHeight="1" x14ac:dyDescent="0.25">
      <c r="A15871" s="1"/>
    </row>
    <row r="15872" spans="1:1" ht="46.5" customHeight="1" x14ac:dyDescent="0.25">
      <c r="A15872" s="1"/>
    </row>
    <row r="15873" spans="1:1" ht="46.5" customHeight="1" x14ac:dyDescent="0.25">
      <c r="A15873" s="1"/>
    </row>
    <row r="15874" spans="1:1" ht="46.5" customHeight="1" x14ac:dyDescent="0.25">
      <c r="A15874" s="1"/>
    </row>
    <row r="15875" spans="1:1" ht="46.5" customHeight="1" x14ac:dyDescent="0.25">
      <c r="A15875" s="1"/>
    </row>
    <row r="15876" spans="1:1" ht="46.5" customHeight="1" x14ac:dyDescent="0.25">
      <c r="A15876" s="1"/>
    </row>
    <row r="15877" spans="1:1" ht="46.5" customHeight="1" x14ac:dyDescent="0.25">
      <c r="A15877" s="1"/>
    </row>
    <row r="15878" spans="1:1" ht="46.5" customHeight="1" x14ac:dyDescent="0.25">
      <c r="A15878" s="1"/>
    </row>
    <row r="15879" spans="1:1" ht="46.5" customHeight="1" x14ac:dyDescent="0.25">
      <c r="A15879" s="1"/>
    </row>
    <row r="15880" spans="1:1" ht="46.5" customHeight="1" x14ac:dyDescent="0.25">
      <c r="A15880" s="1"/>
    </row>
    <row r="15881" spans="1:1" ht="46.5" customHeight="1" x14ac:dyDescent="0.25">
      <c r="A15881" s="1"/>
    </row>
    <row r="15882" spans="1:1" ht="46.5" customHeight="1" x14ac:dyDescent="0.25">
      <c r="A15882" s="1"/>
    </row>
    <row r="15883" spans="1:1" ht="46.5" customHeight="1" x14ac:dyDescent="0.25">
      <c r="A15883" s="1"/>
    </row>
    <row r="15884" spans="1:1" ht="46.5" customHeight="1" x14ac:dyDescent="0.25">
      <c r="A15884" s="1"/>
    </row>
    <row r="15885" spans="1:1" ht="46.5" customHeight="1" x14ac:dyDescent="0.25">
      <c r="A15885" s="1"/>
    </row>
    <row r="15886" spans="1:1" ht="46.5" customHeight="1" x14ac:dyDescent="0.25">
      <c r="A15886" s="1"/>
    </row>
    <row r="15887" spans="1:1" ht="46.5" customHeight="1" x14ac:dyDescent="0.25">
      <c r="A15887" s="1"/>
    </row>
    <row r="15888" spans="1:1" ht="46.5" customHeight="1" x14ac:dyDescent="0.25">
      <c r="A15888" s="1"/>
    </row>
    <row r="15889" spans="1:1" ht="46.5" customHeight="1" x14ac:dyDescent="0.25">
      <c r="A15889" s="1"/>
    </row>
    <row r="15890" spans="1:1" ht="46.5" customHeight="1" x14ac:dyDescent="0.25">
      <c r="A15890" s="1"/>
    </row>
    <row r="15891" spans="1:1" ht="46.5" customHeight="1" x14ac:dyDescent="0.25">
      <c r="A15891" s="1"/>
    </row>
    <row r="15892" spans="1:1" ht="46.5" customHeight="1" x14ac:dyDescent="0.25">
      <c r="A15892" s="1"/>
    </row>
    <row r="15893" spans="1:1" ht="46.5" customHeight="1" x14ac:dyDescent="0.25">
      <c r="A15893" s="1"/>
    </row>
    <row r="15894" spans="1:1" ht="46.5" customHeight="1" x14ac:dyDescent="0.25">
      <c r="A15894" s="1"/>
    </row>
    <row r="15895" spans="1:1" ht="46.5" customHeight="1" x14ac:dyDescent="0.25">
      <c r="A15895" s="1"/>
    </row>
    <row r="15896" spans="1:1" ht="46.5" customHeight="1" x14ac:dyDescent="0.25">
      <c r="A15896" s="1"/>
    </row>
    <row r="15897" spans="1:1" ht="46.5" customHeight="1" x14ac:dyDescent="0.25">
      <c r="A15897" s="1"/>
    </row>
    <row r="15898" spans="1:1" ht="46.5" customHeight="1" x14ac:dyDescent="0.25">
      <c r="A15898" s="1"/>
    </row>
    <row r="15899" spans="1:1" ht="46.5" customHeight="1" x14ac:dyDescent="0.25">
      <c r="A15899" s="1"/>
    </row>
    <row r="15900" spans="1:1" ht="46.5" customHeight="1" x14ac:dyDescent="0.25">
      <c r="A15900" s="1"/>
    </row>
    <row r="15901" spans="1:1" ht="46.5" customHeight="1" x14ac:dyDescent="0.25">
      <c r="A15901" s="1"/>
    </row>
    <row r="15902" spans="1:1" ht="46.5" customHeight="1" x14ac:dyDescent="0.25">
      <c r="A15902" s="1"/>
    </row>
    <row r="15903" spans="1:1" ht="46.5" customHeight="1" x14ac:dyDescent="0.25">
      <c r="A15903" s="1"/>
    </row>
    <row r="15904" spans="1:1" ht="46.5" customHeight="1" x14ac:dyDescent="0.25">
      <c r="A15904" s="1"/>
    </row>
    <row r="15905" spans="1:1" ht="46.5" customHeight="1" x14ac:dyDescent="0.25">
      <c r="A15905" s="1"/>
    </row>
    <row r="15906" spans="1:1" ht="46.5" customHeight="1" x14ac:dyDescent="0.25">
      <c r="A15906" s="1"/>
    </row>
    <row r="15907" spans="1:1" ht="46.5" customHeight="1" x14ac:dyDescent="0.25">
      <c r="A15907" s="1"/>
    </row>
    <row r="15908" spans="1:1" ht="46.5" customHeight="1" x14ac:dyDescent="0.25">
      <c r="A15908" s="1"/>
    </row>
    <row r="15909" spans="1:1" ht="46.5" customHeight="1" x14ac:dyDescent="0.25">
      <c r="A15909" s="1"/>
    </row>
    <row r="15910" spans="1:1" ht="46.5" customHeight="1" x14ac:dyDescent="0.25">
      <c r="A15910" s="1"/>
    </row>
    <row r="15911" spans="1:1" ht="46.5" customHeight="1" x14ac:dyDescent="0.25">
      <c r="A15911" s="1"/>
    </row>
    <row r="15912" spans="1:1" ht="46.5" customHeight="1" x14ac:dyDescent="0.25">
      <c r="A15912" s="1"/>
    </row>
    <row r="15913" spans="1:1" ht="46.5" customHeight="1" x14ac:dyDescent="0.25">
      <c r="A15913" s="1"/>
    </row>
    <row r="15914" spans="1:1" ht="46.5" customHeight="1" x14ac:dyDescent="0.25">
      <c r="A15914" s="1"/>
    </row>
    <row r="15915" spans="1:1" ht="46.5" customHeight="1" x14ac:dyDescent="0.25">
      <c r="A15915" s="1"/>
    </row>
    <row r="15916" spans="1:1" ht="46.5" customHeight="1" x14ac:dyDescent="0.25">
      <c r="A15916" s="1"/>
    </row>
    <row r="15917" spans="1:1" ht="46.5" customHeight="1" x14ac:dyDescent="0.25">
      <c r="A15917" s="1"/>
    </row>
    <row r="15918" spans="1:1" ht="46.5" customHeight="1" x14ac:dyDescent="0.25">
      <c r="A15918" s="1"/>
    </row>
    <row r="15919" spans="1:1" ht="46.5" customHeight="1" x14ac:dyDescent="0.25">
      <c r="A15919" s="1"/>
    </row>
    <row r="15920" spans="1:1" ht="46.5" customHeight="1" x14ac:dyDescent="0.25">
      <c r="A15920" s="1"/>
    </row>
    <row r="15921" spans="1:1" ht="46.5" customHeight="1" x14ac:dyDescent="0.25">
      <c r="A15921" s="1"/>
    </row>
    <row r="15922" spans="1:1" ht="46.5" customHeight="1" x14ac:dyDescent="0.25">
      <c r="A15922" s="1"/>
    </row>
    <row r="15923" spans="1:1" ht="46.5" customHeight="1" x14ac:dyDescent="0.25">
      <c r="A15923" s="1"/>
    </row>
    <row r="15924" spans="1:1" ht="46.5" customHeight="1" x14ac:dyDescent="0.25">
      <c r="A15924" s="1"/>
    </row>
    <row r="15925" spans="1:1" ht="46.5" customHeight="1" x14ac:dyDescent="0.25">
      <c r="A15925" s="1"/>
    </row>
    <row r="15926" spans="1:1" ht="46.5" customHeight="1" x14ac:dyDescent="0.25">
      <c r="A15926" s="1"/>
    </row>
    <row r="15927" spans="1:1" ht="46.5" customHeight="1" x14ac:dyDescent="0.25">
      <c r="A15927" s="1"/>
    </row>
    <row r="15928" spans="1:1" ht="46.5" customHeight="1" x14ac:dyDescent="0.25">
      <c r="A15928" s="1"/>
    </row>
    <row r="15929" spans="1:1" ht="46.5" customHeight="1" x14ac:dyDescent="0.25">
      <c r="A15929" s="1"/>
    </row>
    <row r="15930" spans="1:1" ht="46.5" customHeight="1" x14ac:dyDescent="0.25">
      <c r="A15930" s="1"/>
    </row>
    <row r="15931" spans="1:1" ht="46.5" customHeight="1" x14ac:dyDescent="0.25">
      <c r="A15931" s="1"/>
    </row>
    <row r="15932" spans="1:1" ht="46.5" customHeight="1" x14ac:dyDescent="0.25">
      <c r="A15932" s="1"/>
    </row>
    <row r="15933" spans="1:1" ht="46.5" customHeight="1" x14ac:dyDescent="0.25">
      <c r="A15933" s="1"/>
    </row>
    <row r="15934" spans="1:1" ht="46.5" customHeight="1" x14ac:dyDescent="0.25">
      <c r="A15934" s="1"/>
    </row>
    <row r="15935" spans="1:1" ht="46.5" customHeight="1" x14ac:dyDescent="0.25">
      <c r="A15935" s="1"/>
    </row>
    <row r="15936" spans="1:1" ht="46.5" customHeight="1" x14ac:dyDescent="0.25">
      <c r="A15936" s="1"/>
    </row>
    <row r="15937" spans="1:1" ht="46.5" customHeight="1" x14ac:dyDescent="0.25">
      <c r="A15937" s="1"/>
    </row>
    <row r="15938" spans="1:1" ht="46.5" customHeight="1" x14ac:dyDescent="0.25">
      <c r="A15938" s="1"/>
    </row>
    <row r="15939" spans="1:1" ht="46.5" customHeight="1" x14ac:dyDescent="0.25">
      <c r="A15939" s="1"/>
    </row>
    <row r="15940" spans="1:1" ht="46.5" customHeight="1" x14ac:dyDescent="0.25">
      <c r="A15940" s="1"/>
    </row>
    <row r="15941" spans="1:1" ht="46.5" customHeight="1" x14ac:dyDescent="0.25">
      <c r="A15941" s="1"/>
    </row>
    <row r="15942" spans="1:1" ht="46.5" customHeight="1" x14ac:dyDescent="0.25">
      <c r="A15942" s="1"/>
    </row>
    <row r="15943" spans="1:1" ht="46.5" customHeight="1" x14ac:dyDescent="0.25">
      <c r="A15943" s="1"/>
    </row>
    <row r="15944" spans="1:1" ht="46.5" customHeight="1" x14ac:dyDescent="0.25">
      <c r="A15944" s="1"/>
    </row>
    <row r="15945" spans="1:1" ht="46.5" customHeight="1" x14ac:dyDescent="0.25">
      <c r="A15945" s="1"/>
    </row>
    <row r="15946" spans="1:1" ht="46.5" customHeight="1" x14ac:dyDescent="0.25">
      <c r="A15946" s="1"/>
    </row>
    <row r="15947" spans="1:1" ht="46.5" customHeight="1" x14ac:dyDescent="0.25">
      <c r="A15947" s="1"/>
    </row>
    <row r="15948" spans="1:1" ht="46.5" customHeight="1" x14ac:dyDescent="0.25">
      <c r="A15948" s="1"/>
    </row>
    <row r="15949" spans="1:1" ht="46.5" customHeight="1" x14ac:dyDescent="0.25">
      <c r="A15949" s="1"/>
    </row>
    <row r="15950" spans="1:1" ht="46.5" customHeight="1" x14ac:dyDescent="0.25">
      <c r="A15950" s="1"/>
    </row>
    <row r="15951" spans="1:1" ht="46.5" customHeight="1" x14ac:dyDescent="0.25">
      <c r="A15951" s="1"/>
    </row>
    <row r="15952" spans="1:1" ht="46.5" customHeight="1" x14ac:dyDescent="0.25">
      <c r="A15952" s="1"/>
    </row>
    <row r="15953" spans="1:1" ht="46.5" customHeight="1" x14ac:dyDescent="0.25">
      <c r="A15953" s="1"/>
    </row>
    <row r="15954" spans="1:1" ht="46.5" customHeight="1" x14ac:dyDescent="0.25">
      <c r="A15954" s="1"/>
    </row>
    <row r="15955" spans="1:1" ht="46.5" customHeight="1" x14ac:dyDescent="0.25">
      <c r="A15955" s="1"/>
    </row>
    <row r="15956" spans="1:1" ht="46.5" customHeight="1" x14ac:dyDescent="0.25">
      <c r="A15956" s="1"/>
    </row>
    <row r="15957" spans="1:1" ht="46.5" customHeight="1" x14ac:dyDescent="0.25">
      <c r="A15957" s="1"/>
    </row>
    <row r="15958" spans="1:1" ht="46.5" customHeight="1" x14ac:dyDescent="0.25">
      <c r="A15958" s="1"/>
    </row>
    <row r="15959" spans="1:1" ht="46.5" customHeight="1" x14ac:dyDescent="0.25">
      <c r="A15959" s="1"/>
    </row>
    <row r="15960" spans="1:1" ht="46.5" customHeight="1" x14ac:dyDescent="0.25">
      <c r="A15960" s="1"/>
    </row>
    <row r="15961" spans="1:1" ht="46.5" customHeight="1" x14ac:dyDescent="0.25">
      <c r="A15961" s="1"/>
    </row>
    <row r="15962" spans="1:1" ht="46.5" customHeight="1" x14ac:dyDescent="0.25">
      <c r="A15962" s="1"/>
    </row>
    <row r="15963" spans="1:1" ht="46.5" customHeight="1" x14ac:dyDescent="0.25">
      <c r="A15963" s="1"/>
    </row>
    <row r="15964" spans="1:1" ht="46.5" customHeight="1" x14ac:dyDescent="0.25">
      <c r="A15964" s="1"/>
    </row>
    <row r="15965" spans="1:1" ht="46.5" customHeight="1" x14ac:dyDescent="0.25">
      <c r="A15965" s="1"/>
    </row>
    <row r="15966" spans="1:1" ht="46.5" customHeight="1" x14ac:dyDescent="0.25">
      <c r="A15966" s="1"/>
    </row>
    <row r="15967" spans="1:1" ht="46.5" customHeight="1" x14ac:dyDescent="0.25">
      <c r="A15967" s="1"/>
    </row>
    <row r="15968" spans="1:1" ht="46.5" customHeight="1" x14ac:dyDescent="0.25">
      <c r="A15968" s="1"/>
    </row>
    <row r="15969" spans="1:1" ht="46.5" customHeight="1" x14ac:dyDescent="0.25">
      <c r="A15969" s="1"/>
    </row>
    <row r="15970" spans="1:1" ht="46.5" customHeight="1" x14ac:dyDescent="0.25">
      <c r="A15970" s="1"/>
    </row>
    <row r="15971" spans="1:1" ht="46.5" customHeight="1" x14ac:dyDescent="0.25">
      <c r="A15971" s="1"/>
    </row>
    <row r="15972" spans="1:1" ht="46.5" customHeight="1" x14ac:dyDescent="0.25">
      <c r="A15972" s="1"/>
    </row>
    <row r="15973" spans="1:1" ht="46.5" customHeight="1" x14ac:dyDescent="0.25">
      <c r="A15973" s="1"/>
    </row>
    <row r="15974" spans="1:1" ht="46.5" customHeight="1" x14ac:dyDescent="0.25">
      <c r="A15974" s="1"/>
    </row>
    <row r="15975" spans="1:1" ht="46.5" customHeight="1" x14ac:dyDescent="0.25">
      <c r="A15975" s="1"/>
    </row>
    <row r="15976" spans="1:1" ht="46.5" customHeight="1" x14ac:dyDescent="0.25">
      <c r="A15976" s="1"/>
    </row>
    <row r="15977" spans="1:1" ht="46.5" customHeight="1" x14ac:dyDescent="0.25">
      <c r="A15977" s="1"/>
    </row>
    <row r="15978" spans="1:1" ht="46.5" customHeight="1" x14ac:dyDescent="0.25">
      <c r="A15978" s="1"/>
    </row>
    <row r="15979" spans="1:1" ht="46.5" customHeight="1" x14ac:dyDescent="0.25">
      <c r="A15979" s="1"/>
    </row>
    <row r="15980" spans="1:1" ht="46.5" customHeight="1" x14ac:dyDescent="0.25">
      <c r="A15980" s="1"/>
    </row>
    <row r="15981" spans="1:1" ht="46.5" customHeight="1" x14ac:dyDescent="0.25">
      <c r="A15981" s="1"/>
    </row>
    <row r="15982" spans="1:1" ht="46.5" customHeight="1" x14ac:dyDescent="0.25">
      <c r="A15982" s="1"/>
    </row>
    <row r="15983" spans="1:1" ht="46.5" customHeight="1" x14ac:dyDescent="0.25">
      <c r="A15983" s="1"/>
    </row>
    <row r="15984" spans="1:1" ht="46.5" customHeight="1" x14ac:dyDescent="0.25">
      <c r="A15984" s="1"/>
    </row>
    <row r="15985" spans="1:1" ht="46.5" customHeight="1" x14ac:dyDescent="0.25">
      <c r="A15985" s="1"/>
    </row>
    <row r="15986" spans="1:1" ht="46.5" customHeight="1" x14ac:dyDescent="0.25">
      <c r="A15986" s="1"/>
    </row>
    <row r="15987" spans="1:1" ht="46.5" customHeight="1" x14ac:dyDescent="0.25">
      <c r="A15987" s="1"/>
    </row>
    <row r="15988" spans="1:1" ht="46.5" customHeight="1" x14ac:dyDescent="0.25">
      <c r="A15988" s="1"/>
    </row>
    <row r="15989" spans="1:1" ht="46.5" customHeight="1" x14ac:dyDescent="0.25">
      <c r="A15989" s="1"/>
    </row>
    <row r="15990" spans="1:1" ht="46.5" customHeight="1" x14ac:dyDescent="0.25">
      <c r="A15990" s="1"/>
    </row>
    <row r="15991" spans="1:1" ht="46.5" customHeight="1" x14ac:dyDescent="0.25">
      <c r="A15991" s="1"/>
    </row>
    <row r="15992" spans="1:1" ht="46.5" customHeight="1" x14ac:dyDescent="0.25">
      <c r="A15992" s="1"/>
    </row>
    <row r="15993" spans="1:1" ht="46.5" customHeight="1" x14ac:dyDescent="0.25">
      <c r="A15993" s="1"/>
    </row>
    <row r="15994" spans="1:1" ht="46.5" customHeight="1" x14ac:dyDescent="0.25">
      <c r="A15994" s="1"/>
    </row>
    <row r="15995" spans="1:1" ht="46.5" customHeight="1" x14ac:dyDescent="0.25">
      <c r="A15995" s="1"/>
    </row>
    <row r="15996" spans="1:1" ht="46.5" customHeight="1" x14ac:dyDescent="0.25">
      <c r="A15996" s="1"/>
    </row>
    <row r="15997" spans="1:1" ht="46.5" customHeight="1" x14ac:dyDescent="0.25">
      <c r="A15997" s="1"/>
    </row>
    <row r="15998" spans="1:1" ht="46.5" customHeight="1" x14ac:dyDescent="0.25">
      <c r="A15998" s="1"/>
    </row>
    <row r="15999" spans="1:1" ht="46.5" customHeight="1" x14ac:dyDescent="0.25">
      <c r="A15999" s="1"/>
    </row>
    <row r="16000" spans="1:1" ht="46.5" customHeight="1" x14ac:dyDescent="0.25">
      <c r="A16000" s="1"/>
    </row>
    <row r="16001" spans="1:1" ht="46.5" customHeight="1" x14ac:dyDescent="0.25">
      <c r="A16001" s="1"/>
    </row>
    <row r="16002" spans="1:1" ht="46.5" customHeight="1" x14ac:dyDescent="0.25">
      <c r="A16002" s="1"/>
    </row>
    <row r="16003" spans="1:1" ht="46.5" customHeight="1" x14ac:dyDescent="0.25">
      <c r="A16003" s="1"/>
    </row>
    <row r="16004" spans="1:1" ht="46.5" customHeight="1" x14ac:dyDescent="0.25">
      <c r="A16004" s="1"/>
    </row>
    <row r="16005" spans="1:1" ht="46.5" customHeight="1" x14ac:dyDescent="0.25">
      <c r="A16005" s="1"/>
    </row>
    <row r="16006" spans="1:1" ht="46.5" customHeight="1" x14ac:dyDescent="0.25">
      <c r="A16006" s="1"/>
    </row>
    <row r="16007" spans="1:1" ht="46.5" customHeight="1" x14ac:dyDescent="0.25">
      <c r="A16007" s="1"/>
    </row>
    <row r="16008" spans="1:1" ht="46.5" customHeight="1" x14ac:dyDescent="0.25">
      <c r="A16008" s="1"/>
    </row>
    <row r="16009" spans="1:1" ht="46.5" customHeight="1" x14ac:dyDescent="0.25">
      <c r="A16009" s="1"/>
    </row>
    <row r="16010" spans="1:1" ht="46.5" customHeight="1" x14ac:dyDescent="0.25">
      <c r="A16010" s="1"/>
    </row>
    <row r="16011" spans="1:1" ht="46.5" customHeight="1" x14ac:dyDescent="0.25">
      <c r="A16011" s="1"/>
    </row>
    <row r="16012" spans="1:1" ht="46.5" customHeight="1" x14ac:dyDescent="0.25">
      <c r="A16012" s="1"/>
    </row>
    <row r="16013" spans="1:1" ht="46.5" customHeight="1" x14ac:dyDescent="0.25">
      <c r="A16013" s="1"/>
    </row>
    <row r="16014" spans="1:1" ht="46.5" customHeight="1" x14ac:dyDescent="0.25">
      <c r="A16014" s="1"/>
    </row>
    <row r="16015" spans="1:1" ht="46.5" customHeight="1" x14ac:dyDescent="0.25">
      <c r="A16015" s="1"/>
    </row>
    <row r="16016" spans="1:1" ht="46.5" customHeight="1" x14ac:dyDescent="0.25">
      <c r="A16016" s="1"/>
    </row>
    <row r="16017" spans="1:1" ht="46.5" customHeight="1" x14ac:dyDescent="0.25">
      <c r="A16017" s="1"/>
    </row>
    <row r="16018" spans="1:1" ht="46.5" customHeight="1" x14ac:dyDescent="0.25">
      <c r="A16018" s="1"/>
    </row>
    <row r="16019" spans="1:1" ht="46.5" customHeight="1" x14ac:dyDescent="0.25">
      <c r="A16019" s="1"/>
    </row>
    <row r="16020" spans="1:1" ht="46.5" customHeight="1" x14ac:dyDescent="0.25">
      <c r="A16020" s="1"/>
    </row>
    <row r="16021" spans="1:1" ht="46.5" customHeight="1" x14ac:dyDescent="0.25">
      <c r="A16021" s="1"/>
    </row>
    <row r="16022" spans="1:1" ht="46.5" customHeight="1" x14ac:dyDescent="0.25">
      <c r="A16022" s="1"/>
    </row>
    <row r="16023" spans="1:1" ht="46.5" customHeight="1" x14ac:dyDescent="0.25">
      <c r="A16023" s="1"/>
    </row>
    <row r="16024" spans="1:1" ht="46.5" customHeight="1" x14ac:dyDescent="0.25">
      <c r="A16024" s="1"/>
    </row>
    <row r="16025" spans="1:1" ht="46.5" customHeight="1" x14ac:dyDescent="0.25">
      <c r="A16025" s="1"/>
    </row>
    <row r="16026" spans="1:1" ht="46.5" customHeight="1" x14ac:dyDescent="0.25">
      <c r="A16026" s="1"/>
    </row>
    <row r="16027" spans="1:1" ht="46.5" customHeight="1" x14ac:dyDescent="0.25">
      <c r="A16027" s="1"/>
    </row>
    <row r="16028" spans="1:1" ht="46.5" customHeight="1" x14ac:dyDescent="0.25">
      <c r="A16028" s="1"/>
    </row>
    <row r="16029" spans="1:1" ht="46.5" customHeight="1" x14ac:dyDescent="0.25">
      <c r="A16029" s="1"/>
    </row>
    <row r="16030" spans="1:1" ht="46.5" customHeight="1" x14ac:dyDescent="0.25">
      <c r="A16030" s="1"/>
    </row>
    <row r="16031" spans="1:1" ht="46.5" customHeight="1" x14ac:dyDescent="0.25">
      <c r="A16031" s="1"/>
    </row>
    <row r="16032" spans="1:1" ht="46.5" customHeight="1" x14ac:dyDescent="0.25">
      <c r="A16032" s="1"/>
    </row>
    <row r="16033" spans="1:1" ht="46.5" customHeight="1" x14ac:dyDescent="0.25">
      <c r="A16033" s="1"/>
    </row>
    <row r="16034" spans="1:1" ht="46.5" customHeight="1" x14ac:dyDescent="0.25">
      <c r="A16034" s="1"/>
    </row>
    <row r="16035" spans="1:1" ht="46.5" customHeight="1" x14ac:dyDescent="0.25">
      <c r="A16035" s="1"/>
    </row>
    <row r="16036" spans="1:1" ht="46.5" customHeight="1" x14ac:dyDescent="0.25">
      <c r="A16036" s="1"/>
    </row>
    <row r="16037" spans="1:1" ht="46.5" customHeight="1" x14ac:dyDescent="0.25">
      <c r="A16037" s="1"/>
    </row>
    <row r="16038" spans="1:1" ht="46.5" customHeight="1" x14ac:dyDescent="0.25">
      <c r="A16038" s="1"/>
    </row>
    <row r="16039" spans="1:1" ht="46.5" customHeight="1" x14ac:dyDescent="0.25">
      <c r="A16039" s="1"/>
    </row>
    <row r="16040" spans="1:1" ht="46.5" customHeight="1" x14ac:dyDescent="0.25">
      <c r="A16040" s="1"/>
    </row>
    <row r="16041" spans="1:1" ht="46.5" customHeight="1" x14ac:dyDescent="0.25">
      <c r="A16041" s="1"/>
    </row>
    <row r="16042" spans="1:1" ht="46.5" customHeight="1" x14ac:dyDescent="0.25">
      <c r="A16042" s="1"/>
    </row>
    <row r="16043" spans="1:1" ht="46.5" customHeight="1" x14ac:dyDescent="0.25">
      <c r="A16043" s="1"/>
    </row>
    <row r="16044" spans="1:1" ht="46.5" customHeight="1" x14ac:dyDescent="0.25">
      <c r="A16044" s="1"/>
    </row>
    <row r="16045" spans="1:1" ht="46.5" customHeight="1" x14ac:dyDescent="0.25">
      <c r="A16045" s="1"/>
    </row>
    <row r="16046" spans="1:1" ht="46.5" customHeight="1" x14ac:dyDescent="0.25">
      <c r="A16046" s="1"/>
    </row>
    <row r="16047" spans="1:1" ht="46.5" customHeight="1" x14ac:dyDescent="0.25">
      <c r="A16047" s="1"/>
    </row>
    <row r="16048" spans="1:1" ht="46.5" customHeight="1" x14ac:dyDescent="0.25">
      <c r="A16048" s="1"/>
    </row>
    <row r="16049" spans="1:1" ht="46.5" customHeight="1" x14ac:dyDescent="0.25">
      <c r="A16049" s="1"/>
    </row>
    <row r="16050" spans="1:1" ht="46.5" customHeight="1" x14ac:dyDescent="0.25">
      <c r="A16050" s="1"/>
    </row>
    <row r="16051" spans="1:1" ht="46.5" customHeight="1" x14ac:dyDescent="0.25">
      <c r="A16051" s="1"/>
    </row>
    <row r="16052" spans="1:1" ht="46.5" customHeight="1" x14ac:dyDescent="0.25">
      <c r="A16052" s="1"/>
    </row>
    <row r="16053" spans="1:1" ht="46.5" customHeight="1" x14ac:dyDescent="0.25">
      <c r="A16053" s="1"/>
    </row>
    <row r="16054" spans="1:1" ht="46.5" customHeight="1" x14ac:dyDescent="0.25">
      <c r="A16054" s="1"/>
    </row>
    <row r="16055" spans="1:1" ht="46.5" customHeight="1" x14ac:dyDescent="0.25">
      <c r="A16055" s="1"/>
    </row>
    <row r="16056" spans="1:1" ht="46.5" customHeight="1" x14ac:dyDescent="0.25">
      <c r="A16056" s="1"/>
    </row>
    <row r="16057" spans="1:1" ht="46.5" customHeight="1" x14ac:dyDescent="0.25">
      <c r="A16057" s="1"/>
    </row>
    <row r="16058" spans="1:1" ht="46.5" customHeight="1" x14ac:dyDescent="0.25">
      <c r="A16058" s="1"/>
    </row>
    <row r="16059" spans="1:1" ht="46.5" customHeight="1" x14ac:dyDescent="0.25">
      <c r="A16059" s="1"/>
    </row>
    <row r="16060" spans="1:1" ht="46.5" customHeight="1" x14ac:dyDescent="0.25">
      <c r="A16060" s="1"/>
    </row>
    <row r="16061" spans="1:1" ht="46.5" customHeight="1" x14ac:dyDescent="0.25">
      <c r="A16061" s="1"/>
    </row>
    <row r="16062" spans="1:1" ht="46.5" customHeight="1" x14ac:dyDescent="0.25">
      <c r="A16062" s="1"/>
    </row>
    <row r="16063" spans="1:1" ht="46.5" customHeight="1" x14ac:dyDescent="0.25">
      <c r="A16063" s="1"/>
    </row>
    <row r="16064" spans="1:1" ht="46.5" customHeight="1" x14ac:dyDescent="0.25">
      <c r="A16064" s="1"/>
    </row>
    <row r="16065" spans="1:1" ht="46.5" customHeight="1" x14ac:dyDescent="0.25">
      <c r="A16065" s="1"/>
    </row>
    <row r="16066" spans="1:1" ht="46.5" customHeight="1" x14ac:dyDescent="0.25">
      <c r="A16066" s="1"/>
    </row>
    <row r="16067" spans="1:1" ht="46.5" customHeight="1" x14ac:dyDescent="0.25">
      <c r="A16067" s="1"/>
    </row>
    <row r="16068" spans="1:1" ht="46.5" customHeight="1" x14ac:dyDescent="0.25">
      <c r="A16068" s="1"/>
    </row>
    <row r="16069" spans="1:1" ht="46.5" customHeight="1" x14ac:dyDescent="0.25">
      <c r="A16069" s="1"/>
    </row>
    <row r="16070" spans="1:1" ht="46.5" customHeight="1" x14ac:dyDescent="0.25">
      <c r="A16070" s="1"/>
    </row>
    <row r="16071" spans="1:1" ht="46.5" customHeight="1" x14ac:dyDescent="0.25">
      <c r="A16071" s="1"/>
    </row>
    <row r="16072" spans="1:1" ht="46.5" customHeight="1" x14ac:dyDescent="0.25">
      <c r="A16072" s="1"/>
    </row>
    <row r="16073" spans="1:1" ht="46.5" customHeight="1" x14ac:dyDescent="0.25">
      <c r="A16073" s="1"/>
    </row>
    <row r="16074" spans="1:1" ht="46.5" customHeight="1" x14ac:dyDescent="0.25">
      <c r="A16074" s="1"/>
    </row>
    <row r="16075" spans="1:1" ht="46.5" customHeight="1" x14ac:dyDescent="0.25">
      <c r="A16075" s="1"/>
    </row>
    <row r="16076" spans="1:1" ht="46.5" customHeight="1" x14ac:dyDescent="0.25">
      <c r="A16076" s="1"/>
    </row>
    <row r="16077" spans="1:1" ht="46.5" customHeight="1" x14ac:dyDescent="0.25">
      <c r="A16077" s="1"/>
    </row>
    <row r="16078" spans="1:1" ht="46.5" customHeight="1" x14ac:dyDescent="0.25">
      <c r="A16078" s="1"/>
    </row>
    <row r="16079" spans="1:1" ht="46.5" customHeight="1" x14ac:dyDescent="0.25">
      <c r="A16079" s="1"/>
    </row>
    <row r="16080" spans="1:1" ht="46.5" customHeight="1" x14ac:dyDescent="0.25">
      <c r="A16080" s="1"/>
    </row>
    <row r="16081" spans="1:1" ht="46.5" customHeight="1" x14ac:dyDescent="0.25">
      <c r="A16081" s="1"/>
    </row>
    <row r="16082" spans="1:1" ht="46.5" customHeight="1" x14ac:dyDescent="0.25">
      <c r="A16082" s="1"/>
    </row>
    <row r="16083" spans="1:1" ht="46.5" customHeight="1" x14ac:dyDescent="0.25">
      <c r="A16083" s="1"/>
    </row>
    <row r="16084" spans="1:1" ht="46.5" customHeight="1" x14ac:dyDescent="0.25">
      <c r="A16084" s="1"/>
    </row>
    <row r="16085" spans="1:1" ht="46.5" customHeight="1" x14ac:dyDescent="0.25">
      <c r="A16085" s="1"/>
    </row>
    <row r="16086" spans="1:1" ht="46.5" customHeight="1" x14ac:dyDescent="0.25">
      <c r="A16086" s="1"/>
    </row>
    <row r="16087" spans="1:1" ht="46.5" customHeight="1" x14ac:dyDescent="0.25">
      <c r="A16087" s="1"/>
    </row>
    <row r="16088" spans="1:1" ht="46.5" customHeight="1" x14ac:dyDescent="0.25">
      <c r="A16088" s="1"/>
    </row>
    <row r="16089" spans="1:1" ht="46.5" customHeight="1" x14ac:dyDescent="0.25">
      <c r="A16089" s="1"/>
    </row>
    <row r="16090" spans="1:1" ht="46.5" customHeight="1" x14ac:dyDescent="0.25">
      <c r="A16090" s="1"/>
    </row>
    <row r="16091" spans="1:1" ht="46.5" customHeight="1" x14ac:dyDescent="0.25">
      <c r="A16091" s="1"/>
    </row>
    <row r="16092" spans="1:1" ht="46.5" customHeight="1" x14ac:dyDescent="0.25">
      <c r="A16092" s="1"/>
    </row>
    <row r="16093" spans="1:1" ht="46.5" customHeight="1" x14ac:dyDescent="0.25">
      <c r="A16093" s="1"/>
    </row>
    <row r="16094" spans="1:1" ht="46.5" customHeight="1" x14ac:dyDescent="0.25">
      <c r="A16094" s="1"/>
    </row>
    <row r="16095" spans="1:1" ht="46.5" customHeight="1" x14ac:dyDescent="0.25">
      <c r="A16095" s="1"/>
    </row>
    <row r="16096" spans="1:1" ht="46.5" customHeight="1" x14ac:dyDescent="0.25">
      <c r="A16096" s="1"/>
    </row>
    <row r="16097" spans="1:1" ht="46.5" customHeight="1" x14ac:dyDescent="0.25">
      <c r="A16097" s="1"/>
    </row>
    <row r="16098" spans="1:1" ht="46.5" customHeight="1" x14ac:dyDescent="0.25">
      <c r="A16098" s="1"/>
    </row>
    <row r="16099" spans="1:1" ht="46.5" customHeight="1" x14ac:dyDescent="0.25">
      <c r="A16099" s="1"/>
    </row>
    <row r="16100" spans="1:1" ht="46.5" customHeight="1" x14ac:dyDescent="0.25">
      <c r="A16100" s="1"/>
    </row>
    <row r="16101" spans="1:1" ht="46.5" customHeight="1" x14ac:dyDescent="0.25">
      <c r="A16101" s="1"/>
    </row>
    <row r="16102" spans="1:1" ht="46.5" customHeight="1" x14ac:dyDescent="0.25">
      <c r="A16102" s="1"/>
    </row>
    <row r="16103" spans="1:1" ht="46.5" customHeight="1" x14ac:dyDescent="0.25">
      <c r="A16103" s="1"/>
    </row>
    <row r="16104" spans="1:1" ht="46.5" customHeight="1" x14ac:dyDescent="0.25">
      <c r="A16104" s="1"/>
    </row>
    <row r="16105" spans="1:1" ht="46.5" customHeight="1" x14ac:dyDescent="0.25">
      <c r="A16105" s="1"/>
    </row>
    <row r="16106" spans="1:1" ht="46.5" customHeight="1" x14ac:dyDescent="0.25">
      <c r="A16106" s="1"/>
    </row>
    <row r="16107" spans="1:1" ht="46.5" customHeight="1" x14ac:dyDescent="0.25">
      <c r="A16107" s="1"/>
    </row>
    <row r="16108" spans="1:1" ht="46.5" customHeight="1" x14ac:dyDescent="0.25">
      <c r="A16108" s="1"/>
    </row>
    <row r="16109" spans="1:1" ht="46.5" customHeight="1" x14ac:dyDescent="0.25">
      <c r="A16109" s="1"/>
    </row>
    <row r="16110" spans="1:1" ht="46.5" customHeight="1" x14ac:dyDescent="0.25">
      <c r="A16110" s="1"/>
    </row>
    <row r="16111" spans="1:1" ht="46.5" customHeight="1" x14ac:dyDescent="0.25">
      <c r="A16111" s="1"/>
    </row>
    <row r="16112" spans="1:1" ht="46.5" customHeight="1" x14ac:dyDescent="0.25">
      <c r="A16112" s="1"/>
    </row>
    <row r="16113" spans="1:1" ht="46.5" customHeight="1" x14ac:dyDescent="0.25">
      <c r="A16113" s="1"/>
    </row>
    <row r="16114" spans="1:1" ht="46.5" customHeight="1" x14ac:dyDescent="0.25">
      <c r="A16114" s="1"/>
    </row>
    <row r="16115" spans="1:1" ht="46.5" customHeight="1" x14ac:dyDescent="0.25">
      <c r="A16115" s="1"/>
    </row>
    <row r="16116" spans="1:1" ht="46.5" customHeight="1" x14ac:dyDescent="0.25">
      <c r="A16116" s="1"/>
    </row>
    <row r="16117" spans="1:1" ht="46.5" customHeight="1" x14ac:dyDescent="0.25">
      <c r="A16117" s="1"/>
    </row>
    <row r="16118" spans="1:1" ht="46.5" customHeight="1" x14ac:dyDescent="0.25">
      <c r="A16118" s="1"/>
    </row>
    <row r="16119" spans="1:1" ht="46.5" customHeight="1" x14ac:dyDescent="0.25">
      <c r="A16119" s="1"/>
    </row>
    <row r="16120" spans="1:1" ht="46.5" customHeight="1" x14ac:dyDescent="0.25">
      <c r="A16120" s="1"/>
    </row>
    <row r="16121" spans="1:1" ht="46.5" customHeight="1" x14ac:dyDescent="0.25">
      <c r="A16121" s="1"/>
    </row>
    <row r="16122" spans="1:1" ht="46.5" customHeight="1" x14ac:dyDescent="0.25">
      <c r="A16122" s="1"/>
    </row>
    <row r="16123" spans="1:1" ht="46.5" customHeight="1" x14ac:dyDescent="0.25">
      <c r="A16123" s="1"/>
    </row>
    <row r="16124" spans="1:1" ht="46.5" customHeight="1" x14ac:dyDescent="0.25">
      <c r="A16124" s="1"/>
    </row>
    <row r="16125" spans="1:1" ht="46.5" customHeight="1" x14ac:dyDescent="0.25">
      <c r="A16125" s="1"/>
    </row>
    <row r="16126" spans="1:1" ht="46.5" customHeight="1" x14ac:dyDescent="0.25">
      <c r="A16126" s="1"/>
    </row>
    <row r="16127" spans="1:1" ht="46.5" customHeight="1" x14ac:dyDescent="0.25">
      <c r="A16127" s="1"/>
    </row>
    <row r="16128" spans="1:1" ht="46.5" customHeight="1" x14ac:dyDescent="0.25">
      <c r="A16128" s="1"/>
    </row>
    <row r="16129" spans="1:1" ht="46.5" customHeight="1" x14ac:dyDescent="0.25">
      <c r="A16129" s="1"/>
    </row>
    <row r="16130" spans="1:1" ht="46.5" customHeight="1" x14ac:dyDescent="0.25">
      <c r="A16130" s="1"/>
    </row>
    <row r="16131" spans="1:1" ht="46.5" customHeight="1" x14ac:dyDescent="0.25">
      <c r="A16131" s="1"/>
    </row>
    <row r="16132" spans="1:1" ht="46.5" customHeight="1" x14ac:dyDescent="0.25">
      <c r="A16132" s="1"/>
    </row>
    <row r="16133" spans="1:1" ht="46.5" customHeight="1" x14ac:dyDescent="0.25">
      <c r="A16133" s="1"/>
    </row>
    <row r="16134" spans="1:1" ht="46.5" customHeight="1" x14ac:dyDescent="0.25">
      <c r="A16134" s="1"/>
    </row>
    <row r="16135" spans="1:1" ht="46.5" customHeight="1" x14ac:dyDescent="0.25">
      <c r="A16135" s="1"/>
    </row>
    <row r="16136" spans="1:1" ht="46.5" customHeight="1" x14ac:dyDescent="0.25">
      <c r="A16136" s="1"/>
    </row>
    <row r="16137" spans="1:1" ht="46.5" customHeight="1" x14ac:dyDescent="0.25">
      <c r="A16137" s="1"/>
    </row>
    <row r="16138" spans="1:1" ht="46.5" customHeight="1" x14ac:dyDescent="0.25">
      <c r="A16138" s="1"/>
    </row>
    <row r="16139" spans="1:1" ht="46.5" customHeight="1" x14ac:dyDescent="0.25">
      <c r="A16139" s="1"/>
    </row>
    <row r="16140" spans="1:1" ht="46.5" customHeight="1" x14ac:dyDescent="0.25">
      <c r="A16140" s="1"/>
    </row>
    <row r="16141" spans="1:1" ht="46.5" customHeight="1" x14ac:dyDescent="0.25">
      <c r="A16141" s="1"/>
    </row>
    <row r="16142" spans="1:1" ht="46.5" customHeight="1" x14ac:dyDescent="0.25">
      <c r="A16142" s="1"/>
    </row>
    <row r="16143" spans="1:1" ht="46.5" customHeight="1" x14ac:dyDescent="0.25">
      <c r="A16143" s="1"/>
    </row>
    <row r="16144" spans="1:1" ht="46.5" customHeight="1" x14ac:dyDescent="0.25">
      <c r="A16144" s="1"/>
    </row>
    <row r="16145" spans="1:1" ht="46.5" customHeight="1" x14ac:dyDescent="0.25">
      <c r="A16145" s="1"/>
    </row>
    <row r="16146" spans="1:1" ht="46.5" customHeight="1" x14ac:dyDescent="0.25">
      <c r="A16146" s="1"/>
    </row>
    <row r="16147" spans="1:1" ht="46.5" customHeight="1" x14ac:dyDescent="0.25">
      <c r="A16147" s="1"/>
    </row>
    <row r="16148" spans="1:1" ht="46.5" customHeight="1" x14ac:dyDescent="0.25">
      <c r="A16148" s="1"/>
    </row>
    <row r="16149" spans="1:1" ht="46.5" customHeight="1" x14ac:dyDescent="0.25">
      <c r="A16149" s="1"/>
    </row>
    <row r="16150" spans="1:1" ht="46.5" customHeight="1" x14ac:dyDescent="0.25">
      <c r="A16150" s="1"/>
    </row>
    <row r="16151" spans="1:1" ht="46.5" customHeight="1" x14ac:dyDescent="0.25">
      <c r="A16151" s="1"/>
    </row>
    <row r="16152" spans="1:1" ht="46.5" customHeight="1" x14ac:dyDescent="0.25">
      <c r="A16152" s="1"/>
    </row>
    <row r="16153" spans="1:1" ht="46.5" customHeight="1" x14ac:dyDescent="0.25">
      <c r="A16153" s="1"/>
    </row>
    <row r="16154" spans="1:1" ht="46.5" customHeight="1" x14ac:dyDescent="0.25">
      <c r="A16154" s="1"/>
    </row>
    <row r="16155" spans="1:1" ht="46.5" customHeight="1" x14ac:dyDescent="0.25">
      <c r="A16155" s="1"/>
    </row>
    <row r="16156" spans="1:1" ht="46.5" customHeight="1" x14ac:dyDescent="0.25">
      <c r="A16156" s="1"/>
    </row>
    <row r="16157" spans="1:1" ht="46.5" customHeight="1" x14ac:dyDescent="0.25">
      <c r="A16157" s="1"/>
    </row>
    <row r="16158" spans="1:1" ht="46.5" customHeight="1" x14ac:dyDescent="0.25">
      <c r="A16158" s="1"/>
    </row>
    <row r="16159" spans="1:1" ht="46.5" customHeight="1" x14ac:dyDescent="0.25">
      <c r="A16159" s="1"/>
    </row>
    <row r="16160" spans="1:1" ht="46.5" customHeight="1" x14ac:dyDescent="0.25">
      <c r="A16160" s="1"/>
    </row>
    <row r="16161" spans="1:1" ht="46.5" customHeight="1" x14ac:dyDescent="0.25">
      <c r="A16161" s="1"/>
    </row>
    <row r="16162" spans="1:1" ht="46.5" customHeight="1" x14ac:dyDescent="0.25">
      <c r="A16162" s="1"/>
    </row>
    <row r="16163" spans="1:1" ht="46.5" customHeight="1" x14ac:dyDescent="0.25">
      <c r="A16163" s="1"/>
    </row>
    <row r="16164" spans="1:1" ht="46.5" customHeight="1" x14ac:dyDescent="0.25">
      <c r="A16164" s="1"/>
    </row>
    <row r="16165" spans="1:1" ht="46.5" customHeight="1" x14ac:dyDescent="0.25">
      <c r="A16165" s="1"/>
    </row>
    <row r="16166" spans="1:1" ht="46.5" customHeight="1" x14ac:dyDescent="0.25">
      <c r="A16166" s="1"/>
    </row>
    <row r="16167" spans="1:1" ht="46.5" customHeight="1" x14ac:dyDescent="0.25">
      <c r="A16167" s="1"/>
    </row>
    <row r="16168" spans="1:1" ht="46.5" customHeight="1" x14ac:dyDescent="0.25">
      <c r="A16168" s="1"/>
    </row>
    <row r="16169" spans="1:1" ht="46.5" customHeight="1" x14ac:dyDescent="0.25">
      <c r="A16169" s="1"/>
    </row>
    <row r="16170" spans="1:1" ht="46.5" customHeight="1" x14ac:dyDescent="0.25">
      <c r="A16170" s="1"/>
    </row>
    <row r="16171" spans="1:1" ht="46.5" customHeight="1" x14ac:dyDescent="0.25">
      <c r="A16171" s="1"/>
    </row>
    <row r="16172" spans="1:1" ht="46.5" customHeight="1" x14ac:dyDescent="0.25">
      <c r="A16172" s="1"/>
    </row>
    <row r="16173" spans="1:1" ht="46.5" customHeight="1" x14ac:dyDescent="0.25">
      <c r="A16173" s="1"/>
    </row>
    <row r="16174" spans="1:1" ht="46.5" customHeight="1" x14ac:dyDescent="0.25">
      <c r="A16174" s="1"/>
    </row>
    <row r="16175" spans="1:1" ht="46.5" customHeight="1" x14ac:dyDescent="0.25">
      <c r="A16175" s="1"/>
    </row>
    <row r="16176" spans="1:1" ht="46.5" customHeight="1" x14ac:dyDescent="0.25">
      <c r="A16176" s="1"/>
    </row>
    <row r="16177" spans="1:1" ht="46.5" customHeight="1" x14ac:dyDescent="0.25">
      <c r="A16177" s="1"/>
    </row>
    <row r="16178" spans="1:1" ht="46.5" customHeight="1" x14ac:dyDescent="0.25">
      <c r="A16178" s="1"/>
    </row>
    <row r="16179" spans="1:1" ht="46.5" customHeight="1" x14ac:dyDescent="0.25">
      <c r="A16179" s="1"/>
    </row>
    <row r="16180" spans="1:1" ht="46.5" customHeight="1" x14ac:dyDescent="0.25">
      <c r="A16180" s="1"/>
    </row>
    <row r="16181" spans="1:1" ht="46.5" customHeight="1" x14ac:dyDescent="0.25">
      <c r="A16181" s="1"/>
    </row>
    <row r="16182" spans="1:1" ht="46.5" customHeight="1" x14ac:dyDescent="0.25">
      <c r="A16182" s="1"/>
    </row>
    <row r="16183" spans="1:1" ht="46.5" customHeight="1" x14ac:dyDescent="0.25">
      <c r="A16183" s="1"/>
    </row>
    <row r="16184" spans="1:1" ht="46.5" customHeight="1" x14ac:dyDescent="0.25">
      <c r="A16184" s="1"/>
    </row>
    <row r="16185" spans="1:1" ht="46.5" customHeight="1" x14ac:dyDescent="0.25">
      <c r="A16185" s="1"/>
    </row>
    <row r="16186" spans="1:1" ht="46.5" customHeight="1" x14ac:dyDescent="0.25">
      <c r="A16186" s="1"/>
    </row>
    <row r="16187" spans="1:1" ht="46.5" customHeight="1" x14ac:dyDescent="0.25">
      <c r="A16187" s="1"/>
    </row>
    <row r="16188" spans="1:1" ht="46.5" customHeight="1" x14ac:dyDescent="0.25">
      <c r="A16188" s="1"/>
    </row>
    <row r="16189" spans="1:1" ht="46.5" customHeight="1" x14ac:dyDescent="0.25">
      <c r="A16189" s="1"/>
    </row>
    <row r="16190" spans="1:1" ht="46.5" customHeight="1" x14ac:dyDescent="0.25">
      <c r="A16190" s="1"/>
    </row>
    <row r="16191" spans="1:1" ht="46.5" customHeight="1" x14ac:dyDescent="0.25">
      <c r="A16191" s="1"/>
    </row>
    <row r="16192" spans="1:1" ht="46.5" customHeight="1" x14ac:dyDescent="0.25">
      <c r="A16192" s="1"/>
    </row>
    <row r="16193" spans="1:1" ht="46.5" customHeight="1" x14ac:dyDescent="0.25">
      <c r="A16193" s="1"/>
    </row>
    <row r="16194" spans="1:1" ht="46.5" customHeight="1" x14ac:dyDescent="0.25">
      <c r="A16194" s="1"/>
    </row>
    <row r="16195" spans="1:1" ht="46.5" customHeight="1" x14ac:dyDescent="0.25">
      <c r="A16195" s="1"/>
    </row>
    <row r="16196" spans="1:1" ht="46.5" customHeight="1" x14ac:dyDescent="0.25">
      <c r="A16196" s="1"/>
    </row>
    <row r="16197" spans="1:1" ht="46.5" customHeight="1" x14ac:dyDescent="0.25">
      <c r="A16197" s="1"/>
    </row>
    <row r="16198" spans="1:1" ht="46.5" customHeight="1" x14ac:dyDescent="0.25">
      <c r="A16198" s="1"/>
    </row>
    <row r="16199" spans="1:1" ht="46.5" customHeight="1" x14ac:dyDescent="0.25">
      <c r="A16199" s="1"/>
    </row>
    <row r="16200" spans="1:1" ht="46.5" customHeight="1" x14ac:dyDescent="0.25">
      <c r="A16200" s="1"/>
    </row>
    <row r="16201" spans="1:1" ht="46.5" customHeight="1" x14ac:dyDescent="0.25">
      <c r="A16201" s="1"/>
    </row>
    <row r="16202" spans="1:1" ht="46.5" customHeight="1" x14ac:dyDescent="0.25">
      <c r="A16202" s="1"/>
    </row>
    <row r="16203" spans="1:1" ht="46.5" customHeight="1" x14ac:dyDescent="0.25">
      <c r="A16203" s="1"/>
    </row>
    <row r="16204" spans="1:1" ht="46.5" customHeight="1" x14ac:dyDescent="0.25">
      <c r="A16204" s="1"/>
    </row>
    <row r="16205" spans="1:1" ht="46.5" customHeight="1" x14ac:dyDescent="0.25">
      <c r="A16205" s="1"/>
    </row>
    <row r="16206" spans="1:1" ht="46.5" customHeight="1" x14ac:dyDescent="0.25">
      <c r="A16206" s="1"/>
    </row>
    <row r="16207" spans="1:1" ht="46.5" customHeight="1" x14ac:dyDescent="0.25">
      <c r="A16207" s="1"/>
    </row>
    <row r="16208" spans="1:1" ht="46.5" customHeight="1" x14ac:dyDescent="0.25">
      <c r="A16208" s="1"/>
    </row>
    <row r="16209" spans="1:1" ht="46.5" customHeight="1" x14ac:dyDescent="0.25">
      <c r="A16209" s="1"/>
    </row>
    <row r="16210" spans="1:1" ht="46.5" customHeight="1" x14ac:dyDescent="0.25">
      <c r="A16210" s="1"/>
    </row>
    <row r="16211" spans="1:1" ht="46.5" customHeight="1" x14ac:dyDescent="0.25">
      <c r="A16211" s="1"/>
    </row>
    <row r="16212" spans="1:1" ht="46.5" customHeight="1" x14ac:dyDescent="0.25">
      <c r="A16212" s="1"/>
    </row>
    <row r="16213" spans="1:1" ht="46.5" customHeight="1" x14ac:dyDescent="0.25">
      <c r="A16213" s="1"/>
    </row>
    <row r="16214" spans="1:1" ht="46.5" customHeight="1" x14ac:dyDescent="0.25">
      <c r="A16214" s="1"/>
    </row>
    <row r="16215" spans="1:1" ht="46.5" customHeight="1" x14ac:dyDescent="0.25">
      <c r="A16215" s="1"/>
    </row>
    <row r="16216" spans="1:1" ht="46.5" customHeight="1" x14ac:dyDescent="0.25">
      <c r="A16216" s="1"/>
    </row>
    <row r="16217" spans="1:1" ht="46.5" customHeight="1" x14ac:dyDescent="0.25">
      <c r="A16217" s="1"/>
    </row>
    <row r="16218" spans="1:1" ht="46.5" customHeight="1" x14ac:dyDescent="0.25">
      <c r="A16218" s="1"/>
    </row>
    <row r="16219" spans="1:1" ht="46.5" customHeight="1" x14ac:dyDescent="0.25">
      <c r="A16219" s="1"/>
    </row>
    <row r="16220" spans="1:1" ht="46.5" customHeight="1" x14ac:dyDescent="0.25">
      <c r="A16220" s="1"/>
    </row>
    <row r="16221" spans="1:1" ht="46.5" customHeight="1" x14ac:dyDescent="0.25">
      <c r="A16221" s="1"/>
    </row>
    <row r="16222" spans="1:1" ht="46.5" customHeight="1" x14ac:dyDescent="0.25">
      <c r="A16222" s="1"/>
    </row>
    <row r="16223" spans="1:1" ht="46.5" customHeight="1" x14ac:dyDescent="0.25">
      <c r="A16223" s="1"/>
    </row>
    <row r="16224" spans="1:1" ht="46.5" customHeight="1" x14ac:dyDescent="0.25">
      <c r="A16224" s="1"/>
    </row>
    <row r="16225" spans="1:1" ht="46.5" customHeight="1" x14ac:dyDescent="0.25">
      <c r="A16225" s="1"/>
    </row>
    <row r="16226" spans="1:1" ht="46.5" customHeight="1" x14ac:dyDescent="0.25">
      <c r="A16226" s="1"/>
    </row>
    <row r="16227" spans="1:1" ht="46.5" customHeight="1" x14ac:dyDescent="0.25">
      <c r="A16227" s="1"/>
    </row>
    <row r="16228" spans="1:1" ht="46.5" customHeight="1" x14ac:dyDescent="0.25">
      <c r="A16228" s="1"/>
    </row>
    <row r="16229" spans="1:1" ht="46.5" customHeight="1" x14ac:dyDescent="0.25">
      <c r="A16229" s="1"/>
    </row>
    <row r="16230" spans="1:1" ht="46.5" customHeight="1" x14ac:dyDescent="0.25">
      <c r="A16230" s="1"/>
    </row>
    <row r="16231" spans="1:1" ht="46.5" customHeight="1" x14ac:dyDescent="0.25">
      <c r="A16231" s="1"/>
    </row>
    <row r="16232" spans="1:1" ht="46.5" customHeight="1" x14ac:dyDescent="0.25">
      <c r="A16232" s="1"/>
    </row>
    <row r="16233" spans="1:1" ht="46.5" customHeight="1" x14ac:dyDescent="0.25">
      <c r="A16233" s="1"/>
    </row>
    <row r="16234" spans="1:1" ht="46.5" customHeight="1" x14ac:dyDescent="0.25">
      <c r="A16234" s="1"/>
    </row>
    <row r="16235" spans="1:1" ht="46.5" customHeight="1" x14ac:dyDescent="0.25">
      <c r="A16235" s="1"/>
    </row>
    <row r="16236" spans="1:1" ht="46.5" customHeight="1" x14ac:dyDescent="0.25">
      <c r="A16236" s="1"/>
    </row>
    <row r="16237" spans="1:1" ht="46.5" customHeight="1" x14ac:dyDescent="0.25">
      <c r="A16237" s="1"/>
    </row>
    <row r="16238" spans="1:1" ht="46.5" customHeight="1" x14ac:dyDescent="0.25">
      <c r="A16238" s="1"/>
    </row>
    <row r="16239" spans="1:1" ht="46.5" customHeight="1" x14ac:dyDescent="0.25">
      <c r="A16239" s="1"/>
    </row>
    <row r="16240" spans="1:1" ht="46.5" customHeight="1" x14ac:dyDescent="0.25">
      <c r="A16240" s="1"/>
    </row>
    <row r="16241" spans="1:1" ht="46.5" customHeight="1" x14ac:dyDescent="0.25">
      <c r="A16241" s="1"/>
    </row>
    <row r="16242" spans="1:1" ht="46.5" customHeight="1" x14ac:dyDescent="0.25">
      <c r="A16242" s="1"/>
    </row>
    <row r="16243" spans="1:1" ht="46.5" customHeight="1" x14ac:dyDescent="0.25">
      <c r="A16243" s="1"/>
    </row>
    <row r="16244" spans="1:1" ht="46.5" customHeight="1" x14ac:dyDescent="0.25">
      <c r="A16244" s="1"/>
    </row>
    <row r="16245" spans="1:1" ht="46.5" customHeight="1" x14ac:dyDescent="0.25">
      <c r="A16245" s="1"/>
    </row>
    <row r="16246" spans="1:1" ht="46.5" customHeight="1" x14ac:dyDescent="0.25">
      <c r="A16246" s="1"/>
    </row>
    <row r="16247" spans="1:1" ht="46.5" customHeight="1" x14ac:dyDescent="0.25">
      <c r="A16247" s="1"/>
    </row>
    <row r="16248" spans="1:1" ht="46.5" customHeight="1" x14ac:dyDescent="0.25">
      <c r="A16248" s="1"/>
    </row>
    <row r="16249" spans="1:1" ht="46.5" customHeight="1" x14ac:dyDescent="0.25">
      <c r="A16249" s="1"/>
    </row>
    <row r="16250" spans="1:1" ht="46.5" customHeight="1" x14ac:dyDescent="0.25">
      <c r="A16250" s="1"/>
    </row>
    <row r="16251" spans="1:1" ht="46.5" customHeight="1" x14ac:dyDescent="0.25">
      <c r="A16251" s="1"/>
    </row>
    <row r="16252" spans="1:1" ht="46.5" customHeight="1" x14ac:dyDescent="0.25">
      <c r="A16252" s="1"/>
    </row>
    <row r="16253" spans="1:1" ht="46.5" customHeight="1" x14ac:dyDescent="0.25">
      <c r="A16253" s="1"/>
    </row>
    <row r="16254" spans="1:1" ht="46.5" customHeight="1" x14ac:dyDescent="0.25">
      <c r="A16254" s="1"/>
    </row>
    <row r="16255" spans="1:1" ht="46.5" customHeight="1" x14ac:dyDescent="0.25">
      <c r="A16255" s="1"/>
    </row>
    <row r="16256" spans="1:1" ht="46.5" customHeight="1" x14ac:dyDescent="0.25">
      <c r="A16256" s="1"/>
    </row>
    <row r="16257" spans="1:1" ht="46.5" customHeight="1" x14ac:dyDescent="0.25">
      <c r="A16257" s="1"/>
    </row>
    <row r="16258" spans="1:1" ht="46.5" customHeight="1" x14ac:dyDescent="0.25">
      <c r="A16258" s="1"/>
    </row>
    <row r="16259" spans="1:1" ht="46.5" customHeight="1" x14ac:dyDescent="0.25">
      <c r="A16259" s="1"/>
    </row>
    <row r="16260" spans="1:1" ht="46.5" customHeight="1" x14ac:dyDescent="0.25">
      <c r="A16260" s="1"/>
    </row>
    <row r="16261" spans="1:1" ht="46.5" customHeight="1" x14ac:dyDescent="0.25">
      <c r="A16261" s="1"/>
    </row>
    <row r="16262" spans="1:1" ht="46.5" customHeight="1" x14ac:dyDescent="0.25">
      <c r="A16262" s="1"/>
    </row>
    <row r="16263" spans="1:1" ht="46.5" customHeight="1" x14ac:dyDescent="0.25">
      <c r="A16263" s="1"/>
    </row>
    <row r="16264" spans="1:1" ht="46.5" customHeight="1" x14ac:dyDescent="0.25">
      <c r="A16264" s="1"/>
    </row>
    <row r="16265" spans="1:1" ht="46.5" customHeight="1" x14ac:dyDescent="0.25">
      <c r="A16265" s="1"/>
    </row>
    <row r="16266" spans="1:1" ht="46.5" customHeight="1" x14ac:dyDescent="0.25">
      <c r="A16266" s="1"/>
    </row>
    <row r="16267" spans="1:1" ht="46.5" customHeight="1" x14ac:dyDescent="0.25">
      <c r="A16267" s="1"/>
    </row>
    <row r="16268" spans="1:1" ht="46.5" customHeight="1" x14ac:dyDescent="0.25">
      <c r="A16268" s="1"/>
    </row>
    <row r="16269" spans="1:1" ht="46.5" customHeight="1" x14ac:dyDescent="0.25">
      <c r="A16269" s="1"/>
    </row>
    <row r="16270" spans="1:1" ht="46.5" customHeight="1" x14ac:dyDescent="0.25">
      <c r="A16270" s="1"/>
    </row>
    <row r="16271" spans="1:1" ht="46.5" customHeight="1" x14ac:dyDescent="0.25">
      <c r="A16271" s="1"/>
    </row>
    <row r="16272" spans="1:1" ht="46.5" customHeight="1" x14ac:dyDescent="0.25">
      <c r="A16272" s="1"/>
    </row>
    <row r="16273" spans="1:1" ht="46.5" customHeight="1" x14ac:dyDescent="0.25">
      <c r="A16273" s="1"/>
    </row>
    <row r="16274" spans="1:1" ht="46.5" customHeight="1" x14ac:dyDescent="0.25">
      <c r="A16274" s="1"/>
    </row>
    <row r="16275" spans="1:1" ht="46.5" customHeight="1" x14ac:dyDescent="0.25">
      <c r="A16275" s="1"/>
    </row>
    <row r="16276" spans="1:1" ht="46.5" customHeight="1" x14ac:dyDescent="0.25">
      <c r="A16276" s="1"/>
    </row>
    <row r="16277" spans="1:1" ht="46.5" customHeight="1" x14ac:dyDescent="0.25">
      <c r="A16277" s="1"/>
    </row>
    <row r="16278" spans="1:1" ht="46.5" customHeight="1" x14ac:dyDescent="0.25">
      <c r="A16278" s="1"/>
    </row>
    <row r="16279" spans="1:1" ht="46.5" customHeight="1" x14ac:dyDescent="0.25">
      <c r="A16279" s="1"/>
    </row>
    <row r="16280" spans="1:1" ht="46.5" customHeight="1" x14ac:dyDescent="0.25">
      <c r="A16280" s="1"/>
    </row>
    <row r="16281" spans="1:1" ht="46.5" customHeight="1" x14ac:dyDescent="0.25">
      <c r="A16281" s="1"/>
    </row>
    <row r="16282" spans="1:1" ht="46.5" customHeight="1" x14ac:dyDescent="0.25">
      <c r="A16282" s="1"/>
    </row>
    <row r="16283" spans="1:1" ht="46.5" customHeight="1" x14ac:dyDescent="0.25">
      <c r="A16283" s="1"/>
    </row>
    <row r="16284" spans="1:1" ht="46.5" customHeight="1" x14ac:dyDescent="0.25">
      <c r="A16284" s="1"/>
    </row>
    <row r="16285" spans="1:1" ht="46.5" customHeight="1" x14ac:dyDescent="0.25">
      <c r="A16285" s="1"/>
    </row>
    <row r="16286" spans="1:1" ht="46.5" customHeight="1" x14ac:dyDescent="0.25">
      <c r="A16286" s="1"/>
    </row>
    <row r="16287" spans="1:1" ht="46.5" customHeight="1" x14ac:dyDescent="0.25">
      <c r="A16287" s="1"/>
    </row>
    <row r="16288" spans="1:1" ht="46.5" customHeight="1" x14ac:dyDescent="0.25">
      <c r="A16288" s="1"/>
    </row>
    <row r="16289" spans="1:1" ht="46.5" customHeight="1" x14ac:dyDescent="0.25">
      <c r="A16289" s="1"/>
    </row>
    <row r="16290" spans="1:1" ht="46.5" customHeight="1" x14ac:dyDescent="0.25">
      <c r="A16290" s="1"/>
    </row>
    <row r="16291" spans="1:1" ht="46.5" customHeight="1" x14ac:dyDescent="0.25">
      <c r="A16291" s="1"/>
    </row>
    <row r="16292" spans="1:1" ht="46.5" customHeight="1" x14ac:dyDescent="0.25">
      <c r="A16292" s="1"/>
    </row>
    <row r="16293" spans="1:1" ht="46.5" customHeight="1" x14ac:dyDescent="0.25">
      <c r="A16293" s="1"/>
    </row>
    <row r="16294" spans="1:1" ht="46.5" customHeight="1" x14ac:dyDescent="0.25">
      <c r="A16294" s="1"/>
    </row>
    <row r="16295" spans="1:1" ht="46.5" customHeight="1" x14ac:dyDescent="0.25">
      <c r="A16295" s="1"/>
    </row>
    <row r="16296" spans="1:1" ht="46.5" customHeight="1" x14ac:dyDescent="0.25">
      <c r="A16296" s="1"/>
    </row>
    <row r="16297" spans="1:1" ht="46.5" customHeight="1" x14ac:dyDescent="0.25">
      <c r="A16297" s="1"/>
    </row>
    <row r="16298" spans="1:1" ht="46.5" customHeight="1" x14ac:dyDescent="0.25">
      <c r="A16298" s="1"/>
    </row>
    <row r="16299" spans="1:1" ht="46.5" customHeight="1" x14ac:dyDescent="0.25">
      <c r="A16299" s="1"/>
    </row>
    <row r="16300" spans="1:1" ht="46.5" customHeight="1" x14ac:dyDescent="0.25">
      <c r="A16300" s="1"/>
    </row>
    <row r="16301" spans="1:1" ht="46.5" customHeight="1" x14ac:dyDescent="0.25">
      <c r="A16301" s="1"/>
    </row>
    <row r="16302" spans="1:1" ht="46.5" customHeight="1" x14ac:dyDescent="0.25">
      <c r="A16302" s="1"/>
    </row>
    <row r="16303" spans="1:1" ht="46.5" customHeight="1" x14ac:dyDescent="0.25">
      <c r="A16303" s="1"/>
    </row>
    <row r="16304" spans="1:1" ht="46.5" customHeight="1" x14ac:dyDescent="0.25">
      <c r="A16304" s="1"/>
    </row>
    <row r="16305" spans="1:1" ht="46.5" customHeight="1" x14ac:dyDescent="0.25">
      <c r="A16305" s="1"/>
    </row>
    <row r="16306" spans="1:1" ht="46.5" customHeight="1" x14ac:dyDescent="0.25">
      <c r="A16306" s="1"/>
    </row>
    <row r="16307" spans="1:1" ht="46.5" customHeight="1" x14ac:dyDescent="0.25">
      <c r="A16307" s="1"/>
    </row>
    <row r="16308" spans="1:1" ht="46.5" customHeight="1" x14ac:dyDescent="0.25">
      <c r="A16308" s="1"/>
    </row>
    <row r="16309" spans="1:1" ht="46.5" customHeight="1" x14ac:dyDescent="0.25">
      <c r="A16309" s="1"/>
    </row>
    <row r="16310" spans="1:1" ht="46.5" customHeight="1" x14ac:dyDescent="0.25">
      <c r="A16310" s="1"/>
    </row>
    <row r="16311" spans="1:1" ht="46.5" customHeight="1" x14ac:dyDescent="0.25">
      <c r="A16311" s="1"/>
    </row>
    <row r="16312" spans="1:1" ht="46.5" customHeight="1" x14ac:dyDescent="0.25">
      <c r="A16312" s="1"/>
    </row>
    <row r="16313" spans="1:1" ht="46.5" customHeight="1" x14ac:dyDescent="0.25">
      <c r="A16313" s="1"/>
    </row>
    <row r="16314" spans="1:1" ht="46.5" customHeight="1" x14ac:dyDescent="0.25">
      <c r="A16314" s="1"/>
    </row>
    <row r="16315" spans="1:1" ht="46.5" customHeight="1" x14ac:dyDescent="0.25">
      <c r="A16315" s="1"/>
    </row>
    <row r="16316" spans="1:1" ht="46.5" customHeight="1" x14ac:dyDescent="0.25">
      <c r="A16316" s="1"/>
    </row>
    <row r="16317" spans="1:1" ht="46.5" customHeight="1" x14ac:dyDescent="0.25">
      <c r="A16317" s="1"/>
    </row>
    <row r="16318" spans="1:1" ht="46.5" customHeight="1" x14ac:dyDescent="0.25">
      <c r="A16318" s="1"/>
    </row>
    <row r="16319" spans="1:1" ht="46.5" customHeight="1" x14ac:dyDescent="0.25">
      <c r="A16319" s="1"/>
    </row>
    <row r="16320" spans="1:1" ht="46.5" customHeight="1" x14ac:dyDescent="0.25">
      <c r="A16320" s="1"/>
    </row>
    <row r="16321" spans="1:1" ht="46.5" customHeight="1" x14ac:dyDescent="0.25">
      <c r="A16321" s="1"/>
    </row>
    <row r="16322" spans="1:1" ht="46.5" customHeight="1" x14ac:dyDescent="0.25">
      <c r="A16322" s="1"/>
    </row>
    <row r="16323" spans="1:1" ht="46.5" customHeight="1" x14ac:dyDescent="0.25">
      <c r="A16323" s="1"/>
    </row>
    <row r="16324" spans="1:1" ht="46.5" customHeight="1" x14ac:dyDescent="0.25">
      <c r="A16324" s="1"/>
    </row>
    <row r="16325" spans="1:1" ht="46.5" customHeight="1" x14ac:dyDescent="0.25">
      <c r="A16325" s="1"/>
    </row>
    <row r="16326" spans="1:1" ht="46.5" customHeight="1" x14ac:dyDescent="0.25">
      <c r="A16326" s="1"/>
    </row>
    <row r="16327" spans="1:1" ht="46.5" customHeight="1" x14ac:dyDescent="0.25">
      <c r="A16327" s="1"/>
    </row>
    <row r="16328" spans="1:1" ht="46.5" customHeight="1" x14ac:dyDescent="0.25">
      <c r="A16328" s="1"/>
    </row>
    <row r="16329" spans="1:1" ht="46.5" customHeight="1" x14ac:dyDescent="0.25">
      <c r="A16329" s="1"/>
    </row>
    <row r="16330" spans="1:1" ht="46.5" customHeight="1" x14ac:dyDescent="0.25">
      <c r="A16330" s="1"/>
    </row>
    <row r="16331" spans="1:1" ht="46.5" customHeight="1" x14ac:dyDescent="0.25">
      <c r="A16331" s="1"/>
    </row>
    <row r="16332" spans="1:1" ht="46.5" customHeight="1" x14ac:dyDescent="0.25">
      <c r="A16332" s="1"/>
    </row>
    <row r="16333" spans="1:1" ht="46.5" customHeight="1" x14ac:dyDescent="0.25">
      <c r="A16333" s="1"/>
    </row>
    <row r="16334" spans="1:1" ht="46.5" customHeight="1" x14ac:dyDescent="0.25">
      <c r="A16334" s="1"/>
    </row>
    <row r="16335" spans="1:1" ht="46.5" customHeight="1" x14ac:dyDescent="0.25">
      <c r="A16335" s="1"/>
    </row>
    <row r="16336" spans="1:1" ht="46.5" customHeight="1" x14ac:dyDescent="0.25">
      <c r="A16336" s="1"/>
    </row>
    <row r="16337" spans="1:1" ht="46.5" customHeight="1" x14ac:dyDescent="0.25">
      <c r="A16337" s="1"/>
    </row>
    <row r="16338" spans="1:1" ht="46.5" customHeight="1" x14ac:dyDescent="0.25">
      <c r="A16338" s="1"/>
    </row>
    <row r="16339" spans="1:1" ht="46.5" customHeight="1" x14ac:dyDescent="0.25">
      <c r="A16339" s="1"/>
    </row>
    <row r="16340" spans="1:1" ht="46.5" customHeight="1" x14ac:dyDescent="0.25">
      <c r="A16340" s="1"/>
    </row>
    <row r="16341" spans="1:1" ht="46.5" customHeight="1" x14ac:dyDescent="0.25">
      <c r="A16341" s="1"/>
    </row>
    <row r="16342" spans="1:1" ht="46.5" customHeight="1" x14ac:dyDescent="0.25">
      <c r="A16342" s="1"/>
    </row>
    <row r="16343" spans="1:1" ht="46.5" customHeight="1" x14ac:dyDescent="0.25">
      <c r="A16343" s="1"/>
    </row>
    <row r="16344" spans="1:1" ht="46.5" customHeight="1" x14ac:dyDescent="0.25">
      <c r="A16344" s="1"/>
    </row>
    <row r="16345" spans="1:1" ht="46.5" customHeight="1" x14ac:dyDescent="0.25">
      <c r="A16345" s="1"/>
    </row>
    <row r="16346" spans="1:1" ht="46.5" customHeight="1" x14ac:dyDescent="0.25">
      <c r="A16346" s="1"/>
    </row>
    <row r="16347" spans="1:1" ht="46.5" customHeight="1" x14ac:dyDescent="0.25">
      <c r="A16347" s="1"/>
    </row>
    <row r="16348" spans="1:1" ht="46.5" customHeight="1" x14ac:dyDescent="0.25">
      <c r="A16348" s="1"/>
    </row>
    <row r="16349" spans="1:1" ht="46.5" customHeight="1" x14ac:dyDescent="0.25">
      <c r="A16349" s="1"/>
    </row>
    <row r="16350" spans="1:1" ht="46.5" customHeight="1" x14ac:dyDescent="0.25">
      <c r="A16350" s="1"/>
    </row>
    <row r="16351" spans="1:1" ht="46.5" customHeight="1" x14ac:dyDescent="0.25">
      <c r="A16351" s="1"/>
    </row>
    <row r="16352" spans="1:1" ht="46.5" customHeight="1" x14ac:dyDescent="0.25">
      <c r="A16352" s="1"/>
    </row>
    <row r="16353" spans="1:1" ht="46.5" customHeight="1" x14ac:dyDescent="0.25">
      <c r="A16353" s="1"/>
    </row>
    <row r="16354" spans="1:1" ht="46.5" customHeight="1" x14ac:dyDescent="0.25">
      <c r="A16354" s="1"/>
    </row>
    <row r="16355" spans="1:1" ht="46.5" customHeight="1" x14ac:dyDescent="0.25">
      <c r="A16355" s="1"/>
    </row>
    <row r="16356" spans="1:1" ht="46.5" customHeight="1" x14ac:dyDescent="0.25">
      <c r="A16356" s="1"/>
    </row>
    <row r="16357" spans="1:1" ht="46.5" customHeight="1" x14ac:dyDescent="0.25">
      <c r="A16357" s="1"/>
    </row>
    <row r="16358" spans="1:1" ht="46.5" customHeight="1" x14ac:dyDescent="0.25">
      <c r="A16358" s="1"/>
    </row>
    <row r="16359" spans="1:1" ht="46.5" customHeight="1" x14ac:dyDescent="0.25">
      <c r="A16359"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62A-C4F5-476F-BA85-D39AB8E21960}">
  <sheetPr>
    <tabColor rgb="FFFFFF00"/>
  </sheetPr>
  <dimension ref="A1:W4"/>
  <sheetViews>
    <sheetView topLeftCell="A4" workbookViewId="0">
      <selection activeCell="F4" sqref="F4"/>
    </sheetView>
  </sheetViews>
  <sheetFormatPr defaultColWidth="8.85546875" defaultRowHeight="15" x14ac:dyDescent="0.25"/>
  <sheetData>
    <row r="1" spans="1:23" ht="60" x14ac:dyDescent="0.25">
      <c r="A1" s="132" t="s">
        <v>0</v>
      </c>
      <c r="B1" s="132" t="s">
        <v>97</v>
      </c>
      <c r="C1" s="132" t="s">
        <v>1</v>
      </c>
      <c r="D1" s="132" t="s">
        <v>107</v>
      </c>
      <c r="E1" s="132" t="s">
        <v>99</v>
      </c>
      <c r="F1" s="132" t="s">
        <v>108</v>
      </c>
      <c r="G1" s="132" t="s">
        <v>70</v>
      </c>
      <c r="H1" s="132" t="s">
        <v>109</v>
      </c>
      <c r="I1" s="132" t="s">
        <v>117</v>
      </c>
      <c r="J1" s="132" t="s">
        <v>110</v>
      </c>
      <c r="K1" s="132" t="s">
        <v>310</v>
      </c>
      <c r="L1" s="132" t="s">
        <v>15</v>
      </c>
      <c r="M1" s="132" t="s">
        <v>2</v>
      </c>
      <c r="N1" s="132" t="s">
        <v>98</v>
      </c>
      <c r="O1" s="132" t="s">
        <v>100</v>
      </c>
      <c r="P1" s="132" t="s">
        <v>101</v>
      </c>
      <c r="Q1" s="132" t="s">
        <v>102</v>
      </c>
      <c r="R1" s="132" t="s">
        <v>3</v>
      </c>
      <c r="S1" s="132" t="s">
        <v>4</v>
      </c>
      <c r="T1" s="133" t="s">
        <v>16</v>
      </c>
      <c r="U1" s="132" t="s">
        <v>17</v>
      </c>
      <c r="V1" s="134" t="s">
        <v>521</v>
      </c>
      <c r="W1" s="135" t="s">
        <v>267</v>
      </c>
    </row>
    <row r="2" spans="1:23" s="8" customFormat="1" ht="315" x14ac:dyDescent="0.25">
      <c r="A2" s="42">
        <v>90</v>
      </c>
      <c r="B2" s="41" t="s">
        <v>937</v>
      </c>
      <c r="C2" s="41" t="s">
        <v>8</v>
      </c>
      <c r="D2" s="41" t="s">
        <v>538</v>
      </c>
      <c r="E2" s="41" t="s">
        <v>370</v>
      </c>
      <c r="F2" s="41">
        <v>2020</v>
      </c>
      <c r="G2" s="41" t="s">
        <v>148</v>
      </c>
      <c r="H2" s="41" t="s">
        <v>936</v>
      </c>
      <c r="I2" s="53" t="s">
        <v>935</v>
      </c>
      <c r="J2" s="109" t="s">
        <v>426</v>
      </c>
      <c r="K2" s="109"/>
      <c r="L2" s="54" t="s">
        <v>33</v>
      </c>
      <c r="M2" s="41" t="s">
        <v>920</v>
      </c>
      <c r="N2" s="41" t="s">
        <v>924</v>
      </c>
      <c r="O2" s="41"/>
      <c r="P2" s="41"/>
      <c r="Q2" s="41"/>
      <c r="R2" s="41" t="s">
        <v>934</v>
      </c>
      <c r="S2" s="41" t="s">
        <v>7</v>
      </c>
      <c r="T2" s="74"/>
      <c r="U2" s="110" t="s">
        <v>23</v>
      </c>
      <c r="V2" s="110"/>
      <c r="W2" s="60" t="s">
        <v>569</v>
      </c>
    </row>
    <row r="3" spans="1:23" s="8" customFormat="1" ht="409.5" x14ac:dyDescent="0.25">
      <c r="A3" s="99">
        <v>165</v>
      </c>
      <c r="B3" s="18" t="s">
        <v>933</v>
      </c>
      <c r="C3" s="18" t="s">
        <v>8</v>
      </c>
      <c r="D3" s="18" t="s">
        <v>928</v>
      </c>
      <c r="E3" s="18"/>
      <c r="F3" s="18">
        <v>2017</v>
      </c>
      <c r="G3" s="18" t="s">
        <v>174</v>
      </c>
      <c r="H3" s="18" t="s">
        <v>932</v>
      </c>
      <c r="I3" s="29" t="s">
        <v>931</v>
      </c>
      <c r="J3" s="109" t="s">
        <v>930</v>
      </c>
      <c r="K3" s="109"/>
      <c r="L3" s="18" t="s">
        <v>33</v>
      </c>
      <c r="M3" s="18" t="s">
        <v>18</v>
      </c>
      <c r="N3" s="18"/>
      <c r="O3" s="18"/>
      <c r="P3" s="18"/>
      <c r="Q3" s="18"/>
      <c r="R3" s="18" t="s">
        <v>58</v>
      </c>
      <c r="S3" s="18" t="s">
        <v>7</v>
      </c>
      <c r="T3" s="58">
        <v>45175</v>
      </c>
      <c r="U3" s="106" t="s">
        <v>207</v>
      </c>
      <c r="V3" s="106"/>
      <c r="W3" s="71"/>
    </row>
    <row r="4" spans="1:23" s="8" customFormat="1" ht="390" x14ac:dyDescent="0.25">
      <c r="A4" s="102">
        <v>195</v>
      </c>
      <c r="B4" s="18" t="s">
        <v>929</v>
      </c>
      <c r="C4" s="18" t="s">
        <v>8</v>
      </c>
      <c r="D4" s="29" t="s">
        <v>928</v>
      </c>
      <c r="E4" s="18"/>
      <c r="F4" s="18" t="s">
        <v>927</v>
      </c>
      <c r="G4" s="18" t="s">
        <v>158</v>
      </c>
      <c r="H4" s="18" t="s">
        <v>926</v>
      </c>
      <c r="I4" s="43"/>
      <c r="J4" s="108" t="s">
        <v>925</v>
      </c>
      <c r="K4" s="107"/>
      <c r="L4" s="44" t="s">
        <v>33</v>
      </c>
      <c r="M4" s="18" t="s">
        <v>920</v>
      </c>
      <c r="N4" s="18" t="s">
        <v>924</v>
      </c>
      <c r="O4" s="18"/>
      <c r="P4" s="18"/>
      <c r="Q4" s="18"/>
      <c r="R4" s="18" t="s">
        <v>58</v>
      </c>
      <c r="S4" s="18" t="s">
        <v>7</v>
      </c>
      <c r="T4" s="58">
        <v>44976</v>
      </c>
      <c r="U4" s="106" t="s">
        <v>207</v>
      </c>
      <c r="V4" s="106"/>
      <c r="W4" s="71"/>
    </row>
  </sheetData>
  <autoFilter ref="A1:W4" xr:uid="{5A3B162A-C4F5-476F-BA85-D39AB8E21960}"/>
  <dataValidations count="1">
    <dataValidation type="list" allowBlank="1" showErrorMessage="1" sqref="S3:S4" xr:uid="{61BC8365-6C9A-49EA-B3C4-3D4A4FFE1041}">
      <formula1>"International,National,Regional"</formula1>
    </dataValidation>
  </dataValidations>
  <hyperlinks>
    <hyperlink ref="J2" r:id="rId1" xr:uid="{3574A778-7C3F-48FC-A30F-B669155B931D}"/>
    <hyperlink ref="J4" r:id="rId2" xr:uid="{2EB72381-CF15-4B33-9F7F-92656CF8616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8C94-391D-4F1B-8A92-1433C752504F}">
  <sheetPr>
    <tabColor rgb="FFFFFF00"/>
  </sheetPr>
  <dimension ref="A1:W12"/>
  <sheetViews>
    <sheetView topLeftCell="A12" workbookViewId="0">
      <selection sqref="A1:W12"/>
    </sheetView>
  </sheetViews>
  <sheetFormatPr defaultColWidth="8.85546875" defaultRowHeight="15" x14ac:dyDescent="0.25"/>
  <sheetData>
    <row r="1" spans="1:23" ht="60" x14ac:dyDescent="0.25">
      <c r="A1" s="132" t="s">
        <v>0</v>
      </c>
      <c r="B1" s="132" t="s">
        <v>97</v>
      </c>
      <c r="C1" s="132" t="s">
        <v>1</v>
      </c>
      <c r="D1" s="132" t="s">
        <v>107</v>
      </c>
      <c r="E1" s="132" t="s">
        <v>99</v>
      </c>
      <c r="F1" s="132" t="s">
        <v>108</v>
      </c>
      <c r="G1" s="132" t="s">
        <v>70</v>
      </c>
      <c r="H1" s="132" t="s">
        <v>109</v>
      </c>
      <c r="I1" s="132" t="s">
        <v>117</v>
      </c>
      <c r="J1" s="132" t="s">
        <v>110</v>
      </c>
      <c r="K1" s="132" t="s">
        <v>310</v>
      </c>
      <c r="L1" s="132" t="s">
        <v>15</v>
      </c>
      <c r="M1" s="132" t="s">
        <v>2</v>
      </c>
      <c r="N1" s="132" t="s">
        <v>98</v>
      </c>
      <c r="O1" s="132" t="s">
        <v>100</v>
      </c>
      <c r="P1" s="132" t="s">
        <v>101</v>
      </c>
      <c r="Q1" s="132" t="s">
        <v>102</v>
      </c>
      <c r="R1" s="132" t="s">
        <v>3</v>
      </c>
      <c r="S1" s="132" t="s">
        <v>4</v>
      </c>
      <c r="T1" s="133" t="s">
        <v>16</v>
      </c>
      <c r="U1" s="132" t="s">
        <v>17</v>
      </c>
      <c r="V1" s="134" t="s">
        <v>521</v>
      </c>
      <c r="W1" s="135" t="s">
        <v>267</v>
      </c>
    </row>
    <row r="2" spans="1:23" s="8" customFormat="1" ht="405" x14ac:dyDescent="0.25">
      <c r="A2" s="42">
        <v>23</v>
      </c>
      <c r="B2" s="18" t="s">
        <v>972</v>
      </c>
      <c r="C2" s="18" t="s">
        <v>60</v>
      </c>
      <c r="D2" s="18" t="s">
        <v>366</v>
      </c>
      <c r="E2" s="18"/>
      <c r="F2" s="18">
        <v>2018</v>
      </c>
      <c r="G2" s="18" t="s">
        <v>152</v>
      </c>
      <c r="H2" s="47" t="s">
        <v>971</v>
      </c>
      <c r="I2" s="43" t="s">
        <v>970</v>
      </c>
      <c r="J2" s="108" t="s">
        <v>969</v>
      </c>
      <c r="K2" s="107"/>
      <c r="L2" s="48" t="s">
        <v>33</v>
      </c>
      <c r="M2" s="18" t="s">
        <v>924</v>
      </c>
      <c r="N2" s="18" t="s">
        <v>6</v>
      </c>
      <c r="O2" s="18" t="s">
        <v>18</v>
      </c>
      <c r="P2" s="18"/>
      <c r="Q2" s="18"/>
      <c r="R2" s="18" t="s">
        <v>58</v>
      </c>
      <c r="S2" s="18" t="s">
        <v>7</v>
      </c>
      <c r="T2" s="58">
        <v>44970</v>
      </c>
      <c r="U2" s="106" t="s">
        <v>207</v>
      </c>
      <c r="V2" s="106"/>
      <c r="W2" s="60" t="s">
        <v>409</v>
      </c>
    </row>
    <row r="3" spans="1:23" s="8" customFormat="1" ht="409.5" x14ac:dyDescent="0.25">
      <c r="A3" s="42">
        <v>27</v>
      </c>
      <c r="B3" s="18" t="s">
        <v>968</v>
      </c>
      <c r="C3" s="18" t="s">
        <v>60</v>
      </c>
      <c r="D3" s="18" t="s">
        <v>366</v>
      </c>
      <c r="E3" s="17" t="s">
        <v>916</v>
      </c>
      <c r="F3" s="18">
        <v>2011</v>
      </c>
      <c r="G3" s="18" t="s">
        <v>142</v>
      </c>
      <c r="H3" s="18" t="s">
        <v>967</v>
      </c>
      <c r="I3" s="43" t="s">
        <v>966</v>
      </c>
      <c r="J3" s="108" t="s">
        <v>965</v>
      </c>
      <c r="K3" s="107"/>
      <c r="L3" s="44" t="s">
        <v>33</v>
      </c>
      <c r="M3" s="18" t="s">
        <v>924</v>
      </c>
      <c r="N3" s="18" t="s">
        <v>6</v>
      </c>
      <c r="O3" s="18" t="s">
        <v>18</v>
      </c>
      <c r="P3" s="18"/>
      <c r="Q3" s="18"/>
      <c r="R3" s="18" t="s">
        <v>58</v>
      </c>
      <c r="S3" s="18" t="s">
        <v>7</v>
      </c>
      <c r="T3" s="58">
        <v>44973</v>
      </c>
      <c r="U3" s="106" t="s">
        <v>207</v>
      </c>
      <c r="V3" s="106"/>
      <c r="W3" s="60" t="s">
        <v>409</v>
      </c>
    </row>
    <row r="4" spans="1:23" s="8" customFormat="1" ht="409.5" x14ac:dyDescent="0.25">
      <c r="A4" s="42">
        <v>29</v>
      </c>
      <c r="B4" s="18" t="s">
        <v>964</v>
      </c>
      <c r="C4" s="18" t="s">
        <v>60</v>
      </c>
      <c r="D4" s="18" t="s">
        <v>366</v>
      </c>
      <c r="E4" s="18"/>
      <c r="F4" s="18">
        <v>2014</v>
      </c>
      <c r="G4" s="18" t="s">
        <v>74</v>
      </c>
      <c r="H4" s="47" t="s">
        <v>963</v>
      </c>
      <c r="I4" s="43" t="s">
        <v>962</v>
      </c>
      <c r="J4" s="43" t="s">
        <v>430</v>
      </c>
      <c r="K4" s="120" t="s">
        <v>218</v>
      </c>
      <c r="L4" s="44" t="s">
        <v>33</v>
      </c>
      <c r="M4" s="18" t="s">
        <v>924</v>
      </c>
      <c r="N4" s="18" t="s">
        <v>6</v>
      </c>
      <c r="O4" s="18" t="s">
        <v>18</v>
      </c>
      <c r="P4" s="18"/>
      <c r="Q4" s="18"/>
      <c r="R4" s="18" t="s">
        <v>58</v>
      </c>
      <c r="S4" s="18" t="s">
        <v>7</v>
      </c>
      <c r="T4" s="58">
        <v>44976</v>
      </c>
      <c r="U4" s="106" t="s">
        <v>207</v>
      </c>
      <c r="V4" s="106"/>
      <c r="W4" s="60" t="s">
        <v>409</v>
      </c>
    </row>
    <row r="5" spans="1:23" s="8" customFormat="1" ht="409.5" x14ac:dyDescent="0.25">
      <c r="A5" s="42">
        <v>34</v>
      </c>
      <c r="B5" s="18" t="s">
        <v>961</v>
      </c>
      <c r="C5" s="18" t="s">
        <v>60</v>
      </c>
      <c r="D5" s="18" t="s">
        <v>366</v>
      </c>
      <c r="E5" s="18"/>
      <c r="F5" s="18">
        <v>2017</v>
      </c>
      <c r="G5" s="18" t="s">
        <v>74</v>
      </c>
      <c r="H5" s="18" t="s">
        <v>960</v>
      </c>
      <c r="I5" s="43" t="s">
        <v>959</v>
      </c>
      <c r="J5" s="120" t="s">
        <v>958</v>
      </c>
      <c r="K5" s="119"/>
      <c r="L5" s="44" t="s">
        <v>33</v>
      </c>
      <c r="M5" s="18" t="s">
        <v>924</v>
      </c>
      <c r="N5" s="18" t="s">
        <v>6</v>
      </c>
      <c r="O5" s="18" t="s">
        <v>18</v>
      </c>
      <c r="P5" s="18"/>
      <c r="Q5" s="18"/>
      <c r="R5" s="18" t="s">
        <v>58</v>
      </c>
      <c r="S5" s="18" t="s">
        <v>7</v>
      </c>
      <c r="T5" s="58">
        <v>44976</v>
      </c>
      <c r="U5" s="106" t="s">
        <v>207</v>
      </c>
      <c r="V5" s="106"/>
      <c r="W5" s="60" t="s">
        <v>409</v>
      </c>
    </row>
    <row r="6" spans="1:23" s="8" customFormat="1" ht="270" x14ac:dyDescent="0.25">
      <c r="A6" s="42">
        <v>37</v>
      </c>
      <c r="B6" s="18" t="s">
        <v>949</v>
      </c>
      <c r="C6" s="47" t="s">
        <v>60</v>
      </c>
      <c r="D6" s="18" t="s">
        <v>366</v>
      </c>
      <c r="E6" s="18"/>
      <c r="F6" s="18">
        <v>2020</v>
      </c>
      <c r="G6" s="18" t="s">
        <v>190</v>
      </c>
      <c r="H6" s="18" t="s">
        <v>948</v>
      </c>
      <c r="I6" s="43" t="s">
        <v>947</v>
      </c>
      <c r="J6" s="108" t="s">
        <v>946</v>
      </c>
      <c r="K6" s="107"/>
      <c r="L6" s="44" t="s">
        <v>33</v>
      </c>
      <c r="M6" s="18" t="s">
        <v>924</v>
      </c>
      <c r="N6" s="18" t="s">
        <v>18</v>
      </c>
      <c r="O6" s="18"/>
      <c r="P6" s="18"/>
      <c r="Q6" s="18"/>
      <c r="R6" s="18" t="s">
        <v>58</v>
      </c>
      <c r="S6" s="18" t="s">
        <v>7</v>
      </c>
      <c r="T6" s="58">
        <v>44977</v>
      </c>
      <c r="U6" s="106" t="s">
        <v>207</v>
      </c>
      <c r="V6" s="106"/>
      <c r="W6" s="60" t="s">
        <v>409</v>
      </c>
    </row>
    <row r="7" spans="1:23" s="8" customFormat="1" ht="180" x14ac:dyDescent="0.25">
      <c r="A7" s="42">
        <v>50</v>
      </c>
      <c r="B7" s="18" t="s">
        <v>957</v>
      </c>
      <c r="C7" s="18" t="s">
        <v>439</v>
      </c>
      <c r="D7" s="18" t="s">
        <v>366</v>
      </c>
      <c r="E7" s="118"/>
      <c r="F7" s="18">
        <v>2018</v>
      </c>
      <c r="G7" s="18" t="s">
        <v>152</v>
      </c>
      <c r="H7" s="18" t="s">
        <v>956</v>
      </c>
      <c r="I7" s="43" t="s">
        <v>955</v>
      </c>
      <c r="J7" s="117" t="s">
        <v>954</v>
      </c>
      <c r="K7" s="116"/>
      <c r="L7" s="44"/>
      <c r="M7" s="18" t="s">
        <v>924</v>
      </c>
      <c r="N7" s="18" t="s">
        <v>6</v>
      </c>
      <c r="O7" s="18" t="s">
        <v>18</v>
      </c>
      <c r="P7" s="18"/>
      <c r="Q7" s="18"/>
      <c r="R7" s="18" t="s">
        <v>58</v>
      </c>
      <c r="S7" s="18" t="s">
        <v>7</v>
      </c>
      <c r="T7" s="58">
        <v>44970</v>
      </c>
      <c r="U7" s="106" t="s">
        <v>207</v>
      </c>
      <c r="V7" s="106"/>
      <c r="W7" s="71" t="s">
        <v>552</v>
      </c>
    </row>
    <row r="8" spans="1:23" s="8" customFormat="1" ht="409.5" x14ac:dyDescent="0.25">
      <c r="A8" s="42">
        <v>105</v>
      </c>
      <c r="B8" s="18" t="s">
        <v>953</v>
      </c>
      <c r="C8" s="18" t="s">
        <v>8</v>
      </c>
      <c r="D8" s="18" t="s">
        <v>366</v>
      </c>
      <c r="E8" s="18"/>
      <c r="F8" s="18">
        <v>2021</v>
      </c>
      <c r="G8" s="18" t="s">
        <v>136</v>
      </c>
      <c r="H8" s="18" t="s">
        <v>952</v>
      </c>
      <c r="I8" s="43" t="s">
        <v>951</v>
      </c>
      <c r="J8" s="109" t="s">
        <v>950</v>
      </c>
      <c r="K8" s="107"/>
      <c r="L8" s="44" t="s">
        <v>33</v>
      </c>
      <c r="M8" s="18" t="s">
        <v>924</v>
      </c>
      <c r="N8" s="18" t="s">
        <v>6</v>
      </c>
      <c r="O8" s="18" t="s">
        <v>18</v>
      </c>
      <c r="P8" s="18"/>
      <c r="Q8" s="18"/>
      <c r="R8" s="18" t="s">
        <v>58</v>
      </c>
      <c r="S8" s="18" t="s">
        <v>7</v>
      </c>
      <c r="T8" s="58">
        <v>44978</v>
      </c>
      <c r="U8" s="106" t="s">
        <v>207</v>
      </c>
      <c r="V8" s="106"/>
      <c r="W8" s="71"/>
    </row>
    <row r="9" spans="1:23" s="8" customFormat="1" ht="74.25" customHeight="1" x14ac:dyDescent="0.25">
      <c r="A9" s="90">
        <v>119</v>
      </c>
      <c r="B9" s="91" t="s">
        <v>949</v>
      </c>
      <c r="C9" s="115" t="s">
        <v>60</v>
      </c>
      <c r="D9" s="91" t="s">
        <v>366</v>
      </c>
      <c r="E9" s="91"/>
      <c r="F9" s="91">
        <v>2020</v>
      </c>
      <c r="G9" s="91" t="s">
        <v>190</v>
      </c>
      <c r="H9" s="92" t="s">
        <v>948</v>
      </c>
      <c r="I9" s="93" t="s">
        <v>947</v>
      </c>
      <c r="J9" s="114" t="s">
        <v>946</v>
      </c>
      <c r="K9" s="113"/>
      <c r="L9" s="96" t="s">
        <v>33</v>
      </c>
      <c r="M9" s="91" t="s">
        <v>924</v>
      </c>
      <c r="N9" s="91" t="s">
        <v>18</v>
      </c>
      <c r="O9" s="91"/>
      <c r="P9" s="91"/>
      <c r="Q9" s="91"/>
      <c r="R9" s="91" t="s">
        <v>58</v>
      </c>
      <c r="S9" s="91" t="s">
        <v>7</v>
      </c>
      <c r="T9" s="97">
        <v>44977</v>
      </c>
      <c r="U9" s="106"/>
      <c r="V9" s="81" t="s">
        <v>33</v>
      </c>
      <c r="W9" s="71"/>
    </row>
    <row r="10" spans="1:23" s="8" customFormat="1" ht="390" x14ac:dyDescent="0.25">
      <c r="A10" s="99">
        <v>171</v>
      </c>
      <c r="B10" s="18" t="s">
        <v>945</v>
      </c>
      <c r="C10" s="18" t="s">
        <v>8</v>
      </c>
      <c r="D10" s="18" t="s">
        <v>366</v>
      </c>
      <c r="E10" s="18"/>
      <c r="F10" s="112"/>
      <c r="G10" s="18" t="s">
        <v>154</v>
      </c>
      <c r="H10" s="18" t="s">
        <v>944</v>
      </c>
      <c r="I10" s="43"/>
      <c r="J10" s="111"/>
      <c r="K10" s="111"/>
      <c r="L10" s="44" t="s">
        <v>33</v>
      </c>
      <c r="M10" s="18" t="s">
        <v>924</v>
      </c>
      <c r="N10" s="18" t="s">
        <v>6</v>
      </c>
      <c r="O10" s="18" t="s">
        <v>18</v>
      </c>
      <c r="P10" s="18"/>
      <c r="Q10" s="18"/>
      <c r="R10" s="18" t="s">
        <v>58</v>
      </c>
      <c r="S10" s="18" t="s">
        <v>7</v>
      </c>
      <c r="T10" s="58">
        <v>44953</v>
      </c>
      <c r="U10" s="106" t="s">
        <v>207</v>
      </c>
      <c r="V10" s="106"/>
      <c r="W10" s="71"/>
    </row>
    <row r="11" spans="1:23" s="8" customFormat="1" ht="409.5" x14ac:dyDescent="0.25">
      <c r="A11" s="99">
        <v>181</v>
      </c>
      <c r="B11" s="18" t="s">
        <v>943</v>
      </c>
      <c r="C11" s="18"/>
      <c r="D11" s="18" t="s">
        <v>366</v>
      </c>
      <c r="E11" s="18"/>
      <c r="F11" s="18">
        <v>2020</v>
      </c>
      <c r="G11" s="99"/>
      <c r="H11" s="18" t="s">
        <v>942</v>
      </c>
      <c r="I11" s="43"/>
      <c r="J11" s="108" t="s">
        <v>800</v>
      </c>
      <c r="K11" s="108"/>
      <c r="L11" s="44" t="s">
        <v>33</v>
      </c>
      <c r="M11" s="18" t="s">
        <v>924</v>
      </c>
      <c r="N11" s="18" t="s">
        <v>6</v>
      </c>
      <c r="O11" s="18" t="s">
        <v>18</v>
      </c>
      <c r="P11" s="18"/>
      <c r="Q11" s="18"/>
      <c r="R11" s="18" t="s">
        <v>58</v>
      </c>
      <c r="S11" s="18" t="s">
        <v>921</v>
      </c>
      <c r="T11" s="58" t="s">
        <v>240</v>
      </c>
      <c r="U11" s="106" t="s">
        <v>207</v>
      </c>
      <c r="V11" s="106"/>
      <c r="W11" s="71"/>
    </row>
    <row r="12" spans="1:23" s="8" customFormat="1" ht="315" x14ac:dyDescent="0.25">
      <c r="A12" s="102">
        <v>192</v>
      </c>
      <c r="B12" s="18" t="s">
        <v>941</v>
      </c>
      <c r="C12" s="18" t="s">
        <v>8</v>
      </c>
      <c r="D12" s="18" t="s">
        <v>366</v>
      </c>
      <c r="E12" s="17" t="s">
        <v>940</v>
      </c>
      <c r="F12" s="18">
        <v>2015</v>
      </c>
      <c r="G12" s="18" t="s">
        <v>158</v>
      </c>
      <c r="H12" s="18" t="s">
        <v>939</v>
      </c>
      <c r="I12" s="43"/>
      <c r="J12" s="108" t="s">
        <v>938</v>
      </c>
      <c r="K12" s="107"/>
      <c r="L12" s="44" t="s">
        <v>33</v>
      </c>
      <c r="M12" s="18" t="s">
        <v>924</v>
      </c>
      <c r="N12" s="18" t="s">
        <v>6</v>
      </c>
      <c r="O12" s="18" t="s">
        <v>18</v>
      </c>
      <c r="P12" s="18"/>
      <c r="Q12" s="18"/>
      <c r="R12" s="18" t="s">
        <v>58</v>
      </c>
      <c r="S12" s="18" t="s">
        <v>7</v>
      </c>
      <c r="T12" s="58">
        <v>44976</v>
      </c>
      <c r="U12" s="106" t="s">
        <v>207</v>
      </c>
      <c r="V12" s="106"/>
      <c r="W12" s="71"/>
    </row>
  </sheetData>
  <autoFilter ref="A1:W12" xr:uid="{F3A38C94-391D-4F1B-8A92-1433C752504F}"/>
  <dataValidations count="1">
    <dataValidation type="list" allowBlank="1" showErrorMessage="1" sqref="S5:S8 S10:S11" xr:uid="{94F2B127-5C03-4A92-BAEA-68D36F04E2FB}">
      <formula1>"International,National,Regional"</formula1>
    </dataValidation>
  </dataValidations>
  <hyperlinks>
    <hyperlink ref="J2" r:id="rId1" xr:uid="{86858868-1C0D-43D6-9B7D-8FAE7A40B737}"/>
    <hyperlink ref="J3" r:id="rId2" xr:uid="{39FABE10-5626-42B2-8E68-55AF3C78B699}"/>
    <hyperlink ref="K4" r:id="rId3" location=" " xr:uid="{111C1547-3C43-4AB9-9732-D163B10EE5C0}"/>
    <hyperlink ref="J5" r:id="rId4" xr:uid="{0C743F17-3AD7-4E1F-88CA-A3FD57BFB93F}"/>
    <hyperlink ref="J6" r:id="rId5" xr:uid="{C322781D-2C85-4540-AB6C-0ED00B84CC34}"/>
    <hyperlink ref="J7" r:id="rId6" xr:uid="{FD850D62-F444-4066-BC0B-D919ACDA6064}"/>
    <hyperlink ref="J8" r:id="rId7" xr:uid="{49F9E474-65F3-4809-B21A-78E4DB4D9981}"/>
    <hyperlink ref="J9" r:id="rId8" xr:uid="{3C0C5927-8CA1-4117-8443-990CCD8574D7}"/>
    <hyperlink ref="J12" r:id="rId9" xr:uid="{D96742B8-B6B3-43BC-8EE7-56A43AF5BA23}"/>
  </hyperlinks>
  <pageMargins left="0.7" right="0.7" top="0.75" bottom="0.75" header="0.3" footer="0.3"/>
  <legacyDrawing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A527-A5CF-4D03-9D80-28733B969799}">
  <sheetPr>
    <tabColor rgb="FFFFFF00"/>
  </sheetPr>
  <dimension ref="A1:W2"/>
  <sheetViews>
    <sheetView workbookViewId="0">
      <selection sqref="A1:W2"/>
    </sheetView>
  </sheetViews>
  <sheetFormatPr defaultColWidth="8.85546875" defaultRowHeight="15" x14ac:dyDescent="0.25"/>
  <sheetData>
    <row r="1" spans="1:23" ht="60" x14ac:dyDescent="0.25">
      <c r="A1" s="132" t="s">
        <v>0</v>
      </c>
      <c r="B1" s="132" t="s">
        <v>97</v>
      </c>
      <c r="C1" s="132" t="s">
        <v>1</v>
      </c>
      <c r="D1" s="132" t="s">
        <v>107</v>
      </c>
      <c r="E1" s="132" t="s">
        <v>99</v>
      </c>
      <c r="F1" s="132" t="s">
        <v>108</v>
      </c>
      <c r="G1" s="132" t="s">
        <v>70</v>
      </c>
      <c r="H1" s="132" t="s">
        <v>109</v>
      </c>
      <c r="I1" s="132" t="s">
        <v>117</v>
      </c>
      <c r="J1" s="132" t="s">
        <v>110</v>
      </c>
      <c r="K1" s="132" t="s">
        <v>310</v>
      </c>
      <c r="L1" s="132" t="s">
        <v>15</v>
      </c>
      <c r="M1" s="132" t="s">
        <v>2</v>
      </c>
      <c r="N1" s="132" t="s">
        <v>98</v>
      </c>
      <c r="O1" s="132" t="s">
        <v>100</v>
      </c>
      <c r="P1" s="132" t="s">
        <v>101</v>
      </c>
      <c r="Q1" s="132" t="s">
        <v>102</v>
      </c>
      <c r="R1" s="132" t="s">
        <v>3</v>
      </c>
      <c r="S1" s="132" t="s">
        <v>4</v>
      </c>
      <c r="T1" s="133" t="s">
        <v>16</v>
      </c>
      <c r="U1" s="132" t="s">
        <v>17</v>
      </c>
      <c r="V1" s="134" t="s">
        <v>521</v>
      </c>
      <c r="W1" s="135" t="s">
        <v>267</v>
      </c>
    </row>
    <row r="2" spans="1:23" s="8" customFormat="1" ht="409.5" x14ac:dyDescent="0.25">
      <c r="A2" s="102">
        <v>194</v>
      </c>
      <c r="B2" s="18" t="s">
        <v>976</v>
      </c>
      <c r="C2" s="18" t="s">
        <v>60</v>
      </c>
      <c r="D2" s="29" t="s">
        <v>975</v>
      </c>
      <c r="E2" s="18"/>
      <c r="F2" s="18">
        <v>2015</v>
      </c>
      <c r="G2" s="18" t="s">
        <v>158</v>
      </c>
      <c r="H2" s="18" t="s">
        <v>974</v>
      </c>
      <c r="I2" s="43"/>
      <c r="J2" s="108" t="s">
        <v>973</v>
      </c>
      <c r="K2" s="107"/>
      <c r="L2" s="44" t="s">
        <v>33</v>
      </c>
      <c r="M2" s="18" t="s">
        <v>18</v>
      </c>
      <c r="N2" s="18"/>
      <c r="O2" s="18"/>
      <c r="P2" s="18"/>
      <c r="Q2" s="18"/>
      <c r="R2" s="18" t="s">
        <v>58</v>
      </c>
      <c r="S2" s="18" t="s">
        <v>203</v>
      </c>
      <c r="T2" s="58">
        <v>44976</v>
      </c>
      <c r="U2" s="106" t="s">
        <v>207</v>
      </c>
      <c r="V2" s="106"/>
      <c r="W2" s="71"/>
    </row>
  </sheetData>
  <autoFilter ref="A1:W2" xr:uid="{5F2AA527-A5CF-4D03-9D80-28733B969799}"/>
  <hyperlinks>
    <hyperlink ref="J2" r:id="rId1" xr:uid="{A7B5F3A4-568A-4E8F-88CA-905857D41C0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0982-AF31-450C-97C1-5B2D86D7F283}">
  <sheetPr>
    <tabColor rgb="FFFFFF00"/>
  </sheetPr>
  <dimension ref="A1:W40"/>
  <sheetViews>
    <sheetView workbookViewId="0">
      <selection activeCell="B2" sqref="B2"/>
    </sheetView>
  </sheetViews>
  <sheetFormatPr defaultColWidth="8.85546875" defaultRowHeight="15" x14ac:dyDescent="0.25"/>
  <sheetData>
    <row r="1" spans="1:23" ht="60" x14ac:dyDescent="0.25">
      <c r="A1" s="132" t="s">
        <v>0</v>
      </c>
      <c r="B1" s="132" t="s">
        <v>97</v>
      </c>
      <c r="C1" s="132" t="s">
        <v>1</v>
      </c>
      <c r="D1" s="132" t="s">
        <v>107</v>
      </c>
      <c r="E1" s="132" t="s">
        <v>99</v>
      </c>
      <c r="F1" s="132" t="s">
        <v>108</v>
      </c>
      <c r="G1" s="132" t="s">
        <v>70</v>
      </c>
      <c r="H1" s="132" t="s">
        <v>109</v>
      </c>
      <c r="I1" s="132" t="s">
        <v>117</v>
      </c>
      <c r="J1" s="132" t="s">
        <v>110</v>
      </c>
      <c r="K1" s="132" t="s">
        <v>310</v>
      </c>
      <c r="L1" s="132" t="s">
        <v>15</v>
      </c>
      <c r="M1" s="132" t="s">
        <v>2</v>
      </c>
      <c r="N1" s="132" t="s">
        <v>98</v>
      </c>
      <c r="O1" s="132" t="s">
        <v>100</v>
      </c>
      <c r="P1" s="132" t="s">
        <v>101</v>
      </c>
      <c r="Q1" s="132" t="s">
        <v>102</v>
      </c>
      <c r="R1" s="132" t="s">
        <v>3</v>
      </c>
      <c r="S1" s="132" t="s">
        <v>4</v>
      </c>
      <c r="T1" s="133" t="s">
        <v>16</v>
      </c>
      <c r="U1" s="132" t="s">
        <v>17</v>
      </c>
      <c r="V1" s="134" t="s">
        <v>521</v>
      </c>
      <c r="W1" s="135" t="s">
        <v>267</v>
      </c>
    </row>
    <row r="2" spans="1:23" s="8" customFormat="1" ht="409.5" x14ac:dyDescent="0.25">
      <c r="A2" s="42">
        <v>4</v>
      </c>
      <c r="B2" s="17" t="s">
        <v>1123</v>
      </c>
      <c r="C2" s="17" t="s">
        <v>60</v>
      </c>
      <c r="D2" s="18" t="s">
        <v>981</v>
      </c>
      <c r="E2" s="18"/>
      <c r="F2" s="46">
        <v>2017</v>
      </c>
      <c r="G2" s="17" t="s">
        <v>76</v>
      </c>
      <c r="H2" s="18" t="s">
        <v>1122</v>
      </c>
      <c r="I2" s="43" t="s">
        <v>1121</v>
      </c>
      <c r="J2" s="130" t="s">
        <v>1120</v>
      </c>
      <c r="K2" s="129" t="s">
        <v>1119</v>
      </c>
      <c r="L2" s="44" t="s">
        <v>22</v>
      </c>
      <c r="M2" s="18" t="s">
        <v>18</v>
      </c>
      <c r="N2" s="18"/>
      <c r="O2" s="18"/>
      <c r="P2" s="18"/>
      <c r="Q2" s="18"/>
      <c r="R2" s="17" t="s">
        <v>58</v>
      </c>
      <c r="S2" s="18" t="s">
        <v>5</v>
      </c>
      <c r="T2" s="58">
        <v>44883</v>
      </c>
      <c r="U2" s="106" t="s">
        <v>23</v>
      </c>
      <c r="V2" s="106"/>
      <c r="W2" s="60" t="s">
        <v>409</v>
      </c>
    </row>
    <row r="3" spans="1:23" s="8" customFormat="1" ht="409.5" x14ac:dyDescent="0.25">
      <c r="A3" s="42">
        <v>6</v>
      </c>
      <c r="B3" s="18" t="s">
        <v>1118</v>
      </c>
      <c r="C3" s="18" t="s">
        <v>8</v>
      </c>
      <c r="D3" s="18" t="s">
        <v>365</v>
      </c>
      <c r="E3" s="18" t="s">
        <v>538</v>
      </c>
      <c r="F3" s="18">
        <v>2016</v>
      </c>
      <c r="G3" s="18" t="s">
        <v>76</v>
      </c>
      <c r="H3" s="18" t="s">
        <v>1117</v>
      </c>
      <c r="I3" s="43" t="s">
        <v>1116</v>
      </c>
      <c r="J3" s="120" t="s">
        <v>1115</v>
      </c>
      <c r="K3" s="119"/>
      <c r="L3" s="44" t="s">
        <v>22</v>
      </c>
      <c r="M3" s="18" t="s">
        <v>6</v>
      </c>
      <c r="N3" s="18" t="s">
        <v>18</v>
      </c>
      <c r="O3" s="18"/>
      <c r="P3" s="18"/>
      <c r="Q3" s="18"/>
      <c r="R3" s="18" t="s">
        <v>58</v>
      </c>
      <c r="S3" s="18" t="s">
        <v>7</v>
      </c>
      <c r="T3" s="58">
        <v>44886</v>
      </c>
      <c r="U3" s="106" t="s">
        <v>59</v>
      </c>
      <c r="V3" s="106"/>
      <c r="W3" s="60" t="s">
        <v>409</v>
      </c>
    </row>
    <row r="4" spans="1:23" s="8" customFormat="1" ht="409.5" x14ac:dyDescent="0.25">
      <c r="A4" s="42">
        <v>8</v>
      </c>
      <c r="B4" s="18" t="s">
        <v>1114</v>
      </c>
      <c r="C4" s="18" t="s">
        <v>8</v>
      </c>
      <c r="D4" s="18" t="s">
        <v>370</v>
      </c>
      <c r="E4" s="18"/>
      <c r="F4" s="18">
        <v>2014</v>
      </c>
      <c r="G4" s="18" t="s">
        <v>80</v>
      </c>
      <c r="H4" s="18" t="s">
        <v>1113</v>
      </c>
      <c r="I4" s="43" t="s">
        <v>1112</v>
      </c>
      <c r="J4" s="120" t="s">
        <v>1111</v>
      </c>
      <c r="K4" s="119"/>
      <c r="L4" s="44" t="s">
        <v>22</v>
      </c>
      <c r="M4" s="18" t="s">
        <v>6</v>
      </c>
      <c r="N4" s="18" t="s">
        <v>18</v>
      </c>
      <c r="O4" s="18"/>
      <c r="P4" s="18"/>
      <c r="Q4" s="18"/>
      <c r="R4" s="17" t="s">
        <v>58</v>
      </c>
      <c r="S4" s="18" t="s">
        <v>7</v>
      </c>
      <c r="T4" s="58">
        <v>44886</v>
      </c>
      <c r="U4" s="106" t="s">
        <v>66</v>
      </c>
      <c r="V4" s="106"/>
      <c r="W4" s="60" t="s">
        <v>409</v>
      </c>
    </row>
    <row r="5" spans="1:23" s="8" customFormat="1" ht="409.5" x14ac:dyDescent="0.25">
      <c r="A5" s="42">
        <v>10</v>
      </c>
      <c r="B5" s="18" t="s">
        <v>1110</v>
      </c>
      <c r="C5" s="18" t="s">
        <v>8</v>
      </c>
      <c r="D5" s="18" t="s">
        <v>988</v>
      </c>
      <c r="E5" s="18"/>
      <c r="F5" s="18">
        <v>2019</v>
      </c>
      <c r="G5" s="18" t="s">
        <v>83</v>
      </c>
      <c r="H5" s="18" t="s">
        <v>1109</v>
      </c>
      <c r="I5" s="43" t="s">
        <v>1108</v>
      </c>
      <c r="J5" s="120" t="s">
        <v>1107</v>
      </c>
      <c r="K5" s="119"/>
      <c r="L5" s="44" t="s">
        <v>22</v>
      </c>
      <c r="M5" s="18" t="s">
        <v>920</v>
      </c>
      <c r="N5" s="18" t="s">
        <v>6</v>
      </c>
      <c r="O5" s="18" t="s">
        <v>18</v>
      </c>
      <c r="P5" s="18" t="s">
        <v>1106</v>
      </c>
      <c r="Q5" s="18" t="s">
        <v>924</v>
      </c>
      <c r="R5" s="17" t="s">
        <v>58</v>
      </c>
      <c r="S5" s="18" t="s">
        <v>7</v>
      </c>
      <c r="T5" s="58">
        <v>44886</v>
      </c>
      <c r="U5" s="106" t="s">
        <v>66</v>
      </c>
      <c r="V5" s="106"/>
      <c r="W5" s="60" t="s">
        <v>409</v>
      </c>
    </row>
    <row r="6" spans="1:23" s="8" customFormat="1" ht="409.5" x14ac:dyDescent="0.25">
      <c r="A6" s="42">
        <v>18</v>
      </c>
      <c r="B6" s="18" t="s">
        <v>1105</v>
      </c>
      <c r="C6" s="18" t="s">
        <v>8</v>
      </c>
      <c r="D6" s="18" t="s">
        <v>365</v>
      </c>
      <c r="E6" s="18"/>
      <c r="F6" s="18">
        <v>2017</v>
      </c>
      <c r="G6" s="18" t="s">
        <v>76</v>
      </c>
      <c r="H6" s="18" t="s">
        <v>1104</v>
      </c>
      <c r="I6" s="43" t="s">
        <v>1103</v>
      </c>
      <c r="J6" s="108" t="s">
        <v>1102</v>
      </c>
      <c r="K6" s="107"/>
      <c r="L6" s="44" t="s">
        <v>22</v>
      </c>
      <c r="M6" s="18" t="s">
        <v>6</v>
      </c>
      <c r="N6" s="18"/>
      <c r="O6" s="18"/>
      <c r="P6" s="18"/>
      <c r="Q6" s="18"/>
      <c r="R6" s="18" t="s">
        <v>58</v>
      </c>
      <c r="S6" s="18" t="s">
        <v>7</v>
      </c>
      <c r="T6" s="58">
        <v>44959</v>
      </c>
      <c r="U6" s="106" t="s">
        <v>207</v>
      </c>
      <c r="V6" s="106"/>
      <c r="W6" s="60" t="s">
        <v>409</v>
      </c>
    </row>
    <row r="7" spans="1:23" s="8" customFormat="1" ht="409.5" x14ac:dyDescent="0.25">
      <c r="A7" s="42">
        <v>19</v>
      </c>
      <c r="B7" s="18" t="s">
        <v>1101</v>
      </c>
      <c r="C7" s="18" t="s">
        <v>8</v>
      </c>
      <c r="D7" s="18" t="s">
        <v>370</v>
      </c>
      <c r="E7" s="18" t="s">
        <v>538</v>
      </c>
      <c r="F7" s="18">
        <v>1998</v>
      </c>
      <c r="G7" s="18" t="s">
        <v>76</v>
      </c>
      <c r="H7" s="18" t="s">
        <v>1100</v>
      </c>
      <c r="I7" s="43" t="s">
        <v>1099</v>
      </c>
      <c r="J7" s="108" t="s">
        <v>1098</v>
      </c>
      <c r="K7" s="107"/>
      <c r="L7" s="44" t="s">
        <v>22</v>
      </c>
      <c r="M7" s="18" t="s">
        <v>6</v>
      </c>
      <c r="N7" s="18"/>
      <c r="O7" s="18"/>
      <c r="P7" s="18"/>
      <c r="Q7" s="18"/>
      <c r="R7" s="18" t="s">
        <v>58</v>
      </c>
      <c r="S7" s="18" t="s">
        <v>7</v>
      </c>
      <c r="T7" s="58">
        <v>44959</v>
      </c>
      <c r="U7" s="106" t="s">
        <v>207</v>
      </c>
      <c r="V7" s="106"/>
      <c r="W7" s="60" t="s">
        <v>409</v>
      </c>
    </row>
    <row r="8" spans="1:23" s="8" customFormat="1" ht="409.5" x14ac:dyDescent="0.25">
      <c r="A8" s="42">
        <v>20</v>
      </c>
      <c r="B8" s="18" t="s">
        <v>1097</v>
      </c>
      <c r="C8" s="18" t="s">
        <v>8</v>
      </c>
      <c r="D8" s="18" t="s">
        <v>370</v>
      </c>
      <c r="E8" s="18"/>
      <c r="F8" s="18">
        <v>2017</v>
      </c>
      <c r="G8" s="18" t="s">
        <v>76</v>
      </c>
      <c r="H8" s="18" t="s">
        <v>1096</v>
      </c>
      <c r="I8" s="43" t="s">
        <v>1095</v>
      </c>
      <c r="J8" s="108" t="s">
        <v>1094</v>
      </c>
      <c r="K8" s="107"/>
      <c r="L8" s="44" t="s">
        <v>22</v>
      </c>
      <c r="M8" s="18" t="s">
        <v>6</v>
      </c>
      <c r="N8" s="18"/>
      <c r="O8" s="18"/>
      <c r="P8" s="18"/>
      <c r="Q8" s="18"/>
      <c r="R8" s="18" t="s">
        <v>58</v>
      </c>
      <c r="S8" s="18" t="s">
        <v>7</v>
      </c>
      <c r="T8" s="58">
        <v>44959</v>
      </c>
      <c r="U8" s="106" t="s">
        <v>207</v>
      </c>
      <c r="V8" s="106"/>
      <c r="W8" s="60" t="s">
        <v>409</v>
      </c>
    </row>
    <row r="9" spans="1:23" s="8" customFormat="1" ht="409.5" x14ac:dyDescent="0.25">
      <c r="A9" s="42">
        <v>21</v>
      </c>
      <c r="B9" s="18" t="s">
        <v>1093</v>
      </c>
      <c r="C9" s="18" t="s">
        <v>8</v>
      </c>
      <c r="D9" s="18" t="s">
        <v>370</v>
      </c>
      <c r="E9" s="18"/>
      <c r="F9" s="18">
        <v>2016</v>
      </c>
      <c r="G9" s="18" t="s">
        <v>76</v>
      </c>
      <c r="H9" s="18" t="s">
        <v>1092</v>
      </c>
      <c r="I9" s="43" t="s">
        <v>1091</v>
      </c>
      <c r="J9" s="108" t="s">
        <v>1090</v>
      </c>
      <c r="K9" s="107"/>
      <c r="L9" s="44" t="s">
        <v>22</v>
      </c>
      <c r="M9" s="18" t="s">
        <v>6</v>
      </c>
      <c r="N9" s="18"/>
      <c r="O9" s="18"/>
      <c r="P9" s="18"/>
      <c r="Q9" s="18"/>
      <c r="R9" s="18" t="s">
        <v>58</v>
      </c>
      <c r="S9" s="18" t="s">
        <v>7</v>
      </c>
      <c r="T9" s="58">
        <v>44959</v>
      </c>
      <c r="U9" s="106" t="s">
        <v>207</v>
      </c>
      <c r="V9" s="106"/>
      <c r="W9" s="60" t="s">
        <v>409</v>
      </c>
    </row>
    <row r="10" spans="1:23" s="8" customFormat="1" ht="409.5" x14ac:dyDescent="0.25">
      <c r="A10" s="42">
        <v>22</v>
      </c>
      <c r="B10" s="18" t="s">
        <v>1089</v>
      </c>
      <c r="C10" s="18" t="s">
        <v>8</v>
      </c>
      <c r="D10" s="18" t="s">
        <v>370</v>
      </c>
      <c r="E10" s="18"/>
      <c r="F10" s="18">
        <v>2017</v>
      </c>
      <c r="G10" s="18" t="s">
        <v>76</v>
      </c>
      <c r="H10" s="18" t="s">
        <v>1088</v>
      </c>
      <c r="I10" s="43" t="s">
        <v>1087</v>
      </c>
      <c r="J10" s="108" t="s">
        <v>1086</v>
      </c>
      <c r="K10" s="107"/>
      <c r="L10" s="44" t="s">
        <v>22</v>
      </c>
      <c r="M10" s="18" t="s">
        <v>6</v>
      </c>
      <c r="N10" s="18"/>
      <c r="O10" s="18"/>
      <c r="P10" s="18"/>
      <c r="Q10" s="18"/>
      <c r="R10" s="18" t="s">
        <v>58</v>
      </c>
      <c r="S10" s="18" t="s">
        <v>7</v>
      </c>
      <c r="T10" s="58">
        <v>44959</v>
      </c>
      <c r="U10" s="106" t="s">
        <v>207</v>
      </c>
      <c r="V10" s="106"/>
      <c r="W10" s="60" t="s">
        <v>409</v>
      </c>
    </row>
    <row r="11" spans="1:23" s="8" customFormat="1" ht="409.5" x14ac:dyDescent="0.25">
      <c r="A11" s="42">
        <v>25</v>
      </c>
      <c r="B11" s="18" t="s">
        <v>434</v>
      </c>
      <c r="C11" s="18" t="s">
        <v>8</v>
      </c>
      <c r="D11" s="18" t="s">
        <v>988</v>
      </c>
      <c r="E11" s="18"/>
      <c r="F11" s="18">
        <v>2010</v>
      </c>
      <c r="G11" s="18" t="s">
        <v>138</v>
      </c>
      <c r="H11" s="18" t="s">
        <v>1085</v>
      </c>
      <c r="I11" s="43" t="s">
        <v>1084</v>
      </c>
      <c r="J11" s="43" t="s">
        <v>430</v>
      </c>
      <c r="K11" s="108" t="s">
        <v>1083</v>
      </c>
      <c r="L11" s="44" t="s">
        <v>22</v>
      </c>
      <c r="M11" s="18" t="s">
        <v>920</v>
      </c>
      <c r="N11" s="18"/>
      <c r="O11" s="18"/>
      <c r="P11" s="18"/>
      <c r="Q11" s="18"/>
      <c r="R11" s="18" t="s">
        <v>977</v>
      </c>
      <c r="S11" s="18" t="s">
        <v>7</v>
      </c>
      <c r="T11" s="58">
        <v>44971</v>
      </c>
      <c r="U11" s="106" t="s">
        <v>207</v>
      </c>
      <c r="V11" s="106"/>
      <c r="W11" s="60" t="s">
        <v>409</v>
      </c>
    </row>
    <row r="12" spans="1:23" s="8" customFormat="1" ht="409.5" x14ac:dyDescent="0.25">
      <c r="A12" s="42">
        <v>66</v>
      </c>
      <c r="B12" s="18" t="s">
        <v>1082</v>
      </c>
      <c r="C12" s="18" t="s">
        <v>8</v>
      </c>
      <c r="D12" s="18" t="s">
        <v>916</v>
      </c>
      <c r="E12" s="18" t="s">
        <v>538</v>
      </c>
      <c r="F12" s="18">
        <v>2021</v>
      </c>
      <c r="G12" s="18" t="s">
        <v>79</v>
      </c>
      <c r="H12" s="18" t="s">
        <v>1081</v>
      </c>
      <c r="I12" s="29" t="s">
        <v>1080</v>
      </c>
      <c r="J12" s="109" t="s">
        <v>1079</v>
      </c>
      <c r="K12" s="117" t="s">
        <v>1078</v>
      </c>
      <c r="L12" s="18" t="s">
        <v>22</v>
      </c>
      <c r="M12" s="18" t="s">
        <v>6</v>
      </c>
      <c r="N12" s="18" t="s">
        <v>18</v>
      </c>
      <c r="O12" s="18"/>
      <c r="P12" s="18"/>
      <c r="Q12" s="18"/>
      <c r="R12" s="18" t="s">
        <v>58</v>
      </c>
      <c r="S12" s="18" t="s">
        <v>7</v>
      </c>
      <c r="T12" s="58">
        <v>45174</v>
      </c>
      <c r="U12" s="106" t="s">
        <v>207</v>
      </c>
      <c r="V12" s="106"/>
      <c r="W12" s="60" t="s">
        <v>569</v>
      </c>
    </row>
    <row r="13" spans="1:23" s="8" customFormat="1" ht="270" x14ac:dyDescent="0.25">
      <c r="A13" s="42">
        <v>71</v>
      </c>
      <c r="B13" s="18" t="s">
        <v>1077</v>
      </c>
      <c r="C13" s="18" t="s">
        <v>439</v>
      </c>
      <c r="D13" s="18" t="s">
        <v>988</v>
      </c>
      <c r="E13" s="18" t="s">
        <v>538</v>
      </c>
      <c r="F13" s="18">
        <v>2022</v>
      </c>
      <c r="G13" s="18" t="s">
        <v>76</v>
      </c>
      <c r="H13" s="18" t="s">
        <v>1076</v>
      </c>
      <c r="I13" s="29" t="s">
        <v>1075</v>
      </c>
      <c r="J13" s="117" t="s">
        <v>1074</v>
      </c>
      <c r="K13" s="109"/>
      <c r="L13" s="18" t="s">
        <v>22</v>
      </c>
      <c r="M13" s="18" t="s">
        <v>6</v>
      </c>
      <c r="N13" s="18" t="s">
        <v>18</v>
      </c>
      <c r="O13" s="18" t="s">
        <v>920</v>
      </c>
      <c r="P13" s="18"/>
      <c r="Q13" s="18"/>
      <c r="R13" s="18" t="s">
        <v>977</v>
      </c>
      <c r="S13" s="18" t="s">
        <v>7</v>
      </c>
      <c r="T13" s="58">
        <v>45175</v>
      </c>
      <c r="U13" s="106" t="s">
        <v>207</v>
      </c>
      <c r="V13" s="106"/>
      <c r="W13" s="60" t="s">
        <v>569</v>
      </c>
    </row>
    <row r="14" spans="1:23" s="8" customFormat="1" ht="409.5" x14ac:dyDescent="0.25">
      <c r="A14" s="42">
        <v>72</v>
      </c>
      <c r="B14" s="18" t="s">
        <v>1073</v>
      </c>
      <c r="C14" s="18" t="s">
        <v>8</v>
      </c>
      <c r="D14" s="18" t="s">
        <v>546</v>
      </c>
      <c r="E14" s="18"/>
      <c r="F14" s="18">
        <v>2020</v>
      </c>
      <c r="G14" s="18" t="s">
        <v>76</v>
      </c>
      <c r="H14" s="18" t="s">
        <v>1072</v>
      </c>
      <c r="I14" s="29" t="s">
        <v>1071</v>
      </c>
      <c r="J14" s="117" t="s">
        <v>1070</v>
      </c>
      <c r="K14" s="109"/>
      <c r="L14" s="18" t="s">
        <v>22</v>
      </c>
      <c r="M14" s="18" t="s">
        <v>6</v>
      </c>
      <c r="N14" s="18"/>
      <c r="O14" s="18"/>
      <c r="P14" s="18"/>
      <c r="Q14" s="18"/>
      <c r="R14" s="18" t="s">
        <v>58</v>
      </c>
      <c r="S14" s="18" t="s">
        <v>7</v>
      </c>
      <c r="T14" s="58">
        <v>45175</v>
      </c>
      <c r="U14" s="106" t="s">
        <v>207</v>
      </c>
      <c r="V14" s="106"/>
      <c r="W14" s="60" t="s">
        <v>569</v>
      </c>
    </row>
    <row r="15" spans="1:23" s="8" customFormat="1" ht="150" x14ac:dyDescent="0.25">
      <c r="A15" s="42">
        <v>73</v>
      </c>
      <c r="B15" s="18" t="s">
        <v>1069</v>
      </c>
      <c r="C15" s="18" t="s">
        <v>60</v>
      </c>
      <c r="D15" s="18" t="s">
        <v>546</v>
      </c>
      <c r="E15" s="18"/>
      <c r="F15" s="18">
        <v>2022</v>
      </c>
      <c r="G15" s="18" t="s">
        <v>76</v>
      </c>
      <c r="H15" s="18" t="s">
        <v>1068</v>
      </c>
      <c r="I15" s="29" t="s">
        <v>1067</v>
      </c>
      <c r="J15" s="117" t="s">
        <v>1066</v>
      </c>
      <c r="K15" s="109"/>
      <c r="L15" s="18" t="s">
        <v>22</v>
      </c>
      <c r="M15" s="18" t="s">
        <v>6</v>
      </c>
      <c r="N15" s="18" t="s">
        <v>18</v>
      </c>
      <c r="O15" s="18"/>
      <c r="P15" s="18"/>
      <c r="Q15" s="18"/>
      <c r="R15" s="18" t="s">
        <v>58</v>
      </c>
      <c r="S15" s="18" t="s">
        <v>7</v>
      </c>
      <c r="T15" s="58">
        <v>45175</v>
      </c>
      <c r="U15" s="106" t="s">
        <v>207</v>
      </c>
      <c r="V15" s="106"/>
      <c r="W15" s="60" t="s">
        <v>569</v>
      </c>
    </row>
    <row r="16" spans="1:23" s="8" customFormat="1" ht="285" x14ac:dyDescent="0.25">
      <c r="A16" s="42">
        <v>74</v>
      </c>
      <c r="B16" s="18" t="s">
        <v>1065</v>
      </c>
      <c r="C16" s="18" t="s">
        <v>60</v>
      </c>
      <c r="D16" s="18" t="s">
        <v>538</v>
      </c>
      <c r="E16" s="18" t="s">
        <v>916</v>
      </c>
      <c r="F16" s="18">
        <v>2022</v>
      </c>
      <c r="G16" s="18" t="s">
        <v>76</v>
      </c>
      <c r="H16" s="18" t="s">
        <v>1064</v>
      </c>
      <c r="I16" s="29" t="s">
        <v>1063</v>
      </c>
      <c r="J16" s="117" t="s">
        <v>1062</v>
      </c>
      <c r="K16" s="109"/>
      <c r="L16" s="18" t="s">
        <v>22</v>
      </c>
      <c r="M16" s="18" t="s">
        <v>6</v>
      </c>
      <c r="N16" s="18"/>
      <c r="O16" s="18"/>
      <c r="P16" s="18"/>
      <c r="Q16" s="18"/>
      <c r="R16" s="18" t="s">
        <v>58</v>
      </c>
      <c r="S16" s="18" t="s">
        <v>7</v>
      </c>
      <c r="T16" s="58">
        <v>45175</v>
      </c>
      <c r="U16" s="106" t="s">
        <v>207</v>
      </c>
      <c r="V16" s="106"/>
      <c r="W16" s="60" t="s">
        <v>569</v>
      </c>
    </row>
    <row r="17" spans="1:23" s="8" customFormat="1" ht="255" x14ac:dyDescent="0.25">
      <c r="A17" s="42">
        <v>75</v>
      </c>
      <c r="B17" s="18" t="s">
        <v>1061</v>
      </c>
      <c r="C17" s="18" t="s">
        <v>60</v>
      </c>
      <c r="D17" s="18" t="s">
        <v>370</v>
      </c>
      <c r="E17" s="18"/>
      <c r="F17" s="18">
        <v>2020</v>
      </c>
      <c r="G17" s="18" t="s">
        <v>76</v>
      </c>
      <c r="H17" s="18" t="s">
        <v>1058</v>
      </c>
      <c r="I17" s="29" t="s">
        <v>1057</v>
      </c>
      <c r="J17" s="117" t="s">
        <v>1060</v>
      </c>
      <c r="K17" s="109"/>
      <c r="L17" s="18" t="s">
        <v>22</v>
      </c>
      <c r="M17" s="18" t="s">
        <v>6</v>
      </c>
      <c r="N17" s="18" t="s">
        <v>18</v>
      </c>
      <c r="O17" s="18" t="s">
        <v>920</v>
      </c>
      <c r="P17" s="18"/>
      <c r="Q17" s="18"/>
      <c r="R17" s="18" t="s">
        <v>58</v>
      </c>
      <c r="S17" s="18" t="s">
        <v>7</v>
      </c>
      <c r="T17" s="58">
        <v>45175</v>
      </c>
      <c r="U17" s="106" t="s">
        <v>207</v>
      </c>
      <c r="V17" s="106"/>
      <c r="W17" s="60" t="s">
        <v>569</v>
      </c>
    </row>
    <row r="18" spans="1:23" s="8" customFormat="1" ht="255" x14ac:dyDescent="0.25">
      <c r="A18" s="42">
        <v>76</v>
      </c>
      <c r="B18" s="18" t="s">
        <v>1059</v>
      </c>
      <c r="C18" s="18" t="s">
        <v>60</v>
      </c>
      <c r="D18" s="18" t="s">
        <v>370</v>
      </c>
      <c r="E18" s="18"/>
      <c r="F18" s="18">
        <v>2020</v>
      </c>
      <c r="G18" s="18" t="s">
        <v>76</v>
      </c>
      <c r="H18" s="18" t="s">
        <v>1058</v>
      </c>
      <c r="I18" s="29" t="s">
        <v>1057</v>
      </c>
      <c r="J18" s="117" t="s">
        <v>1056</v>
      </c>
      <c r="K18" s="109"/>
      <c r="L18" s="18" t="s">
        <v>22</v>
      </c>
      <c r="M18" s="18" t="s">
        <v>6</v>
      </c>
      <c r="N18" s="18" t="s">
        <v>18</v>
      </c>
      <c r="O18" s="18" t="s">
        <v>920</v>
      </c>
      <c r="P18" s="18"/>
      <c r="Q18" s="18"/>
      <c r="R18" s="18" t="s">
        <v>58</v>
      </c>
      <c r="S18" s="18" t="s">
        <v>7</v>
      </c>
      <c r="T18" s="58">
        <v>45175</v>
      </c>
      <c r="U18" s="106" t="s">
        <v>207</v>
      </c>
      <c r="V18" s="106"/>
      <c r="W18" s="60" t="s">
        <v>569</v>
      </c>
    </row>
    <row r="19" spans="1:23" s="8" customFormat="1" ht="409.5" x14ac:dyDescent="0.25">
      <c r="A19" s="42">
        <v>77</v>
      </c>
      <c r="B19" s="18" t="s">
        <v>1055</v>
      </c>
      <c r="C19" s="18" t="s">
        <v>60</v>
      </c>
      <c r="D19" s="18" t="s">
        <v>546</v>
      </c>
      <c r="E19" s="18"/>
      <c r="F19" s="18">
        <v>2012</v>
      </c>
      <c r="G19" s="18" t="s">
        <v>76</v>
      </c>
      <c r="H19" s="18" t="s">
        <v>1052</v>
      </c>
      <c r="I19" s="29" t="s">
        <v>1051</v>
      </c>
      <c r="J19" s="117" t="s">
        <v>1054</v>
      </c>
      <c r="K19" s="109"/>
      <c r="L19" s="18" t="s">
        <v>22</v>
      </c>
      <c r="M19" s="18" t="s">
        <v>18</v>
      </c>
      <c r="N19" s="18" t="s">
        <v>6</v>
      </c>
      <c r="O19" s="18"/>
      <c r="P19" s="18"/>
      <c r="Q19" s="18"/>
      <c r="R19" s="18" t="s">
        <v>58</v>
      </c>
      <c r="S19" s="18" t="s">
        <v>7</v>
      </c>
      <c r="T19" s="58">
        <v>45175</v>
      </c>
      <c r="U19" s="106" t="s">
        <v>207</v>
      </c>
      <c r="V19" s="106"/>
      <c r="W19" s="60" t="s">
        <v>569</v>
      </c>
    </row>
    <row r="20" spans="1:23" s="8" customFormat="1" ht="409.5" x14ac:dyDescent="0.25">
      <c r="A20" s="42">
        <v>78</v>
      </c>
      <c r="B20" s="18" t="s">
        <v>1053</v>
      </c>
      <c r="C20" s="18" t="s">
        <v>60</v>
      </c>
      <c r="D20" s="18" t="s">
        <v>546</v>
      </c>
      <c r="E20" s="18"/>
      <c r="F20" s="18">
        <v>2016</v>
      </c>
      <c r="G20" s="18" t="s">
        <v>76</v>
      </c>
      <c r="H20" s="18" t="s">
        <v>1052</v>
      </c>
      <c r="I20" s="29" t="s">
        <v>1051</v>
      </c>
      <c r="J20" s="117" t="s">
        <v>1050</v>
      </c>
      <c r="K20" s="109"/>
      <c r="L20" s="18" t="s">
        <v>22</v>
      </c>
      <c r="M20" s="18" t="s">
        <v>18</v>
      </c>
      <c r="N20" s="18" t="s">
        <v>6</v>
      </c>
      <c r="O20" s="18"/>
      <c r="P20" s="18"/>
      <c r="Q20" s="18"/>
      <c r="R20" s="18" t="s">
        <v>58</v>
      </c>
      <c r="S20" s="18" t="s">
        <v>7</v>
      </c>
      <c r="T20" s="58">
        <v>45175</v>
      </c>
      <c r="U20" s="106" t="s">
        <v>207</v>
      </c>
      <c r="V20" s="106"/>
      <c r="W20" s="60" t="s">
        <v>569</v>
      </c>
    </row>
    <row r="21" spans="1:23" s="8" customFormat="1" ht="409.5" x14ac:dyDescent="0.25">
      <c r="A21" s="42">
        <v>79</v>
      </c>
      <c r="B21" s="18" t="s">
        <v>1049</v>
      </c>
      <c r="C21" s="18" t="s">
        <v>60</v>
      </c>
      <c r="D21" s="18" t="s">
        <v>546</v>
      </c>
      <c r="E21" s="18"/>
      <c r="F21" s="18">
        <v>2013</v>
      </c>
      <c r="G21" s="18" t="s">
        <v>76</v>
      </c>
      <c r="H21" s="18" t="s">
        <v>1048</v>
      </c>
      <c r="I21" s="29" t="s">
        <v>1047</v>
      </c>
      <c r="J21" s="117" t="s">
        <v>1046</v>
      </c>
      <c r="K21" s="109"/>
      <c r="L21" s="18" t="s">
        <v>22</v>
      </c>
      <c r="M21" s="18" t="s">
        <v>18</v>
      </c>
      <c r="N21" s="18" t="s">
        <v>6</v>
      </c>
      <c r="O21" s="18"/>
      <c r="P21" s="18"/>
      <c r="Q21" s="18"/>
      <c r="R21" s="18" t="s">
        <v>58</v>
      </c>
      <c r="S21" s="18" t="s">
        <v>7</v>
      </c>
      <c r="T21" s="58">
        <v>45175</v>
      </c>
      <c r="U21" s="106" t="s">
        <v>207</v>
      </c>
      <c r="V21" s="106"/>
      <c r="W21" s="60" t="s">
        <v>569</v>
      </c>
    </row>
    <row r="22" spans="1:23" s="8" customFormat="1" ht="409.5" x14ac:dyDescent="0.25">
      <c r="A22" s="42">
        <v>80</v>
      </c>
      <c r="B22" s="18" t="s">
        <v>1045</v>
      </c>
      <c r="C22" s="18" t="s">
        <v>491</v>
      </c>
      <c r="D22" s="18" t="s">
        <v>538</v>
      </c>
      <c r="E22" s="18"/>
      <c r="F22" s="18">
        <v>1990</v>
      </c>
      <c r="G22" s="18" t="s">
        <v>74</v>
      </c>
      <c r="H22" s="18" t="s">
        <v>1044</v>
      </c>
      <c r="I22" s="29" t="s">
        <v>1043</v>
      </c>
      <c r="J22" s="117" t="s">
        <v>1042</v>
      </c>
      <c r="K22" s="109"/>
      <c r="L22" s="18" t="s">
        <v>22</v>
      </c>
      <c r="M22" s="18" t="s">
        <v>6</v>
      </c>
      <c r="N22" s="18" t="s">
        <v>920</v>
      </c>
      <c r="O22" s="18" t="s">
        <v>18</v>
      </c>
      <c r="P22" s="18"/>
      <c r="Q22" s="18"/>
      <c r="R22" s="18" t="s">
        <v>58</v>
      </c>
      <c r="S22" s="18" t="s">
        <v>7</v>
      </c>
      <c r="T22" s="58">
        <v>45175</v>
      </c>
      <c r="U22" s="106" t="s">
        <v>207</v>
      </c>
      <c r="V22" s="106"/>
      <c r="W22" s="60" t="s">
        <v>569</v>
      </c>
    </row>
    <row r="23" spans="1:23" s="8" customFormat="1" ht="409.5" customHeight="1" x14ac:dyDescent="0.25">
      <c r="A23" s="42">
        <v>99</v>
      </c>
      <c r="B23" s="41" t="s">
        <v>1041</v>
      </c>
      <c r="C23" s="18" t="s">
        <v>8</v>
      </c>
      <c r="D23" s="18" t="s">
        <v>370</v>
      </c>
      <c r="E23" s="18" t="s">
        <v>981</v>
      </c>
      <c r="F23" s="18">
        <v>2020</v>
      </c>
      <c r="G23" s="84" t="s">
        <v>191</v>
      </c>
      <c r="H23" s="128" t="s">
        <v>1040</v>
      </c>
      <c r="I23" s="126" t="s">
        <v>1039</v>
      </c>
      <c r="J23" s="127" t="s">
        <v>1038</v>
      </c>
      <c r="K23" s="109" t="s">
        <v>1037</v>
      </c>
      <c r="L23" s="18" t="s">
        <v>22</v>
      </c>
      <c r="M23" s="18" t="s">
        <v>6</v>
      </c>
      <c r="N23" s="18"/>
      <c r="O23" s="18"/>
      <c r="P23" s="18"/>
      <c r="Q23" s="18"/>
      <c r="R23" s="18" t="s">
        <v>58</v>
      </c>
      <c r="S23" s="18" t="s">
        <v>5</v>
      </c>
      <c r="T23" s="58"/>
      <c r="U23" s="110" t="s">
        <v>62</v>
      </c>
      <c r="V23" s="110"/>
      <c r="W23" s="71"/>
    </row>
    <row r="24" spans="1:23" s="8" customFormat="1" ht="409.5" customHeight="1" x14ac:dyDescent="0.25">
      <c r="A24" s="42">
        <v>101</v>
      </c>
      <c r="B24" s="18" t="s">
        <v>1036</v>
      </c>
      <c r="C24" s="18" t="s">
        <v>8</v>
      </c>
      <c r="D24" s="18" t="s">
        <v>370</v>
      </c>
      <c r="E24" s="18" t="s">
        <v>538</v>
      </c>
      <c r="F24" s="18">
        <v>2018</v>
      </c>
      <c r="G24" s="84" t="s">
        <v>80</v>
      </c>
      <c r="H24" s="85" t="s">
        <v>1035</v>
      </c>
      <c r="I24" s="126" t="s">
        <v>1034</v>
      </c>
      <c r="J24" t="s">
        <v>1033</v>
      </c>
      <c r="K24" s="108"/>
      <c r="L24" s="18" t="s">
        <v>22</v>
      </c>
      <c r="M24" s="18" t="s">
        <v>6</v>
      </c>
      <c r="N24" s="18"/>
      <c r="O24" s="18"/>
      <c r="P24" s="18"/>
      <c r="Q24" s="18"/>
      <c r="R24" s="18" t="s">
        <v>58</v>
      </c>
      <c r="S24" s="18" t="s">
        <v>7</v>
      </c>
      <c r="T24" s="58"/>
      <c r="U24" s="125" t="s">
        <v>601</v>
      </c>
      <c r="V24" s="125"/>
      <c r="W24" s="71"/>
    </row>
    <row r="25" spans="1:23" s="8" customFormat="1" ht="409.5" x14ac:dyDescent="0.25">
      <c r="A25" s="42">
        <v>102</v>
      </c>
      <c r="B25" s="18" t="s">
        <v>1032</v>
      </c>
      <c r="C25" s="18" t="s">
        <v>8</v>
      </c>
      <c r="D25" s="18" t="s">
        <v>370</v>
      </c>
      <c r="E25" s="18"/>
      <c r="F25" s="18">
        <v>2021</v>
      </c>
      <c r="G25" s="18" t="s">
        <v>76</v>
      </c>
      <c r="H25" s="18" t="s">
        <v>1031</v>
      </c>
      <c r="I25" s="29" t="s">
        <v>1030</v>
      </c>
      <c r="J25" s="117" t="s">
        <v>1029</v>
      </c>
      <c r="K25" s="109"/>
      <c r="L25" s="18" t="s">
        <v>22</v>
      </c>
      <c r="M25" s="18" t="s">
        <v>6</v>
      </c>
      <c r="N25" s="18"/>
      <c r="O25" s="18"/>
      <c r="P25" s="18"/>
      <c r="Q25" s="18"/>
      <c r="R25" s="18" t="s">
        <v>977</v>
      </c>
      <c r="S25" s="18" t="s">
        <v>5</v>
      </c>
      <c r="T25" s="58">
        <v>45175</v>
      </c>
      <c r="U25" s="106" t="s">
        <v>207</v>
      </c>
      <c r="V25" s="106"/>
      <c r="W25" s="71"/>
    </row>
    <row r="26" spans="1:23" s="8" customFormat="1" ht="300" x14ac:dyDescent="0.25">
      <c r="A26" s="42">
        <v>103</v>
      </c>
      <c r="B26" s="18" t="s">
        <v>1028</v>
      </c>
      <c r="C26" s="18" t="s">
        <v>8</v>
      </c>
      <c r="D26" s="18" t="s">
        <v>370</v>
      </c>
      <c r="E26" s="18" t="s">
        <v>538</v>
      </c>
      <c r="F26" s="18">
        <v>2022</v>
      </c>
      <c r="G26" s="18" t="s">
        <v>76</v>
      </c>
      <c r="H26" s="18" t="s">
        <v>1027</v>
      </c>
      <c r="I26" s="29" t="s">
        <v>1026</v>
      </c>
      <c r="J26" s="117" t="s">
        <v>1025</v>
      </c>
      <c r="K26" s="109"/>
      <c r="L26" s="18" t="s">
        <v>22</v>
      </c>
      <c r="M26" s="18" t="s">
        <v>6</v>
      </c>
      <c r="N26" s="18"/>
      <c r="O26" s="18"/>
      <c r="P26" s="18"/>
      <c r="Q26" s="18"/>
      <c r="R26" s="18" t="s">
        <v>58</v>
      </c>
      <c r="S26" s="18" t="s">
        <v>7</v>
      </c>
      <c r="T26" s="58">
        <v>45175</v>
      </c>
      <c r="U26" s="106" t="s">
        <v>207</v>
      </c>
      <c r="V26" s="106"/>
      <c r="W26" s="71"/>
    </row>
    <row r="27" spans="1:23" s="8" customFormat="1" ht="409.5" x14ac:dyDescent="0.25">
      <c r="A27" s="42">
        <v>107</v>
      </c>
      <c r="B27" s="18" t="s">
        <v>1024</v>
      </c>
      <c r="C27" s="18" t="s">
        <v>8</v>
      </c>
      <c r="D27" s="18" t="s">
        <v>370</v>
      </c>
      <c r="E27" s="18" t="s">
        <v>365</v>
      </c>
      <c r="F27" s="18">
        <v>2023</v>
      </c>
      <c r="G27" s="18" t="s">
        <v>191</v>
      </c>
      <c r="H27" s="18" t="s">
        <v>1023</v>
      </c>
      <c r="I27" s="124" t="s">
        <v>1022</v>
      </c>
      <c r="J27" s="123" t="s">
        <v>1021</v>
      </c>
      <c r="K27" s="122" t="s">
        <v>1020</v>
      </c>
      <c r="L27" s="18" t="s">
        <v>22</v>
      </c>
      <c r="M27" s="18" t="s">
        <v>6</v>
      </c>
      <c r="N27" s="18"/>
      <c r="O27" s="18"/>
      <c r="P27" s="18"/>
      <c r="Q27" s="18"/>
      <c r="R27" s="18" t="s">
        <v>58</v>
      </c>
      <c r="S27" s="18" t="s">
        <v>7</v>
      </c>
      <c r="T27" s="58">
        <v>45028</v>
      </c>
      <c r="U27" s="106" t="s">
        <v>207</v>
      </c>
      <c r="V27" s="106"/>
      <c r="W27" s="71"/>
    </row>
    <row r="28" spans="1:23" s="8" customFormat="1" ht="409.5" x14ac:dyDescent="0.25">
      <c r="A28" s="99">
        <v>167</v>
      </c>
      <c r="B28" s="18" t="s">
        <v>1019</v>
      </c>
      <c r="C28" s="18" t="s">
        <v>8</v>
      </c>
      <c r="D28" s="18" t="s">
        <v>988</v>
      </c>
      <c r="E28" s="18"/>
      <c r="F28" s="18">
        <v>2022</v>
      </c>
      <c r="G28" s="18" t="s">
        <v>79</v>
      </c>
      <c r="H28" s="18" t="s">
        <v>1018</v>
      </c>
      <c r="I28" s="29" t="s">
        <v>1017</v>
      </c>
      <c r="J28" s="109" t="s">
        <v>1016</v>
      </c>
      <c r="K28" s="108"/>
      <c r="L28" s="18" t="s">
        <v>22</v>
      </c>
      <c r="M28" s="18" t="s">
        <v>924</v>
      </c>
      <c r="N28" s="18" t="s">
        <v>920</v>
      </c>
      <c r="O28" s="18" t="s">
        <v>18</v>
      </c>
      <c r="P28" s="18"/>
      <c r="Q28" s="18"/>
      <c r="R28" s="99" t="s">
        <v>1015</v>
      </c>
      <c r="S28" s="18" t="s">
        <v>7</v>
      </c>
      <c r="T28" s="58">
        <v>45175</v>
      </c>
      <c r="U28" s="106" t="s">
        <v>207</v>
      </c>
      <c r="V28" s="106"/>
      <c r="W28" s="71"/>
    </row>
    <row r="29" spans="1:23" s="8" customFormat="1" ht="180" x14ac:dyDescent="0.25">
      <c r="A29" s="99">
        <v>182</v>
      </c>
      <c r="B29" s="41" t="s">
        <v>1014</v>
      </c>
      <c r="C29" s="41"/>
      <c r="D29" s="41"/>
      <c r="E29" s="41"/>
      <c r="F29" s="121"/>
      <c r="G29" s="41" t="s">
        <v>76</v>
      </c>
      <c r="H29" s="41" t="s">
        <v>1013</v>
      </c>
      <c r="I29" s="53"/>
      <c r="J29" s="109" t="s">
        <v>1012</v>
      </c>
      <c r="K29" s="108"/>
      <c r="L29" s="54" t="s">
        <v>22</v>
      </c>
      <c r="M29" s="41" t="s">
        <v>18</v>
      </c>
      <c r="N29" s="41"/>
      <c r="O29" s="41"/>
      <c r="P29" s="41"/>
      <c r="Q29" s="41"/>
      <c r="R29" s="41"/>
      <c r="S29" s="41"/>
      <c r="T29" s="74"/>
      <c r="U29" s="110" t="s">
        <v>23</v>
      </c>
      <c r="V29" s="110"/>
      <c r="W29" s="87"/>
    </row>
    <row r="30" spans="1:23" s="8" customFormat="1" ht="409.5" x14ac:dyDescent="0.25">
      <c r="A30" s="99">
        <v>187</v>
      </c>
      <c r="B30" s="18" t="s">
        <v>1011</v>
      </c>
      <c r="C30" s="18" t="s">
        <v>8</v>
      </c>
      <c r="D30" s="18" t="s">
        <v>546</v>
      </c>
      <c r="E30" s="18"/>
      <c r="F30" s="99"/>
      <c r="G30" s="18" t="s">
        <v>148</v>
      </c>
      <c r="H30" s="18" t="s">
        <v>1010</v>
      </c>
      <c r="I30" s="29"/>
      <c r="J30" s="108" t="s">
        <v>801</v>
      </c>
      <c r="K30" s="108"/>
      <c r="L30" s="18" t="s">
        <v>22</v>
      </c>
      <c r="M30" s="18" t="s">
        <v>924</v>
      </c>
      <c r="N30" s="18" t="s">
        <v>920</v>
      </c>
      <c r="O30" s="18" t="s">
        <v>18</v>
      </c>
      <c r="P30" s="18"/>
      <c r="Q30" s="18"/>
      <c r="R30" s="18" t="s">
        <v>1009</v>
      </c>
      <c r="S30" s="99"/>
      <c r="T30" s="58">
        <v>45264</v>
      </c>
      <c r="U30" s="106" t="s">
        <v>207</v>
      </c>
      <c r="V30" s="106"/>
      <c r="W30" s="71"/>
    </row>
    <row r="31" spans="1:23" s="8" customFormat="1" ht="409.5" x14ac:dyDescent="0.25">
      <c r="A31" s="99">
        <v>188</v>
      </c>
      <c r="B31" s="18" t="s">
        <v>1008</v>
      </c>
      <c r="C31" s="18" t="s">
        <v>8</v>
      </c>
      <c r="D31" s="18" t="s">
        <v>916</v>
      </c>
      <c r="E31" s="18"/>
      <c r="F31" s="99"/>
      <c r="G31" s="18" t="s">
        <v>148</v>
      </c>
      <c r="H31" s="18" t="s">
        <v>1007</v>
      </c>
      <c r="I31" s="29"/>
      <c r="J31" s="109" t="s">
        <v>801</v>
      </c>
      <c r="K31" s="108"/>
      <c r="L31" s="18" t="s">
        <v>22</v>
      </c>
      <c r="M31" s="18" t="s">
        <v>18</v>
      </c>
      <c r="N31" s="18"/>
      <c r="O31" s="18"/>
      <c r="P31" s="18"/>
      <c r="Q31" s="18"/>
      <c r="R31" s="18" t="s">
        <v>1006</v>
      </c>
      <c r="S31" s="99"/>
      <c r="T31" s="58">
        <v>45264</v>
      </c>
      <c r="U31" s="106" t="s">
        <v>207</v>
      </c>
      <c r="V31" s="106"/>
      <c r="W31" s="71"/>
    </row>
    <row r="32" spans="1:23" s="8" customFormat="1" ht="360" x14ac:dyDescent="0.25">
      <c r="A32" s="99">
        <v>189</v>
      </c>
      <c r="B32" s="18" t="s">
        <v>1005</v>
      </c>
      <c r="C32" s="18" t="s">
        <v>8</v>
      </c>
      <c r="D32" s="99"/>
      <c r="E32" s="18"/>
      <c r="F32" s="99"/>
      <c r="G32" s="18" t="s">
        <v>148</v>
      </c>
      <c r="H32" s="18" t="s">
        <v>1004</v>
      </c>
      <c r="I32" s="29"/>
      <c r="J32" s="109" t="s">
        <v>801</v>
      </c>
      <c r="K32" s="108"/>
      <c r="L32" s="18" t="s">
        <v>22</v>
      </c>
      <c r="M32" s="99"/>
      <c r="N32" s="18"/>
      <c r="O32" s="18"/>
      <c r="P32" s="18"/>
      <c r="Q32" s="18"/>
      <c r="R32" s="18" t="s">
        <v>1003</v>
      </c>
      <c r="S32" s="18" t="s">
        <v>203</v>
      </c>
      <c r="T32" s="58"/>
      <c r="U32" s="110">
        <v>45264</v>
      </c>
      <c r="V32" s="110"/>
      <c r="W32" s="71"/>
    </row>
    <row r="33" spans="1:23" s="8" customFormat="1" ht="409.5" x14ac:dyDescent="0.25">
      <c r="A33" s="99">
        <v>190</v>
      </c>
      <c r="B33" s="18" t="s">
        <v>1002</v>
      </c>
      <c r="C33" s="18" t="s">
        <v>8</v>
      </c>
      <c r="D33" s="18" t="s">
        <v>988</v>
      </c>
      <c r="E33" s="18"/>
      <c r="F33" s="18">
        <v>2022</v>
      </c>
      <c r="G33" s="18" t="s">
        <v>148</v>
      </c>
      <c r="H33" s="18" t="s">
        <v>1001</v>
      </c>
      <c r="I33" s="29"/>
      <c r="J33" s="109" t="s">
        <v>801</v>
      </c>
      <c r="K33" s="108" t="s">
        <v>1000</v>
      </c>
      <c r="L33" s="18" t="s">
        <v>22</v>
      </c>
      <c r="M33" s="99"/>
      <c r="N33" s="18"/>
      <c r="O33" s="18"/>
      <c r="P33" s="18"/>
      <c r="Q33" s="18"/>
      <c r="R33" s="18"/>
      <c r="S33" s="18"/>
      <c r="T33" s="58"/>
      <c r="U33" s="110"/>
      <c r="V33" s="110"/>
      <c r="W33" s="71"/>
    </row>
    <row r="34" spans="1:23" s="8" customFormat="1" ht="409.5" x14ac:dyDescent="0.25">
      <c r="A34" s="99">
        <v>191</v>
      </c>
      <c r="B34" s="18" t="s">
        <v>999</v>
      </c>
      <c r="C34" s="18" t="s">
        <v>8</v>
      </c>
      <c r="D34" s="18" t="s">
        <v>981</v>
      </c>
      <c r="E34" s="18"/>
      <c r="F34" s="99"/>
      <c r="G34" s="18" t="s">
        <v>148</v>
      </c>
      <c r="H34" s="18" t="s">
        <v>998</v>
      </c>
      <c r="I34" s="29"/>
      <c r="J34" s="109" t="s">
        <v>801</v>
      </c>
      <c r="K34" s="108"/>
      <c r="L34" s="18" t="s">
        <v>22</v>
      </c>
      <c r="M34" s="18" t="s">
        <v>924</v>
      </c>
      <c r="N34" s="18" t="s">
        <v>920</v>
      </c>
      <c r="O34" s="18" t="s">
        <v>18</v>
      </c>
      <c r="P34" s="18"/>
      <c r="Q34" s="18"/>
      <c r="R34" s="18" t="s">
        <v>997</v>
      </c>
      <c r="S34" s="18" t="s">
        <v>203</v>
      </c>
      <c r="T34" s="58">
        <v>45265</v>
      </c>
      <c r="U34" s="110" t="s">
        <v>207</v>
      </c>
      <c r="V34" s="110"/>
      <c r="W34" s="71"/>
    </row>
    <row r="35" spans="1:23" s="8" customFormat="1" ht="409.5" x14ac:dyDescent="0.25">
      <c r="A35" s="99">
        <v>192</v>
      </c>
      <c r="B35" s="18" t="s">
        <v>996</v>
      </c>
      <c r="C35" s="18" t="s">
        <v>8</v>
      </c>
      <c r="D35" s="18" t="s">
        <v>538</v>
      </c>
      <c r="E35" s="18"/>
      <c r="F35" s="99"/>
      <c r="G35" s="18" t="s">
        <v>148</v>
      </c>
      <c r="H35" s="18" t="s">
        <v>995</v>
      </c>
      <c r="I35" s="29"/>
      <c r="J35" s="108" t="s">
        <v>801</v>
      </c>
      <c r="K35" s="108"/>
      <c r="L35" s="18" t="s">
        <v>22</v>
      </c>
      <c r="M35" s="18" t="s">
        <v>920</v>
      </c>
      <c r="N35" s="18" t="s">
        <v>924</v>
      </c>
      <c r="O35" s="18" t="s">
        <v>18</v>
      </c>
      <c r="P35" s="18"/>
      <c r="Q35" s="18"/>
      <c r="R35" s="18" t="s">
        <v>994</v>
      </c>
      <c r="S35" s="18" t="s">
        <v>203</v>
      </c>
      <c r="T35" s="58">
        <v>45265</v>
      </c>
      <c r="U35" s="110" t="s">
        <v>207</v>
      </c>
      <c r="V35" s="110"/>
      <c r="W35" s="71"/>
    </row>
    <row r="36" spans="1:23" s="8" customFormat="1" ht="409.5" x14ac:dyDescent="0.25">
      <c r="A36" s="99">
        <v>193</v>
      </c>
      <c r="B36" s="18" t="s">
        <v>993</v>
      </c>
      <c r="C36" s="18" t="s">
        <v>8</v>
      </c>
      <c r="D36" s="18" t="s">
        <v>988</v>
      </c>
      <c r="E36" s="18"/>
      <c r="F36" s="99" t="s">
        <v>992</v>
      </c>
      <c r="G36" s="18" t="s">
        <v>148</v>
      </c>
      <c r="H36" s="99" t="s">
        <v>991</v>
      </c>
      <c r="I36" s="29"/>
      <c r="J36" s="108" t="s">
        <v>801</v>
      </c>
      <c r="K36" s="108"/>
      <c r="L36" s="18" t="s">
        <v>22</v>
      </c>
      <c r="M36" s="99"/>
      <c r="N36" s="18"/>
      <c r="O36" s="18"/>
      <c r="P36" s="18"/>
      <c r="Q36" s="18"/>
      <c r="R36" s="18" t="s">
        <v>990</v>
      </c>
      <c r="S36" s="18" t="s">
        <v>203</v>
      </c>
      <c r="T36" s="58">
        <v>45265</v>
      </c>
      <c r="U36" s="110" t="s">
        <v>207</v>
      </c>
      <c r="V36" s="110"/>
      <c r="W36" s="71"/>
    </row>
    <row r="37" spans="1:23" s="8" customFormat="1" ht="409.5" x14ac:dyDescent="0.25">
      <c r="A37" s="99">
        <v>194</v>
      </c>
      <c r="B37" s="18" t="s">
        <v>989</v>
      </c>
      <c r="C37" s="18" t="s">
        <v>8</v>
      </c>
      <c r="D37" s="18" t="s">
        <v>988</v>
      </c>
      <c r="E37" s="18"/>
      <c r="F37" s="99"/>
      <c r="G37" s="18" t="s">
        <v>148</v>
      </c>
      <c r="H37" s="18" t="s">
        <v>987</v>
      </c>
      <c r="I37" s="29"/>
      <c r="J37" s="108" t="s">
        <v>801</v>
      </c>
      <c r="K37" s="108"/>
      <c r="L37" s="18" t="s">
        <v>22</v>
      </c>
      <c r="M37" s="18" t="s">
        <v>920</v>
      </c>
      <c r="N37" s="18"/>
      <c r="O37" s="18"/>
      <c r="P37" s="18"/>
      <c r="Q37" s="18"/>
      <c r="R37" s="18" t="s">
        <v>934</v>
      </c>
      <c r="S37" s="18" t="s">
        <v>203</v>
      </c>
      <c r="T37" s="58">
        <v>45265</v>
      </c>
      <c r="U37" s="110" t="s">
        <v>207</v>
      </c>
      <c r="V37" s="110"/>
      <c r="W37" s="71"/>
    </row>
    <row r="38" spans="1:23" s="8" customFormat="1" ht="409.5" x14ac:dyDescent="0.25">
      <c r="A38" s="99">
        <v>195</v>
      </c>
      <c r="B38" s="18" t="s">
        <v>986</v>
      </c>
      <c r="C38" s="18" t="s">
        <v>8</v>
      </c>
      <c r="D38" s="18" t="s">
        <v>538</v>
      </c>
      <c r="E38" s="18"/>
      <c r="F38" s="99"/>
      <c r="G38" s="18" t="s">
        <v>148</v>
      </c>
      <c r="H38" s="18" t="s">
        <v>985</v>
      </c>
      <c r="I38" s="29"/>
      <c r="J38" s="109" t="s">
        <v>801</v>
      </c>
      <c r="K38" s="108"/>
      <c r="L38" s="18" t="s">
        <v>22</v>
      </c>
      <c r="M38" s="18" t="s">
        <v>920</v>
      </c>
      <c r="N38" s="18"/>
      <c r="O38" s="18"/>
      <c r="P38" s="18"/>
      <c r="Q38" s="18"/>
      <c r="R38" s="18" t="s">
        <v>58</v>
      </c>
      <c r="S38" s="18" t="s">
        <v>203</v>
      </c>
      <c r="T38" s="58">
        <v>45265</v>
      </c>
      <c r="U38" s="110" t="s">
        <v>207</v>
      </c>
      <c r="V38" s="110"/>
      <c r="W38" s="71"/>
    </row>
    <row r="39" spans="1:23" s="8" customFormat="1" ht="409.5" x14ac:dyDescent="0.25">
      <c r="A39" s="101">
        <v>209</v>
      </c>
      <c r="B39" s="18" t="s">
        <v>984</v>
      </c>
      <c r="C39" s="18" t="s">
        <v>8</v>
      </c>
      <c r="D39" s="18" t="s">
        <v>981</v>
      </c>
      <c r="E39" s="18"/>
      <c r="F39" s="18">
        <v>2021</v>
      </c>
      <c r="G39" s="18" t="s">
        <v>138</v>
      </c>
      <c r="H39" s="18" t="s">
        <v>983</v>
      </c>
      <c r="I39" s="43"/>
      <c r="J39" s="105"/>
      <c r="K39" s="105"/>
      <c r="L39" s="44" t="s">
        <v>22</v>
      </c>
      <c r="M39" s="18" t="s">
        <v>6</v>
      </c>
      <c r="N39" s="18"/>
      <c r="O39" s="18"/>
      <c r="P39" s="18"/>
      <c r="Q39" s="18"/>
      <c r="R39" s="99" t="s">
        <v>934</v>
      </c>
      <c r="S39" s="18" t="s">
        <v>7</v>
      </c>
      <c r="T39" s="58">
        <v>44971</v>
      </c>
      <c r="U39" s="106" t="s">
        <v>207</v>
      </c>
      <c r="V39" s="106"/>
      <c r="W39" s="71"/>
    </row>
    <row r="40" spans="1:23" s="8" customFormat="1" ht="409.5" x14ac:dyDescent="0.25">
      <c r="A40" s="101">
        <v>229</v>
      </c>
      <c r="B40" s="18" t="s">
        <v>982</v>
      </c>
      <c r="C40" s="18" t="s">
        <v>60</v>
      </c>
      <c r="D40" s="18" t="s">
        <v>981</v>
      </c>
      <c r="E40" s="18" t="s">
        <v>916</v>
      </c>
      <c r="F40" s="18">
        <v>2022</v>
      </c>
      <c r="G40" s="18" t="s">
        <v>76</v>
      </c>
      <c r="H40" s="18" t="s">
        <v>980</v>
      </c>
      <c r="I40" s="29" t="s">
        <v>979</v>
      </c>
      <c r="J40" s="117" t="s">
        <v>978</v>
      </c>
      <c r="K40" s="109"/>
      <c r="L40" s="18" t="s">
        <v>22</v>
      </c>
      <c r="M40" s="18" t="s">
        <v>6</v>
      </c>
      <c r="N40" s="18" t="s">
        <v>920</v>
      </c>
      <c r="O40" s="18"/>
      <c r="P40" s="18"/>
      <c r="Q40" s="18"/>
      <c r="R40" s="18" t="s">
        <v>977</v>
      </c>
      <c r="S40" s="18" t="s">
        <v>7</v>
      </c>
      <c r="T40" s="58">
        <v>45175</v>
      </c>
      <c r="U40" s="106" t="s">
        <v>207</v>
      </c>
      <c r="V40" s="106"/>
      <c r="W40" s="71"/>
    </row>
  </sheetData>
  <autoFilter ref="A1:W40" xr:uid="{A0B50982-AF31-450C-97C1-5B2D86D7F283}"/>
  <dataValidations count="1">
    <dataValidation type="list" allowBlank="1" showErrorMessage="1" sqref="S12:S22 S25:S38 S40" xr:uid="{17BF7CA6-3ED2-48A4-8F82-B7EA771F7ABD}">
      <formula1>"International,National,Regional"</formula1>
    </dataValidation>
  </dataValidations>
  <hyperlinks>
    <hyperlink ref="K11" r:id="rId1" xr:uid="{A2787CE8-CBC8-458B-9BB5-E3C39FF26ED3}"/>
    <hyperlink ref="J12" r:id="rId2" xr:uid="{A2E15212-9DE9-4B98-BBCA-3863A3C25139}"/>
    <hyperlink ref="K12" r:id="rId3" xr:uid="{45AA407A-6310-41FD-ABCF-217F4E737377}"/>
    <hyperlink ref="J18" r:id="rId4" xr:uid="{6605A72D-C5DB-4E13-A332-42A9A8F77EC6}"/>
    <hyperlink ref="J16" r:id="rId5" xr:uid="{183DA271-370C-4CCB-89A5-C9170337EC06}"/>
    <hyperlink ref="J13" r:id="rId6" xr:uid="{B411873F-D92D-48BC-98F8-9C5DA8D4566B}"/>
    <hyperlink ref="J21" r:id="rId7" xr:uid="{AF025F72-F8BA-49AA-9AF4-E0ABCA589AB7}"/>
    <hyperlink ref="J20" r:id="rId8" xr:uid="{42BBE304-C127-4BF3-8256-4CDC78649994}"/>
    <hyperlink ref="J19" r:id="rId9" xr:uid="{371CA470-C0B1-48D1-8FB4-74B06A086261}"/>
    <hyperlink ref="J17" r:id="rId10" xr:uid="{D099765E-AAA8-4F22-BA96-1206B2C16668}"/>
    <hyperlink ref="J15" r:id="rId11" xr:uid="{B3BDCD51-70C9-4DA1-988E-910A2BC391F9}"/>
    <hyperlink ref="J22" r:id="rId12" xr:uid="{65F939A3-AA5D-42B3-A207-ECF454BFB171}"/>
    <hyperlink ref="J14" r:id="rId13" xr:uid="{1F34AC38-BF6D-40A2-BE92-69D5DB91F1BE}"/>
    <hyperlink ref="K23" r:id="rId14" xr:uid="{B21898B6-83A9-4EF8-A4D4-9F4522F394F3}"/>
    <hyperlink ref="J23" r:id="rId15" xr:uid="{EE40ED8E-0838-433B-B482-EE27881D54EC}"/>
    <hyperlink ref="J26" r:id="rId16" xr:uid="{C628DC68-8E94-41C5-B346-061162686EF7}"/>
    <hyperlink ref="J25" r:id="rId17" xr:uid="{89D30519-0865-43BC-A9A5-DF85BF7E631C}"/>
    <hyperlink ref="J27" r:id="rId18" xr:uid="{D88EE1A4-9E75-49D1-980F-6BDC5A951D7D}"/>
    <hyperlink ref="K27" r:id="rId19" xr:uid="{21382CD6-C894-4489-89D5-5BE775594C72}"/>
    <hyperlink ref="J28" r:id="rId20" xr:uid="{DB35907D-1A1D-45BE-B693-4B7AD5F5AAE0}"/>
    <hyperlink ref="J29" r:id="rId21" xr:uid="{7B2EE0E6-EEA6-410A-A69B-B15AF780F123}"/>
    <hyperlink ref="J31" r:id="rId22" xr:uid="{AA26ABC4-ED59-4A74-8052-9A51F4683274}"/>
    <hyperlink ref="J32" r:id="rId23" xr:uid="{1F489D5B-4C52-4F0A-B0BF-7ED314B7B547}"/>
    <hyperlink ref="J33" r:id="rId24" xr:uid="{4A82AD91-5859-4872-8126-9A0720BDF3AA}"/>
    <hyperlink ref="J38" r:id="rId25" xr:uid="{A4FF659D-63AC-4660-9D94-12FA3AC52C3B}"/>
    <hyperlink ref="J34" r:id="rId26" xr:uid="{29F39F35-013C-43E0-AB46-18885528E83E}"/>
  </hyperlinks>
  <pageMargins left="0.7" right="0.7" top="0.75" bottom="0.75" header="0.3" footer="0.3"/>
  <legacyDrawing r:id="rId2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644E-7AD7-431E-88F2-8262E3D6C881}">
  <sheetPr>
    <tabColor rgb="FFFFFF00"/>
  </sheetPr>
  <dimension ref="A1:C5"/>
  <sheetViews>
    <sheetView workbookViewId="0">
      <selection activeCell="H19" sqref="H19"/>
    </sheetView>
  </sheetViews>
  <sheetFormatPr defaultColWidth="8.85546875" defaultRowHeight="15" x14ac:dyDescent="0.25"/>
  <sheetData>
    <row r="1" spans="1:3" x14ac:dyDescent="0.25">
      <c r="A1" s="6" t="s">
        <v>1127</v>
      </c>
    </row>
    <row r="3" spans="1:3" x14ac:dyDescent="0.25">
      <c r="B3" s="6" t="s">
        <v>70</v>
      </c>
      <c r="C3" s="6" t="s">
        <v>1126</v>
      </c>
    </row>
    <row r="5" spans="1:3" x14ac:dyDescent="0.25">
      <c r="B5" s="6" t="s">
        <v>1125</v>
      </c>
      <c r="C5" s="131" t="s">
        <v>1124</v>
      </c>
    </row>
  </sheetData>
  <hyperlinks>
    <hyperlink ref="C5" r:id="rId1" xr:uid="{6811E22C-3BF2-4238-AB52-F315B0AC35D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53349-8917-4039-9896-10BA914028FB}">
  <sheetPr>
    <tabColor rgb="FFFFFF00"/>
  </sheetPr>
  <dimension ref="B3:D3"/>
  <sheetViews>
    <sheetView workbookViewId="0">
      <selection activeCell="A4" sqref="A4:XFD4"/>
    </sheetView>
  </sheetViews>
  <sheetFormatPr defaultColWidth="8.85546875" defaultRowHeight="15" x14ac:dyDescent="0.25"/>
  <sheetData>
    <row r="3" spans="2:4" x14ac:dyDescent="0.25">
      <c r="B3" t="s">
        <v>1129</v>
      </c>
      <c r="D3" s="131" t="s">
        <v>1128</v>
      </c>
    </row>
  </sheetData>
  <hyperlinks>
    <hyperlink ref="D3" r:id="rId1" xr:uid="{1178794F-575D-4811-A392-6825298AC72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027F90-D853-4631-A352-340C8E774C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Projects</vt:lpstr>
      <vt:lpstr>ProjectsFR</vt:lpstr>
      <vt:lpstr>Sheet1</vt:lpstr>
      <vt:lpstr>Data</vt:lpstr>
      <vt:lpstr>consultative tables</vt:lpstr>
      <vt:lpstr>TranslationScreens</vt:lpstr>
      <vt:lpstr>Tooltip(old)</vt:lpstr>
      <vt:lpstr>Land Register</vt:lpstr>
      <vt:lpstr>E-filing</vt:lpstr>
      <vt:lpstr>E-Auction</vt:lpstr>
      <vt:lpstr>Private providers</vt:lpstr>
      <vt:lpstr>Case law database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BOUQUEMONT Clemence</dc:creator>
  <cp:lastModifiedBy>SCHMIDT Daniel</cp:lastModifiedBy>
  <dcterms:created xsi:type="dcterms:W3CDTF">2022-03-10T15:57:50Z</dcterms:created>
  <dcterms:modified xsi:type="dcterms:W3CDTF">2026-02-05T10:53:58Z</dcterms:modified>
</cp:coreProperties>
</file>